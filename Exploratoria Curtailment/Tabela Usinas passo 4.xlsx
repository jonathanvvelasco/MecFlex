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pegovbr-my.sharepoint.com/personal/jonathan_costa_epe_gov_br/Documents/Documentos/GitHub/MecFlex/Exploratoria Curtailment/"/>
    </mc:Choice>
  </mc:AlternateContent>
  <xr:revisionPtr revIDLastSave="782" documentId="8_{3D0355FC-CCFA-4D66-9013-A4C7BF07C25F}" xr6:coauthVersionLast="47" xr6:coauthVersionMax="47" xr10:uidLastSave="{2B467838-1048-491B-A58F-09A9DB22DD57}"/>
  <bookViews>
    <workbookView xWindow="1920" yWindow="1920" windowWidth="17280" windowHeight="8880" tabRatio="683" xr2:uid="{51FA7B72-2F3E-490D-B59A-4AB3EA6F63F2}"/>
  </bookViews>
  <sheets>
    <sheet name="M Horaria" sheetId="12" r:id="rId1"/>
    <sheet name="M Ponderada" sheetId="10" r:id="rId2"/>
    <sheet name="M Historico" sheetId="9" r:id="rId3"/>
    <sheet name="So Dados" sheetId="7" r:id="rId4"/>
    <sheet name="Analise (2)" sheetId="8" r:id="rId5"/>
    <sheet name="Analise" sheetId="5" r:id="rId6"/>
    <sheet name="Passo 6" sheetId="6" r:id="rId7"/>
    <sheet name="Passo 4" sheetId="1" r:id="rId8"/>
    <sheet name="Passo 2" sheetId="4" r:id="rId9"/>
    <sheet name="Passo 1" sheetId="2" r:id="rId10"/>
  </sheets>
  <definedNames>
    <definedName name="_xlnm._FilterDatabase" localSheetId="5" hidden="1">Analise!$A$2:$L$774</definedName>
    <definedName name="_xlnm._FilterDatabase" localSheetId="4" hidden="1">'Analise (2)'!$A$2:$L$369</definedName>
    <definedName name="_xlnm._FilterDatabase" localSheetId="9" hidden="1">'Passo 1'!$A$1:$J$773</definedName>
    <definedName name="_xlnm._FilterDatabase" localSheetId="6" hidden="1">'Passo 6'!$A$1:$J$773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2" l="1" a="1"/>
  <c r="B15" i="12" s="1"/>
  <c r="E16" i="12"/>
  <c r="D16" i="12"/>
  <c r="C16" i="12"/>
  <c r="B16" i="12"/>
  <c r="B14" i="12" a="1"/>
  <c r="B14" i="12" s="1"/>
  <c r="T31" i="12"/>
  <c r="T30" i="12"/>
  <c r="T29" i="12"/>
  <c r="T28" i="12"/>
  <c r="T27" i="12"/>
  <c r="T26" i="12"/>
  <c r="T25" i="12"/>
  <c r="T24" i="12"/>
  <c r="T15" i="12"/>
  <c r="T16" i="12"/>
  <c r="T17" i="12"/>
  <c r="T18" i="12"/>
  <c r="T19" i="12"/>
  <c r="T20" i="12"/>
  <c r="T22" i="12"/>
  <c r="T21" i="12"/>
  <c r="S2" i="2"/>
  <c r="F786" i="6"/>
  <c r="F785" i="6"/>
  <c r="I785" i="6" s="1"/>
  <c r="F784" i="6"/>
  <c r="F783" i="6"/>
  <c r="F782" i="6"/>
  <c r="F781" i="6"/>
  <c r="I781" i="6" s="1"/>
  <c r="F780" i="6"/>
  <c r="I780" i="6" s="1"/>
  <c r="F779" i="6"/>
  <c r="F778" i="6"/>
  <c r="F777" i="6"/>
  <c r="U773" i="6"/>
  <c r="T773" i="6"/>
  <c r="U772" i="6"/>
  <c r="T772" i="6"/>
  <c r="U771" i="6"/>
  <c r="T771" i="6"/>
  <c r="U770" i="6"/>
  <c r="T770" i="6"/>
  <c r="U769" i="6"/>
  <c r="T769" i="6"/>
  <c r="U768" i="6"/>
  <c r="T768" i="6"/>
  <c r="U767" i="6"/>
  <c r="T767" i="6"/>
  <c r="U766" i="6"/>
  <c r="T766" i="6"/>
  <c r="U765" i="6"/>
  <c r="T765" i="6"/>
  <c r="U764" i="6"/>
  <c r="T764" i="6"/>
  <c r="U763" i="6"/>
  <c r="T763" i="6"/>
  <c r="U762" i="6"/>
  <c r="T762" i="6"/>
  <c r="U761" i="6"/>
  <c r="T761" i="6"/>
  <c r="U760" i="6"/>
  <c r="T760" i="6"/>
  <c r="U759" i="6"/>
  <c r="T759" i="6"/>
  <c r="U758" i="6"/>
  <c r="T758" i="6"/>
  <c r="U757" i="6"/>
  <c r="T757" i="6"/>
  <c r="U756" i="6"/>
  <c r="T756" i="6"/>
  <c r="U755" i="6"/>
  <c r="T755" i="6"/>
  <c r="U754" i="6"/>
  <c r="T754" i="6"/>
  <c r="U753" i="6"/>
  <c r="T753" i="6"/>
  <c r="U752" i="6"/>
  <c r="T752" i="6"/>
  <c r="U751" i="6"/>
  <c r="T751" i="6"/>
  <c r="U750" i="6"/>
  <c r="T750" i="6"/>
  <c r="U749" i="6"/>
  <c r="T749" i="6"/>
  <c r="U748" i="6"/>
  <c r="T748" i="6"/>
  <c r="U747" i="6"/>
  <c r="T747" i="6"/>
  <c r="U746" i="6"/>
  <c r="T746" i="6"/>
  <c r="U745" i="6"/>
  <c r="T745" i="6"/>
  <c r="U744" i="6"/>
  <c r="T744" i="6"/>
  <c r="U743" i="6"/>
  <c r="T743" i="6"/>
  <c r="U742" i="6"/>
  <c r="T742" i="6"/>
  <c r="U741" i="6"/>
  <c r="T741" i="6"/>
  <c r="U740" i="6"/>
  <c r="T740" i="6"/>
  <c r="U739" i="6"/>
  <c r="T739" i="6"/>
  <c r="U738" i="6"/>
  <c r="T738" i="6"/>
  <c r="U737" i="6"/>
  <c r="T737" i="6"/>
  <c r="U736" i="6"/>
  <c r="T736" i="6"/>
  <c r="U735" i="6"/>
  <c r="T735" i="6"/>
  <c r="U734" i="6"/>
  <c r="T734" i="6"/>
  <c r="U733" i="6"/>
  <c r="T733" i="6"/>
  <c r="U732" i="6"/>
  <c r="T732" i="6"/>
  <c r="U731" i="6"/>
  <c r="T731" i="6"/>
  <c r="U730" i="6"/>
  <c r="T730" i="6"/>
  <c r="U729" i="6"/>
  <c r="T729" i="6"/>
  <c r="U728" i="6"/>
  <c r="T728" i="6"/>
  <c r="U727" i="6"/>
  <c r="T727" i="6"/>
  <c r="U726" i="6"/>
  <c r="T726" i="6"/>
  <c r="U725" i="6"/>
  <c r="T725" i="6"/>
  <c r="U724" i="6"/>
  <c r="T724" i="6"/>
  <c r="U723" i="6"/>
  <c r="T723" i="6"/>
  <c r="U722" i="6"/>
  <c r="T722" i="6"/>
  <c r="U721" i="6"/>
  <c r="T721" i="6"/>
  <c r="U720" i="6"/>
  <c r="T720" i="6"/>
  <c r="U719" i="6"/>
  <c r="T719" i="6"/>
  <c r="U718" i="6"/>
  <c r="T718" i="6"/>
  <c r="U717" i="6"/>
  <c r="T717" i="6"/>
  <c r="U716" i="6"/>
  <c r="T716" i="6"/>
  <c r="U715" i="6"/>
  <c r="T715" i="6"/>
  <c r="U714" i="6"/>
  <c r="T714" i="6"/>
  <c r="U713" i="6"/>
  <c r="T713" i="6"/>
  <c r="U712" i="6"/>
  <c r="T712" i="6"/>
  <c r="U711" i="6"/>
  <c r="T711" i="6"/>
  <c r="U710" i="6"/>
  <c r="T710" i="6"/>
  <c r="U709" i="6"/>
  <c r="T709" i="6"/>
  <c r="U708" i="6"/>
  <c r="T708" i="6"/>
  <c r="U707" i="6"/>
  <c r="T707" i="6"/>
  <c r="U706" i="6"/>
  <c r="T706" i="6"/>
  <c r="U705" i="6"/>
  <c r="T705" i="6"/>
  <c r="U704" i="6"/>
  <c r="T704" i="6"/>
  <c r="U703" i="6"/>
  <c r="T703" i="6"/>
  <c r="U702" i="6"/>
  <c r="T702" i="6"/>
  <c r="U701" i="6"/>
  <c r="T701" i="6"/>
  <c r="U700" i="6"/>
  <c r="T700" i="6"/>
  <c r="U699" i="6"/>
  <c r="T699" i="6"/>
  <c r="U698" i="6"/>
  <c r="T698" i="6"/>
  <c r="U697" i="6"/>
  <c r="T697" i="6"/>
  <c r="U696" i="6"/>
  <c r="T696" i="6"/>
  <c r="U695" i="6"/>
  <c r="T695" i="6"/>
  <c r="U694" i="6"/>
  <c r="T694" i="6"/>
  <c r="U693" i="6"/>
  <c r="T693" i="6"/>
  <c r="U692" i="6"/>
  <c r="T692" i="6"/>
  <c r="U691" i="6"/>
  <c r="T691" i="6"/>
  <c r="U690" i="6"/>
  <c r="T690" i="6"/>
  <c r="U689" i="6"/>
  <c r="T689" i="6"/>
  <c r="U688" i="6"/>
  <c r="T688" i="6"/>
  <c r="U687" i="6"/>
  <c r="T687" i="6"/>
  <c r="U686" i="6"/>
  <c r="T686" i="6"/>
  <c r="U685" i="6"/>
  <c r="T685" i="6"/>
  <c r="U684" i="6"/>
  <c r="T684" i="6"/>
  <c r="U683" i="6"/>
  <c r="T683" i="6"/>
  <c r="U682" i="6"/>
  <c r="T682" i="6"/>
  <c r="U681" i="6"/>
  <c r="T681" i="6"/>
  <c r="U680" i="6"/>
  <c r="T680" i="6"/>
  <c r="U679" i="6"/>
  <c r="T679" i="6"/>
  <c r="U678" i="6"/>
  <c r="T678" i="6"/>
  <c r="U677" i="6"/>
  <c r="T677" i="6"/>
  <c r="U676" i="6"/>
  <c r="T676" i="6"/>
  <c r="U675" i="6"/>
  <c r="T675" i="6"/>
  <c r="U674" i="6"/>
  <c r="T674" i="6"/>
  <c r="U673" i="6"/>
  <c r="T673" i="6"/>
  <c r="U672" i="6"/>
  <c r="T672" i="6"/>
  <c r="U671" i="6"/>
  <c r="T671" i="6"/>
  <c r="U670" i="6"/>
  <c r="T670" i="6"/>
  <c r="U669" i="6"/>
  <c r="T669" i="6"/>
  <c r="U668" i="6"/>
  <c r="T668" i="6"/>
  <c r="U667" i="6"/>
  <c r="T667" i="6"/>
  <c r="U666" i="6"/>
  <c r="T666" i="6"/>
  <c r="U665" i="6"/>
  <c r="T665" i="6"/>
  <c r="U664" i="6"/>
  <c r="T664" i="6"/>
  <c r="U663" i="6"/>
  <c r="T663" i="6"/>
  <c r="U662" i="6"/>
  <c r="T662" i="6"/>
  <c r="U661" i="6"/>
  <c r="T661" i="6"/>
  <c r="U660" i="6"/>
  <c r="T660" i="6"/>
  <c r="U659" i="6"/>
  <c r="T659" i="6"/>
  <c r="U658" i="6"/>
  <c r="T658" i="6"/>
  <c r="U657" i="6"/>
  <c r="T657" i="6"/>
  <c r="U656" i="6"/>
  <c r="T656" i="6"/>
  <c r="U655" i="6"/>
  <c r="T655" i="6"/>
  <c r="U654" i="6"/>
  <c r="T654" i="6"/>
  <c r="U653" i="6"/>
  <c r="T653" i="6"/>
  <c r="U652" i="6"/>
  <c r="T652" i="6"/>
  <c r="U651" i="6"/>
  <c r="T651" i="6"/>
  <c r="U650" i="6"/>
  <c r="T650" i="6"/>
  <c r="U649" i="6"/>
  <c r="T649" i="6"/>
  <c r="U648" i="6"/>
  <c r="T648" i="6"/>
  <c r="U647" i="6"/>
  <c r="T647" i="6"/>
  <c r="U646" i="6"/>
  <c r="T646" i="6"/>
  <c r="U645" i="6"/>
  <c r="T645" i="6"/>
  <c r="U644" i="6"/>
  <c r="T644" i="6"/>
  <c r="U643" i="6"/>
  <c r="T643" i="6"/>
  <c r="U642" i="6"/>
  <c r="T642" i="6"/>
  <c r="U641" i="6"/>
  <c r="T641" i="6"/>
  <c r="U640" i="6"/>
  <c r="T640" i="6"/>
  <c r="U639" i="6"/>
  <c r="T639" i="6"/>
  <c r="U638" i="6"/>
  <c r="T638" i="6"/>
  <c r="U637" i="6"/>
  <c r="T637" i="6"/>
  <c r="U636" i="6"/>
  <c r="T636" i="6"/>
  <c r="U635" i="6"/>
  <c r="T635" i="6"/>
  <c r="U634" i="6"/>
  <c r="T634" i="6"/>
  <c r="U633" i="6"/>
  <c r="T633" i="6"/>
  <c r="U632" i="6"/>
  <c r="T632" i="6"/>
  <c r="U631" i="6"/>
  <c r="T631" i="6"/>
  <c r="U630" i="6"/>
  <c r="T630" i="6"/>
  <c r="U629" i="6"/>
  <c r="T629" i="6"/>
  <c r="U628" i="6"/>
  <c r="T628" i="6"/>
  <c r="U627" i="6"/>
  <c r="T627" i="6"/>
  <c r="U626" i="6"/>
  <c r="T626" i="6"/>
  <c r="U625" i="6"/>
  <c r="T625" i="6"/>
  <c r="U624" i="6"/>
  <c r="T624" i="6"/>
  <c r="U623" i="6"/>
  <c r="T623" i="6"/>
  <c r="U622" i="6"/>
  <c r="T622" i="6"/>
  <c r="U621" i="6"/>
  <c r="T621" i="6"/>
  <c r="U620" i="6"/>
  <c r="T620" i="6"/>
  <c r="U619" i="6"/>
  <c r="T619" i="6"/>
  <c r="U618" i="6"/>
  <c r="T618" i="6"/>
  <c r="U617" i="6"/>
  <c r="T617" i="6"/>
  <c r="U616" i="6"/>
  <c r="T616" i="6"/>
  <c r="U615" i="6"/>
  <c r="T615" i="6"/>
  <c r="U614" i="6"/>
  <c r="T614" i="6"/>
  <c r="U613" i="6"/>
  <c r="T613" i="6"/>
  <c r="U612" i="6"/>
  <c r="T612" i="6"/>
  <c r="U611" i="6"/>
  <c r="T611" i="6"/>
  <c r="U610" i="6"/>
  <c r="T610" i="6"/>
  <c r="U609" i="6"/>
  <c r="T609" i="6"/>
  <c r="U608" i="6"/>
  <c r="T608" i="6"/>
  <c r="U607" i="6"/>
  <c r="T607" i="6"/>
  <c r="U606" i="6"/>
  <c r="T606" i="6"/>
  <c r="U605" i="6"/>
  <c r="T605" i="6"/>
  <c r="U604" i="6"/>
  <c r="T604" i="6"/>
  <c r="U603" i="6"/>
  <c r="T603" i="6"/>
  <c r="U602" i="6"/>
  <c r="T602" i="6"/>
  <c r="U601" i="6"/>
  <c r="T601" i="6"/>
  <c r="U600" i="6"/>
  <c r="T600" i="6"/>
  <c r="U599" i="6"/>
  <c r="T599" i="6"/>
  <c r="U598" i="6"/>
  <c r="T598" i="6"/>
  <c r="U597" i="6"/>
  <c r="T597" i="6"/>
  <c r="U596" i="6"/>
  <c r="T596" i="6"/>
  <c r="U595" i="6"/>
  <c r="T595" i="6"/>
  <c r="U594" i="6"/>
  <c r="T594" i="6"/>
  <c r="U593" i="6"/>
  <c r="T593" i="6"/>
  <c r="U592" i="6"/>
  <c r="T592" i="6"/>
  <c r="U591" i="6"/>
  <c r="T591" i="6"/>
  <c r="U590" i="6"/>
  <c r="T590" i="6"/>
  <c r="U589" i="6"/>
  <c r="T589" i="6"/>
  <c r="U588" i="6"/>
  <c r="T588" i="6"/>
  <c r="U587" i="6"/>
  <c r="T587" i="6"/>
  <c r="U586" i="6"/>
  <c r="T586" i="6"/>
  <c r="U585" i="6"/>
  <c r="T585" i="6"/>
  <c r="U584" i="6"/>
  <c r="T584" i="6"/>
  <c r="U583" i="6"/>
  <c r="T583" i="6"/>
  <c r="U582" i="6"/>
  <c r="T582" i="6"/>
  <c r="U581" i="6"/>
  <c r="T581" i="6"/>
  <c r="U580" i="6"/>
  <c r="T580" i="6"/>
  <c r="U579" i="6"/>
  <c r="T579" i="6"/>
  <c r="U578" i="6"/>
  <c r="T578" i="6"/>
  <c r="U577" i="6"/>
  <c r="T577" i="6"/>
  <c r="U576" i="6"/>
  <c r="T576" i="6"/>
  <c r="U575" i="6"/>
  <c r="T575" i="6"/>
  <c r="U574" i="6"/>
  <c r="T574" i="6"/>
  <c r="U573" i="6"/>
  <c r="T573" i="6"/>
  <c r="U572" i="6"/>
  <c r="T572" i="6"/>
  <c r="U571" i="6"/>
  <c r="T571" i="6"/>
  <c r="U570" i="6"/>
  <c r="T570" i="6"/>
  <c r="U569" i="6"/>
  <c r="T569" i="6"/>
  <c r="U568" i="6"/>
  <c r="T568" i="6"/>
  <c r="U567" i="6"/>
  <c r="T567" i="6"/>
  <c r="U566" i="6"/>
  <c r="T566" i="6"/>
  <c r="U565" i="6"/>
  <c r="T565" i="6"/>
  <c r="U564" i="6"/>
  <c r="T564" i="6"/>
  <c r="U563" i="6"/>
  <c r="T563" i="6"/>
  <c r="U562" i="6"/>
  <c r="T562" i="6"/>
  <c r="U561" i="6"/>
  <c r="T561" i="6"/>
  <c r="U560" i="6"/>
  <c r="T560" i="6"/>
  <c r="U559" i="6"/>
  <c r="T559" i="6"/>
  <c r="U558" i="6"/>
  <c r="T558" i="6"/>
  <c r="U557" i="6"/>
  <c r="T557" i="6"/>
  <c r="U556" i="6"/>
  <c r="T556" i="6"/>
  <c r="U555" i="6"/>
  <c r="T555" i="6"/>
  <c r="U554" i="6"/>
  <c r="T554" i="6"/>
  <c r="U553" i="6"/>
  <c r="T553" i="6"/>
  <c r="U552" i="6"/>
  <c r="T552" i="6"/>
  <c r="U551" i="6"/>
  <c r="T551" i="6"/>
  <c r="U550" i="6"/>
  <c r="T550" i="6"/>
  <c r="U549" i="6"/>
  <c r="T549" i="6"/>
  <c r="U548" i="6"/>
  <c r="T548" i="6"/>
  <c r="U547" i="6"/>
  <c r="T547" i="6"/>
  <c r="U546" i="6"/>
  <c r="T546" i="6"/>
  <c r="U545" i="6"/>
  <c r="T545" i="6"/>
  <c r="U544" i="6"/>
  <c r="T544" i="6"/>
  <c r="U543" i="6"/>
  <c r="T543" i="6"/>
  <c r="U542" i="6"/>
  <c r="T542" i="6"/>
  <c r="U541" i="6"/>
  <c r="T541" i="6"/>
  <c r="U540" i="6"/>
  <c r="T540" i="6"/>
  <c r="U539" i="6"/>
  <c r="T539" i="6"/>
  <c r="U538" i="6"/>
  <c r="T538" i="6"/>
  <c r="U537" i="6"/>
  <c r="T537" i="6"/>
  <c r="U536" i="6"/>
  <c r="T536" i="6"/>
  <c r="U535" i="6"/>
  <c r="T535" i="6"/>
  <c r="U534" i="6"/>
  <c r="T534" i="6"/>
  <c r="U533" i="6"/>
  <c r="T533" i="6"/>
  <c r="U532" i="6"/>
  <c r="T532" i="6"/>
  <c r="U531" i="6"/>
  <c r="T531" i="6"/>
  <c r="U530" i="6"/>
  <c r="T530" i="6"/>
  <c r="U529" i="6"/>
  <c r="T529" i="6"/>
  <c r="U528" i="6"/>
  <c r="T528" i="6"/>
  <c r="U527" i="6"/>
  <c r="T527" i="6"/>
  <c r="U526" i="6"/>
  <c r="T526" i="6"/>
  <c r="U525" i="6"/>
  <c r="T525" i="6"/>
  <c r="U524" i="6"/>
  <c r="T524" i="6"/>
  <c r="U523" i="6"/>
  <c r="T523" i="6"/>
  <c r="U522" i="6"/>
  <c r="T522" i="6"/>
  <c r="U521" i="6"/>
  <c r="T521" i="6"/>
  <c r="U520" i="6"/>
  <c r="T520" i="6"/>
  <c r="U519" i="6"/>
  <c r="T519" i="6"/>
  <c r="U518" i="6"/>
  <c r="T518" i="6"/>
  <c r="U517" i="6"/>
  <c r="T517" i="6"/>
  <c r="U516" i="6"/>
  <c r="T516" i="6"/>
  <c r="U515" i="6"/>
  <c r="T515" i="6"/>
  <c r="U514" i="6"/>
  <c r="T514" i="6"/>
  <c r="U513" i="6"/>
  <c r="T513" i="6"/>
  <c r="U512" i="6"/>
  <c r="T512" i="6"/>
  <c r="U511" i="6"/>
  <c r="T511" i="6"/>
  <c r="U510" i="6"/>
  <c r="T510" i="6"/>
  <c r="U509" i="6"/>
  <c r="T509" i="6"/>
  <c r="U508" i="6"/>
  <c r="T508" i="6"/>
  <c r="U507" i="6"/>
  <c r="T507" i="6"/>
  <c r="U506" i="6"/>
  <c r="T506" i="6"/>
  <c r="U505" i="6"/>
  <c r="T505" i="6"/>
  <c r="U504" i="6"/>
  <c r="T504" i="6"/>
  <c r="U503" i="6"/>
  <c r="T503" i="6"/>
  <c r="U502" i="6"/>
  <c r="T502" i="6"/>
  <c r="U501" i="6"/>
  <c r="T501" i="6"/>
  <c r="U500" i="6"/>
  <c r="T500" i="6"/>
  <c r="U499" i="6"/>
  <c r="T499" i="6"/>
  <c r="U498" i="6"/>
  <c r="T498" i="6"/>
  <c r="U497" i="6"/>
  <c r="T497" i="6"/>
  <c r="U496" i="6"/>
  <c r="T496" i="6"/>
  <c r="U495" i="6"/>
  <c r="T495" i="6"/>
  <c r="U494" i="6"/>
  <c r="T494" i="6"/>
  <c r="U493" i="6"/>
  <c r="T493" i="6"/>
  <c r="U492" i="6"/>
  <c r="T492" i="6"/>
  <c r="U491" i="6"/>
  <c r="T491" i="6"/>
  <c r="U490" i="6"/>
  <c r="T490" i="6"/>
  <c r="U489" i="6"/>
  <c r="T489" i="6"/>
  <c r="U488" i="6"/>
  <c r="T488" i="6"/>
  <c r="U487" i="6"/>
  <c r="T487" i="6"/>
  <c r="U486" i="6"/>
  <c r="T486" i="6"/>
  <c r="U485" i="6"/>
  <c r="T485" i="6"/>
  <c r="U484" i="6"/>
  <c r="T484" i="6"/>
  <c r="U483" i="6"/>
  <c r="T483" i="6"/>
  <c r="U482" i="6"/>
  <c r="T482" i="6"/>
  <c r="U481" i="6"/>
  <c r="T481" i="6"/>
  <c r="U480" i="6"/>
  <c r="T480" i="6"/>
  <c r="U479" i="6"/>
  <c r="T479" i="6"/>
  <c r="U478" i="6"/>
  <c r="T478" i="6"/>
  <c r="U477" i="6"/>
  <c r="T477" i="6"/>
  <c r="U476" i="6"/>
  <c r="T476" i="6"/>
  <c r="U475" i="6"/>
  <c r="T475" i="6"/>
  <c r="U474" i="6"/>
  <c r="T474" i="6"/>
  <c r="U473" i="6"/>
  <c r="T473" i="6"/>
  <c r="U472" i="6"/>
  <c r="T472" i="6"/>
  <c r="U471" i="6"/>
  <c r="T471" i="6"/>
  <c r="U470" i="6"/>
  <c r="T470" i="6"/>
  <c r="U469" i="6"/>
  <c r="T469" i="6"/>
  <c r="U468" i="6"/>
  <c r="T468" i="6"/>
  <c r="U467" i="6"/>
  <c r="T467" i="6"/>
  <c r="U466" i="6"/>
  <c r="T466" i="6"/>
  <c r="U465" i="6"/>
  <c r="T465" i="6"/>
  <c r="U464" i="6"/>
  <c r="T464" i="6"/>
  <c r="U463" i="6"/>
  <c r="T463" i="6"/>
  <c r="U462" i="6"/>
  <c r="T462" i="6"/>
  <c r="U461" i="6"/>
  <c r="T461" i="6"/>
  <c r="U460" i="6"/>
  <c r="T460" i="6"/>
  <c r="U459" i="6"/>
  <c r="T459" i="6"/>
  <c r="U458" i="6"/>
  <c r="T458" i="6"/>
  <c r="U457" i="6"/>
  <c r="T457" i="6"/>
  <c r="U456" i="6"/>
  <c r="T456" i="6"/>
  <c r="U455" i="6"/>
  <c r="T455" i="6"/>
  <c r="U454" i="6"/>
  <c r="T454" i="6"/>
  <c r="U453" i="6"/>
  <c r="T453" i="6"/>
  <c r="U452" i="6"/>
  <c r="T452" i="6"/>
  <c r="U451" i="6"/>
  <c r="T451" i="6"/>
  <c r="U450" i="6"/>
  <c r="T450" i="6"/>
  <c r="U449" i="6"/>
  <c r="T449" i="6"/>
  <c r="U448" i="6"/>
  <c r="T448" i="6"/>
  <c r="U447" i="6"/>
  <c r="T447" i="6"/>
  <c r="U446" i="6"/>
  <c r="T446" i="6"/>
  <c r="U445" i="6"/>
  <c r="T445" i="6"/>
  <c r="U444" i="6"/>
  <c r="T444" i="6"/>
  <c r="U443" i="6"/>
  <c r="T443" i="6"/>
  <c r="U442" i="6"/>
  <c r="T442" i="6"/>
  <c r="U441" i="6"/>
  <c r="T441" i="6"/>
  <c r="U440" i="6"/>
  <c r="T440" i="6"/>
  <c r="U439" i="6"/>
  <c r="T439" i="6"/>
  <c r="U438" i="6"/>
  <c r="T438" i="6"/>
  <c r="U437" i="6"/>
  <c r="T437" i="6"/>
  <c r="U436" i="6"/>
  <c r="T436" i="6"/>
  <c r="U435" i="6"/>
  <c r="T435" i="6"/>
  <c r="U434" i="6"/>
  <c r="T434" i="6"/>
  <c r="U433" i="6"/>
  <c r="T433" i="6"/>
  <c r="U432" i="6"/>
  <c r="T432" i="6"/>
  <c r="U431" i="6"/>
  <c r="T431" i="6"/>
  <c r="U430" i="6"/>
  <c r="T430" i="6"/>
  <c r="U429" i="6"/>
  <c r="T429" i="6"/>
  <c r="U428" i="6"/>
  <c r="T428" i="6"/>
  <c r="U427" i="6"/>
  <c r="T427" i="6"/>
  <c r="U426" i="6"/>
  <c r="T426" i="6"/>
  <c r="U425" i="6"/>
  <c r="T425" i="6"/>
  <c r="U424" i="6"/>
  <c r="T424" i="6"/>
  <c r="U423" i="6"/>
  <c r="T423" i="6"/>
  <c r="U422" i="6"/>
  <c r="T422" i="6"/>
  <c r="U421" i="6"/>
  <c r="T421" i="6"/>
  <c r="U420" i="6"/>
  <c r="T420" i="6"/>
  <c r="U419" i="6"/>
  <c r="T419" i="6"/>
  <c r="U418" i="6"/>
  <c r="T418" i="6"/>
  <c r="U417" i="6"/>
  <c r="T417" i="6"/>
  <c r="U416" i="6"/>
  <c r="T416" i="6"/>
  <c r="U415" i="6"/>
  <c r="T415" i="6"/>
  <c r="U414" i="6"/>
  <c r="T414" i="6"/>
  <c r="U413" i="6"/>
  <c r="T413" i="6"/>
  <c r="U412" i="6"/>
  <c r="T412" i="6"/>
  <c r="U411" i="6"/>
  <c r="T411" i="6"/>
  <c r="U410" i="6"/>
  <c r="T410" i="6"/>
  <c r="U409" i="6"/>
  <c r="T409" i="6"/>
  <c r="U408" i="6"/>
  <c r="T408" i="6"/>
  <c r="U407" i="6"/>
  <c r="T407" i="6"/>
  <c r="U406" i="6"/>
  <c r="T406" i="6"/>
  <c r="U405" i="6"/>
  <c r="T405" i="6"/>
  <c r="U404" i="6"/>
  <c r="T404" i="6"/>
  <c r="U403" i="6"/>
  <c r="T403" i="6"/>
  <c r="U402" i="6"/>
  <c r="T402" i="6"/>
  <c r="U401" i="6"/>
  <c r="T401" i="6"/>
  <c r="U400" i="6"/>
  <c r="T400" i="6"/>
  <c r="U399" i="6"/>
  <c r="T399" i="6"/>
  <c r="U398" i="6"/>
  <c r="T398" i="6"/>
  <c r="U397" i="6"/>
  <c r="T397" i="6"/>
  <c r="U396" i="6"/>
  <c r="T396" i="6"/>
  <c r="U395" i="6"/>
  <c r="T395" i="6"/>
  <c r="U394" i="6"/>
  <c r="T394" i="6"/>
  <c r="U393" i="6"/>
  <c r="T393" i="6"/>
  <c r="U392" i="6"/>
  <c r="T392" i="6"/>
  <c r="U391" i="6"/>
  <c r="T391" i="6"/>
  <c r="U390" i="6"/>
  <c r="T390" i="6"/>
  <c r="U389" i="6"/>
  <c r="T389" i="6"/>
  <c r="U388" i="6"/>
  <c r="T388" i="6"/>
  <c r="U387" i="6"/>
  <c r="T387" i="6"/>
  <c r="U386" i="6"/>
  <c r="T386" i="6"/>
  <c r="U385" i="6"/>
  <c r="T385" i="6"/>
  <c r="U384" i="6"/>
  <c r="T384" i="6"/>
  <c r="U383" i="6"/>
  <c r="T383" i="6"/>
  <c r="U382" i="6"/>
  <c r="T382" i="6"/>
  <c r="U381" i="6"/>
  <c r="T381" i="6"/>
  <c r="U380" i="6"/>
  <c r="T380" i="6"/>
  <c r="U379" i="6"/>
  <c r="T379" i="6"/>
  <c r="U378" i="6"/>
  <c r="T378" i="6"/>
  <c r="U377" i="6"/>
  <c r="T377" i="6"/>
  <c r="U376" i="6"/>
  <c r="T376" i="6"/>
  <c r="U375" i="6"/>
  <c r="T375" i="6"/>
  <c r="U374" i="6"/>
  <c r="T374" i="6"/>
  <c r="U373" i="6"/>
  <c r="T373" i="6"/>
  <c r="U372" i="6"/>
  <c r="T372" i="6"/>
  <c r="U371" i="6"/>
  <c r="T371" i="6"/>
  <c r="U370" i="6"/>
  <c r="T370" i="6"/>
  <c r="U369" i="6"/>
  <c r="T369" i="6"/>
  <c r="U368" i="6"/>
  <c r="T368" i="6"/>
  <c r="U367" i="6"/>
  <c r="T367" i="6"/>
  <c r="U366" i="6"/>
  <c r="T366" i="6"/>
  <c r="U365" i="6"/>
  <c r="T365" i="6"/>
  <c r="U364" i="6"/>
  <c r="T364" i="6"/>
  <c r="U363" i="6"/>
  <c r="T363" i="6"/>
  <c r="U362" i="6"/>
  <c r="T362" i="6"/>
  <c r="U361" i="6"/>
  <c r="T361" i="6"/>
  <c r="U360" i="6"/>
  <c r="T360" i="6"/>
  <c r="U359" i="6"/>
  <c r="T359" i="6"/>
  <c r="U358" i="6"/>
  <c r="T358" i="6"/>
  <c r="U357" i="6"/>
  <c r="T357" i="6"/>
  <c r="U356" i="6"/>
  <c r="T356" i="6"/>
  <c r="U355" i="6"/>
  <c r="T355" i="6"/>
  <c r="U354" i="6"/>
  <c r="T354" i="6"/>
  <c r="U353" i="6"/>
  <c r="T353" i="6"/>
  <c r="U352" i="6"/>
  <c r="T352" i="6"/>
  <c r="U351" i="6"/>
  <c r="T351" i="6"/>
  <c r="U350" i="6"/>
  <c r="T350" i="6"/>
  <c r="U349" i="6"/>
  <c r="T349" i="6"/>
  <c r="U348" i="6"/>
  <c r="T348" i="6"/>
  <c r="U347" i="6"/>
  <c r="T347" i="6"/>
  <c r="U346" i="6"/>
  <c r="T346" i="6"/>
  <c r="U345" i="6"/>
  <c r="T345" i="6"/>
  <c r="U344" i="6"/>
  <c r="T344" i="6"/>
  <c r="U343" i="6"/>
  <c r="T343" i="6"/>
  <c r="U342" i="6"/>
  <c r="T342" i="6"/>
  <c r="U341" i="6"/>
  <c r="T341" i="6"/>
  <c r="U340" i="6"/>
  <c r="T340" i="6"/>
  <c r="U339" i="6"/>
  <c r="T339" i="6"/>
  <c r="U338" i="6"/>
  <c r="T338" i="6"/>
  <c r="U337" i="6"/>
  <c r="T337" i="6"/>
  <c r="U336" i="6"/>
  <c r="T336" i="6"/>
  <c r="U335" i="6"/>
  <c r="T335" i="6"/>
  <c r="U334" i="6"/>
  <c r="T334" i="6"/>
  <c r="U333" i="6"/>
  <c r="T333" i="6"/>
  <c r="U332" i="6"/>
  <c r="T332" i="6"/>
  <c r="U331" i="6"/>
  <c r="T331" i="6"/>
  <c r="U330" i="6"/>
  <c r="T330" i="6"/>
  <c r="U329" i="6"/>
  <c r="T329" i="6"/>
  <c r="U328" i="6"/>
  <c r="T328" i="6"/>
  <c r="U327" i="6"/>
  <c r="T327" i="6"/>
  <c r="U326" i="6"/>
  <c r="T326" i="6"/>
  <c r="U325" i="6"/>
  <c r="T325" i="6"/>
  <c r="U324" i="6"/>
  <c r="T324" i="6"/>
  <c r="U323" i="6"/>
  <c r="T323" i="6"/>
  <c r="U322" i="6"/>
  <c r="T322" i="6"/>
  <c r="U321" i="6"/>
  <c r="T321" i="6"/>
  <c r="U320" i="6"/>
  <c r="T320" i="6"/>
  <c r="U319" i="6"/>
  <c r="T319" i="6"/>
  <c r="U318" i="6"/>
  <c r="T318" i="6"/>
  <c r="U317" i="6"/>
  <c r="T317" i="6"/>
  <c r="U316" i="6"/>
  <c r="T316" i="6"/>
  <c r="U315" i="6"/>
  <c r="T315" i="6"/>
  <c r="U314" i="6"/>
  <c r="T314" i="6"/>
  <c r="U313" i="6"/>
  <c r="T313" i="6"/>
  <c r="U312" i="6"/>
  <c r="T312" i="6"/>
  <c r="U311" i="6"/>
  <c r="T311" i="6"/>
  <c r="U310" i="6"/>
  <c r="T310" i="6"/>
  <c r="U309" i="6"/>
  <c r="T309" i="6"/>
  <c r="U308" i="6"/>
  <c r="T308" i="6"/>
  <c r="U307" i="6"/>
  <c r="T307" i="6"/>
  <c r="U306" i="6"/>
  <c r="T306" i="6"/>
  <c r="U305" i="6"/>
  <c r="T305" i="6"/>
  <c r="U304" i="6"/>
  <c r="T304" i="6"/>
  <c r="U303" i="6"/>
  <c r="T303" i="6"/>
  <c r="U302" i="6"/>
  <c r="T302" i="6"/>
  <c r="U301" i="6"/>
  <c r="T301" i="6"/>
  <c r="U300" i="6"/>
  <c r="T300" i="6"/>
  <c r="U299" i="6"/>
  <c r="T299" i="6"/>
  <c r="U298" i="6"/>
  <c r="T298" i="6"/>
  <c r="U297" i="6"/>
  <c r="T297" i="6"/>
  <c r="U296" i="6"/>
  <c r="T296" i="6"/>
  <c r="U295" i="6"/>
  <c r="T295" i="6"/>
  <c r="U294" i="6"/>
  <c r="T294" i="6"/>
  <c r="U293" i="6"/>
  <c r="T293" i="6"/>
  <c r="U292" i="6"/>
  <c r="T292" i="6"/>
  <c r="U291" i="6"/>
  <c r="T291" i="6"/>
  <c r="U290" i="6"/>
  <c r="T290" i="6"/>
  <c r="U289" i="6"/>
  <c r="T289" i="6"/>
  <c r="U288" i="6"/>
  <c r="T288" i="6"/>
  <c r="U287" i="6"/>
  <c r="T287" i="6"/>
  <c r="U286" i="6"/>
  <c r="T286" i="6"/>
  <c r="U285" i="6"/>
  <c r="T285" i="6"/>
  <c r="U284" i="6"/>
  <c r="T284" i="6"/>
  <c r="U283" i="6"/>
  <c r="T283" i="6"/>
  <c r="U282" i="6"/>
  <c r="T282" i="6"/>
  <c r="U281" i="6"/>
  <c r="T281" i="6"/>
  <c r="U280" i="6"/>
  <c r="T280" i="6"/>
  <c r="U279" i="6"/>
  <c r="T279" i="6"/>
  <c r="U278" i="6"/>
  <c r="T278" i="6"/>
  <c r="U277" i="6"/>
  <c r="T277" i="6"/>
  <c r="U276" i="6"/>
  <c r="T276" i="6"/>
  <c r="U275" i="6"/>
  <c r="T275" i="6"/>
  <c r="U274" i="6"/>
  <c r="T274" i="6"/>
  <c r="U273" i="6"/>
  <c r="T273" i="6"/>
  <c r="U272" i="6"/>
  <c r="T272" i="6"/>
  <c r="U271" i="6"/>
  <c r="T271" i="6"/>
  <c r="U270" i="6"/>
  <c r="T270" i="6"/>
  <c r="U269" i="6"/>
  <c r="T269" i="6"/>
  <c r="U268" i="6"/>
  <c r="T268" i="6"/>
  <c r="U267" i="6"/>
  <c r="T267" i="6"/>
  <c r="U266" i="6"/>
  <c r="T266" i="6"/>
  <c r="U265" i="6"/>
  <c r="T265" i="6"/>
  <c r="U264" i="6"/>
  <c r="T264" i="6"/>
  <c r="U263" i="6"/>
  <c r="T263" i="6"/>
  <c r="U262" i="6"/>
  <c r="T262" i="6"/>
  <c r="U261" i="6"/>
  <c r="T261" i="6"/>
  <c r="U260" i="6"/>
  <c r="T260" i="6"/>
  <c r="U259" i="6"/>
  <c r="T259" i="6"/>
  <c r="U258" i="6"/>
  <c r="T258" i="6"/>
  <c r="U257" i="6"/>
  <c r="T257" i="6"/>
  <c r="U256" i="6"/>
  <c r="T256" i="6"/>
  <c r="U255" i="6"/>
  <c r="T255" i="6"/>
  <c r="U254" i="6"/>
  <c r="T254" i="6"/>
  <c r="U253" i="6"/>
  <c r="T253" i="6"/>
  <c r="U252" i="6"/>
  <c r="T252" i="6"/>
  <c r="U251" i="6"/>
  <c r="T251" i="6"/>
  <c r="U250" i="6"/>
  <c r="T250" i="6"/>
  <c r="U249" i="6"/>
  <c r="T249" i="6"/>
  <c r="U248" i="6"/>
  <c r="T248" i="6"/>
  <c r="U247" i="6"/>
  <c r="T247" i="6"/>
  <c r="U246" i="6"/>
  <c r="T246" i="6"/>
  <c r="U245" i="6"/>
  <c r="T245" i="6"/>
  <c r="U244" i="6"/>
  <c r="T244" i="6"/>
  <c r="U243" i="6"/>
  <c r="T243" i="6"/>
  <c r="U242" i="6"/>
  <c r="T242" i="6"/>
  <c r="U241" i="6"/>
  <c r="T241" i="6"/>
  <c r="U240" i="6"/>
  <c r="T240" i="6"/>
  <c r="U239" i="6"/>
  <c r="T239" i="6"/>
  <c r="U238" i="6"/>
  <c r="T238" i="6"/>
  <c r="U237" i="6"/>
  <c r="T237" i="6"/>
  <c r="U236" i="6"/>
  <c r="T236" i="6"/>
  <c r="U235" i="6"/>
  <c r="T235" i="6"/>
  <c r="U234" i="6"/>
  <c r="T234" i="6"/>
  <c r="U233" i="6"/>
  <c r="T233" i="6"/>
  <c r="U232" i="6"/>
  <c r="T232" i="6"/>
  <c r="U231" i="6"/>
  <c r="T231" i="6"/>
  <c r="U230" i="6"/>
  <c r="T230" i="6"/>
  <c r="U229" i="6"/>
  <c r="T229" i="6"/>
  <c r="U228" i="6"/>
  <c r="T228" i="6"/>
  <c r="U227" i="6"/>
  <c r="T227" i="6"/>
  <c r="U226" i="6"/>
  <c r="T226" i="6"/>
  <c r="U225" i="6"/>
  <c r="T225" i="6"/>
  <c r="U224" i="6"/>
  <c r="T224" i="6"/>
  <c r="U223" i="6"/>
  <c r="T223" i="6"/>
  <c r="U222" i="6"/>
  <c r="T222" i="6"/>
  <c r="U221" i="6"/>
  <c r="T221" i="6"/>
  <c r="U220" i="6"/>
  <c r="T220" i="6"/>
  <c r="U219" i="6"/>
  <c r="T219" i="6"/>
  <c r="U218" i="6"/>
  <c r="T218" i="6"/>
  <c r="U217" i="6"/>
  <c r="T217" i="6"/>
  <c r="U216" i="6"/>
  <c r="T216" i="6"/>
  <c r="U215" i="6"/>
  <c r="T215" i="6"/>
  <c r="U214" i="6"/>
  <c r="T214" i="6"/>
  <c r="U213" i="6"/>
  <c r="T213" i="6"/>
  <c r="U212" i="6"/>
  <c r="T212" i="6"/>
  <c r="U211" i="6"/>
  <c r="T211" i="6"/>
  <c r="U210" i="6"/>
  <c r="T210" i="6"/>
  <c r="U209" i="6"/>
  <c r="T209" i="6"/>
  <c r="U208" i="6"/>
  <c r="T208" i="6"/>
  <c r="U207" i="6"/>
  <c r="T207" i="6"/>
  <c r="U206" i="6"/>
  <c r="T206" i="6"/>
  <c r="U205" i="6"/>
  <c r="T205" i="6"/>
  <c r="U204" i="6"/>
  <c r="T204" i="6"/>
  <c r="U203" i="6"/>
  <c r="T203" i="6"/>
  <c r="U202" i="6"/>
  <c r="T202" i="6"/>
  <c r="U201" i="6"/>
  <c r="T201" i="6"/>
  <c r="U200" i="6"/>
  <c r="T200" i="6"/>
  <c r="U199" i="6"/>
  <c r="T199" i="6"/>
  <c r="U198" i="6"/>
  <c r="T198" i="6"/>
  <c r="U197" i="6"/>
  <c r="T197" i="6"/>
  <c r="U196" i="6"/>
  <c r="T196" i="6"/>
  <c r="U195" i="6"/>
  <c r="T195" i="6"/>
  <c r="U194" i="6"/>
  <c r="T194" i="6"/>
  <c r="U193" i="6"/>
  <c r="T193" i="6"/>
  <c r="U192" i="6"/>
  <c r="T192" i="6"/>
  <c r="U191" i="6"/>
  <c r="T191" i="6"/>
  <c r="U190" i="6"/>
  <c r="T190" i="6"/>
  <c r="U189" i="6"/>
  <c r="T189" i="6"/>
  <c r="U188" i="6"/>
  <c r="T188" i="6"/>
  <c r="U187" i="6"/>
  <c r="T187" i="6"/>
  <c r="U186" i="6"/>
  <c r="T186" i="6"/>
  <c r="U185" i="6"/>
  <c r="T185" i="6"/>
  <c r="U184" i="6"/>
  <c r="T184" i="6"/>
  <c r="U183" i="6"/>
  <c r="T183" i="6"/>
  <c r="U182" i="6"/>
  <c r="T182" i="6"/>
  <c r="U181" i="6"/>
  <c r="T181" i="6"/>
  <c r="U180" i="6"/>
  <c r="T180" i="6"/>
  <c r="U179" i="6"/>
  <c r="T179" i="6"/>
  <c r="U178" i="6"/>
  <c r="T178" i="6"/>
  <c r="U177" i="6"/>
  <c r="T177" i="6"/>
  <c r="U176" i="6"/>
  <c r="T176" i="6"/>
  <c r="U175" i="6"/>
  <c r="T175" i="6"/>
  <c r="U174" i="6"/>
  <c r="T174" i="6"/>
  <c r="U173" i="6"/>
  <c r="T173" i="6"/>
  <c r="U172" i="6"/>
  <c r="T172" i="6"/>
  <c r="U171" i="6"/>
  <c r="T171" i="6"/>
  <c r="U170" i="6"/>
  <c r="T170" i="6"/>
  <c r="U169" i="6"/>
  <c r="T169" i="6"/>
  <c r="U168" i="6"/>
  <c r="T168" i="6"/>
  <c r="U167" i="6"/>
  <c r="T167" i="6"/>
  <c r="U166" i="6"/>
  <c r="T166" i="6"/>
  <c r="U165" i="6"/>
  <c r="T165" i="6"/>
  <c r="U164" i="6"/>
  <c r="T164" i="6"/>
  <c r="U163" i="6"/>
  <c r="T163" i="6"/>
  <c r="U162" i="6"/>
  <c r="T162" i="6"/>
  <c r="U161" i="6"/>
  <c r="T161" i="6"/>
  <c r="U160" i="6"/>
  <c r="T160" i="6"/>
  <c r="U159" i="6"/>
  <c r="T159" i="6"/>
  <c r="U158" i="6"/>
  <c r="T158" i="6"/>
  <c r="U157" i="6"/>
  <c r="T157" i="6"/>
  <c r="U156" i="6"/>
  <c r="T156" i="6"/>
  <c r="U155" i="6"/>
  <c r="T155" i="6"/>
  <c r="U154" i="6"/>
  <c r="T154" i="6"/>
  <c r="U153" i="6"/>
  <c r="T153" i="6"/>
  <c r="U152" i="6"/>
  <c r="T152" i="6"/>
  <c r="U151" i="6"/>
  <c r="T151" i="6"/>
  <c r="U150" i="6"/>
  <c r="T150" i="6"/>
  <c r="U149" i="6"/>
  <c r="T149" i="6"/>
  <c r="U148" i="6"/>
  <c r="T148" i="6"/>
  <c r="U147" i="6"/>
  <c r="T147" i="6"/>
  <c r="U146" i="6"/>
  <c r="T146" i="6"/>
  <c r="U145" i="6"/>
  <c r="T145" i="6"/>
  <c r="U144" i="6"/>
  <c r="T144" i="6"/>
  <c r="U143" i="6"/>
  <c r="T143" i="6"/>
  <c r="U142" i="6"/>
  <c r="T142" i="6"/>
  <c r="U141" i="6"/>
  <c r="T141" i="6"/>
  <c r="U140" i="6"/>
  <c r="T140" i="6"/>
  <c r="U139" i="6"/>
  <c r="T139" i="6"/>
  <c r="U138" i="6"/>
  <c r="T138" i="6"/>
  <c r="U137" i="6"/>
  <c r="T137" i="6"/>
  <c r="U136" i="6"/>
  <c r="T136" i="6"/>
  <c r="U135" i="6"/>
  <c r="T135" i="6"/>
  <c r="U134" i="6"/>
  <c r="T134" i="6"/>
  <c r="U133" i="6"/>
  <c r="T133" i="6"/>
  <c r="U132" i="6"/>
  <c r="T132" i="6"/>
  <c r="U131" i="6"/>
  <c r="T131" i="6"/>
  <c r="U130" i="6"/>
  <c r="T130" i="6"/>
  <c r="U129" i="6"/>
  <c r="T129" i="6"/>
  <c r="U128" i="6"/>
  <c r="T128" i="6"/>
  <c r="U127" i="6"/>
  <c r="T127" i="6"/>
  <c r="U126" i="6"/>
  <c r="T126" i="6"/>
  <c r="U125" i="6"/>
  <c r="T125" i="6"/>
  <c r="U124" i="6"/>
  <c r="T124" i="6"/>
  <c r="U123" i="6"/>
  <c r="T123" i="6"/>
  <c r="U122" i="6"/>
  <c r="T122" i="6"/>
  <c r="U121" i="6"/>
  <c r="T121" i="6"/>
  <c r="U120" i="6"/>
  <c r="T120" i="6"/>
  <c r="U119" i="6"/>
  <c r="T119" i="6"/>
  <c r="U118" i="6"/>
  <c r="T118" i="6"/>
  <c r="U117" i="6"/>
  <c r="T117" i="6"/>
  <c r="U116" i="6"/>
  <c r="T116" i="6"/>
  <c r="U115" i="6"/>
  <c r="T115" i="6"/>
  <c r="U114" i="6"/>
  <c r="T114" i="6"/>
  <c r="U113" i="6"/>
  <c r="T113" i="6"/>
  <c r="U112" i="6"/>
  <c r="T112" i="6"/>
  <c r="U111" i="6"/>
  <c r="T111" i="6"/>
  <c r="U110" i="6"/>
  <c r="T110" i="6"/>
  <c r="U109" i="6"/>
  <c r="T109" i="6"/>
  <c r="U108" i="6"/>
  <c r="T108" i="6"/>
  <c r="U107" i="6"/>
  <c r="T107" i="6"/>
  <c r="U106" i="6"/>
  <c r="T106" i="6"/>
  <c r="U105" i="6"/>
  <c r="T105" i="6"/>
  <c r="U104" i="6"/>
  <c r="T104" i="6"/>
  <c r="U103" i="6"/>
  <c r="T103" i="6"/>
  <c r="U102" i="6"/>
  <c r="T102" i="6"/>
  <c r="U101" i="6"/>
  <c r="T101" i="6"/>
  <c r="U100" i="6"/>
  <c r="T100" i="6"/>
  <c r="U99" i="6"/>
  <c r="T99" i="6"/>
  <c r="U98" i="6"/>
  <c r="T98" i="6"/>
  <c r="U97" i="6"/>
  <c r="T97" i="6"/>
  <c r="U96" i="6"/>
  <c r="T96" i="6"/>
  <c r="U95" i="6"/>
  <c r="T95" i="6"/>
  <c r="U94" i="6"/>
  <c r="T94" i="6"/>
  <c r="U93" i="6"/>
  <c r="T93" i="6"/>
  <c r="U92" i="6"/>
  <c r="T92" i="6"/>
  <c r="U91" i="6"/>
  <c r="T91" i="6"/>
  <c r="U90" i="6"/>
  <c r="T90" i="6"/>
  <c r="U89" i="6"/>
  <c r="T89" i="6"/>
  <c r="U88" i="6"/>
  <c r="T88" i="6"/>
  <c r="U87" i="6"/>
  <c r="T87" i="6"/>
  <c r="U86" i="6"/>
  <c r="T86" i="6"/>
  <c r="U85" i="6"/>
  <c r="T85" i="6"/>
  <c r="U84" i="6"/>
  <c r="T84" i="6"/>
  <c r="U83" i="6"/>
  <c r="T83" i="6"/>
  <c r="U82" i="6"/>
  <c r="T82" i="6"/>
  <c r="U81" i="6"/>
  <c r="T81" i="6"/>
  <c r="U80" i="6"/>
  <c r="T80" i="6"/>
  <c r="U79" i="6"/>
  <c r="T79" i="6"/>
  <c r="U78" i="6"/>
  <c r="T78" i="6"/>
  <c r="U77" i="6"/>
  <c r="T77" i="6"/>
  <c r="U76" i="6"/>
  <c r="T76" i="6"/>
  <c r="U75" i="6"/>
  <c r="T75" i="6"/>
  <c r="U74" i="6"/>
  <c r="T74" i="6"/>
  <c r="U73" i="6"/>
  <c r="T73" i="6"/>
  <c r="U72" i="6"/>
  <c r="T72" i="6"/>
  <c r="U71" i="6"/>
  <c r="T71" i="6"/>
  <c r="U70" i="6"/>
  <c r="T70" i="6"/>
  <c r="U69" i="6"/>
  <c r="T69" i="6"/>
  <c r="U68" i="6"/>
  <c r="T68" i="6"/>
  <c r="U67" i="6"/>
  <c r="T67" i="6"/>
  <c r="U66" i="6"/>
  <c r="T66" i="6"/>
  <c r="U65" i="6"/>
  <c r="T65" i="6"/>
  <c r="U64" i="6"/>
  <c r="T64" i="6"/>
  <c r="U63" i="6"/>
  <c r="T63" i="6"/>
  <c r="U62" i="6"/>
  <c r="T62" i="6"/>
  <c r="U61" i="6"/>
  <c r="T61" i="6"/>
  <c r="U60" i="6"/>
  <c r="T60" i="6"/>
  <c r="U59" i="6"/>
  <c r="T59" i="6"/>
  <c r="U58" i="6"/>
  <c r="T58" i="6"/>
  <c r="U57" i="6"/>
  <c r="T57" i="6"/>
  <c r="U56" i="6"/>
  <c r="T56" i="6"/>
  <c r="U55" i="6"/>
  <c r="T55" i="6"/>
  <c r="U54" i="6"/>
  <c r="T54" i="6"/>
  <c r="U53" i="6"/>
  <c r="T53" i="6"/>
  <c r="U52" i="6"/>
  <c r="T52" i="6"/>
  <c r="U51" i="6"/>
  <c r="T51" i="6"/>
  <c r="U50" i="6"/>
  <c r="T50" i="6"/>
  <c r="U49" i="6"/>
  <c r="T49" i="6"/>
  <c r="U48" i="6"/>
  <c r="T48" i="6"/>
  <c r="U47" i="6"/>
  <c r="T47" i="6"/>
  <c r="U46" i="6"/>
  <c r="T46" i="6"/>
  <c r="U45" i="6"/>
  <c r="T45" i="6"/>
  <c r="U44" i="6"/>
  <c r="T44" i="6"/>
  <c r="U43" i="6"/>
  <c r="T43" i="6"/>
  <c r="U42" i="6"/>
  <c r="T42" i="6"/>
  <c r="U41" i="6"/>
  <c r="T41" i="6"/>
  <c r="U40" i="6"/>
  <c r="T40" i="6"/>
  <c r="U39" i="6"/>
  <c r="T39" i="6"/>
  <c r="U38" i="6"/>
  <c r="T38" i="6"/>
  <c r="U37" i="6"/>
  <c r="T37" i="6"/>
  <c r="U36" i="6"/>
  <c r="T36" i="6"/>
  <c r="U35" i="6"/>
  <c r="T35" i="6"/>
  <c r="U34" i="6"/>
  <c r="T34" i="6"/>
  <c r="U33" i="6"/>
  <c r="T33" i="6"/>
  <c r="U32" i="6"/>
  <c r="T32" i="6"/>
  <c r="U31" i="6"/>
  <c r="T31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T5" i="6"/>
  <c r="U4" i="6"/>
  <c r="T4" i="6"/>
  <c r="U3" i="6"/>
  <c r="T3" i="6"/>
  <c r="U2" i="6"/>
  <c r="T2" i="6"/>
  <c r="F786" i="1"/>
  <c r="F785" i="1"/>
  <c r="F784" i="1"/>
  <c r="F783" i="1"/>
  <c r="F782" i="1"/>
  <c r="F781" i="1"/>
  <c r="F780" i="1"/>
  <c r="F779" i="1"/>
  <c r="F778" i="1"/>
  <c r="F777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T758" i="1"/>
  <c r="U757" i="1"/>
  <c r="T757" i="1"/>
  <c r="U756" i="1"/>
  <c r="T756" i="1"/>
  <c r="U755" i="1"/>
  <c r="T755" i="1"/>
  <c r="U754" i="1"/>
  <c r="T754" i="1"/>
  <c r="U753" i="1"/>
  <c r="T753" i="1"/>
  <c r="U752" i="1"/>
  <c r="T752" i="1"/>
  <c r="U751" i="1"/>
  <c r="T751" i="1"/>
  <c r="U750" i="1"/>
  <c r="T750" i="1"/>
  <c r="U749" i="1"/>
  <c r="T749" i="1"/>
  <c r="U748" i="1"/>
  <c r="T748" i="1"/>
  <c r="U747" i="1"/>
  <c r="T747" i="1"/>
  <c r="U746" i="1"/>
  <c r="T746" i="1"/>
  <c r="U745" i="1"/>
  <c r="T745" i="1"/>
  <c r="U744" i="1"/>
  <c r="T744" i="1"/>
  <c r="U743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T734" i="1"/>
  <c r="U733" i="1"/>
  <c r="T733" i="1"/>
  <c r="U732" i="1"/>
  <c r="T732" i="1"/>
  <c r="U731" i="1"/>
  <c r="T731" i="1"/>
  <c r="U730" i="1"/>
  <c r="T730" i="1"/>
  <c r="U729" i="1"/>
  <c r="T729" i="1"/>
  <c r="U728" i="1"/>
  <c r="T728" i="1"/>
  <c r="U727" i="1"/>
  <c r="T727" i="1"/>
  <c r="U726" i="1"/>
  <c r="T726" i="1"/>
  <c r="U725" i="1"/>
  <c r="T725" i="1"/>
  <c r="U724" i="1"/>
  <c r="T724" i="1"/>
  <c r="U723" i="1"/>
  <c r="T723" i="1"/>
  <c r="U722" i="1"/>
  <c r="T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T713" i="1"/>
  <c r="U712" i="1"/>
  <c r="T712" i="1"/>
  <c r="U711" i="1"/>
  <c r="T711" i="1"/>
  <c r="U710" i="1"/>
  <c r="T710" i="1"/>
  <c r="U709" i="1"/>
  <c r="T709" i="1"/>
  <c r="U708" i="1"/>
  <c r="T708" i="1"/>
  <c r="U707" i="1"/>
  <c r="T707" i="1"/>
  <c r="U706" i="1"/>
  <c r="T706" i="1"/>
  <c r="U705" i="1"/>
  <c r="T705" i="1"/>
  <c r="U704" i="1"/>
  <c r="T704" i="1"/>
  <c r="U703" i="1"/>
  <c r="T703" i="1"/>
  <c r="U702" i="1"/>
  <c r="T702" i="1"/>
  <c r="U701" i="1"/>
  <c r="T701" i="1"/>
  <c r="U700" i="1"/>
  <c r="T700" i="1"/>
  <c r="U699" i="1"/>
  <c r="T699" i="1"/>
  <c r="U698" i="1"/>
  <c r="T698" i="1"/>
  <c r="U697" i="1"/>
  <c r="T697" i="1"/>
  <c r="U696" i="1"/>
  <c r="T696" i="1"/>
  <c r="U695" i="1"/>
  <c r="T695" i="1"/>
  <c r="U694" i="1"/>
  <c r="T694" i="1"/>
  <c r="U693" i="1"/>
  <c r="T693" i="1"/>
  <c r="U692" i="1"/>
  <c r="T692" i="1"/>
  <c r="U691" i="1"/>
  <c r="T691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U682" i="1"/>
  <c r="T682" i="1"/>
  <c r="U681" i="1"/>
  <c r="T681" i="1"/>
  <c r="U680" i="1"/>
  <c r="T680" i="1"/>
  <c r="U679" i="1"/>
  <c r="T679" i="1"/>
  <c r="U678" i="1"/>
  <c r="T678" i="1"/>
  <c r="U677" i="1"/>
  <c r="T677" i="1"/>
  <c r="U676" i="1"/>
  <c r="T676" i="1"/>
  <c r="U675" i="1"/>
  <c r="T675" i="1"/>
  <c r="U674" i="1"/>
  <c r="T674" i="1"/>
  <c r="U673" i="1"/>
  <c r="T673" i="1"/>
  <c r="U672" i="1"/>
  <c r="T672" i="1"/>
  <c r="U671" i="1"/>
  <c r="T671" i="1"/>
  <c r="U670" i="1"/>
  <c r="T670" i="1"/>
  <c r="U669" i="1"/>
  <c r="T669" i="1"/>
  <c r="U668" i="1"/>
  <c r="T668" i="1"/>
  <c r="U667" i="1"/>
  <c r="T667" i="1"/>
  <c r="U666" i="1"/>
  <c r="T666" i="1"/>
  <c r="U665" i="1"/>
  <c r="T665" i="1"/>
  <c r="U664" i="1"/>
  <c r="T664" i="1"/>
  <c r="U663" i="1"/>
  <c r="T663" i="1"/>
  <c r="U662" i="1"/>
  <c r="T662" i="1"/>
  <c r="U661" i="1"/>
  <c r="T661" i="1"/>
  <c r="U660" i="1"/>
  <c r="T660" i="1"/>
  <c r="U659" i="1"/>
  <c r="T659" i="1"/>
  <c r="U658" i="1"/>
  <c r="T658" i="1"/>
  <c r="U657" i="1"/>
  <c r="T657" i="1"/>
  <c r="U656" i="1"/>
  <c r="T656" i="1"/>
  <c r="U655" i="1"/>
  <c r="T655" i="1"/>
  <c r="U654" i="1"/>
  <c r="T654" i="1"/>
  <c r="U653" i="1"/>
  <c r="T653" i="1"/>
  <c r="U652" i="1"/>
  <c r="T652" i="1"/>
  <c r="U651" i="1"/>
  <c r="T651" i="1"/>
  <c r="U650" i="1"/>
  <c r="T650" i="1"/>
  <c r="U649" i="1"/>
  <c r="T649" i="1"/>
  <c r="U648" i="1"/>
  <c r="T648" i="1"/>
  <c r="U647" i="1"/>
  <c r="T647" i="1"/>
  <c r="U646" i="1"/>
  <c r="T646" i="1"/>
  <c r="U645" i="1"/>
  <c r="T645" i="1"/>
  <c r="U644" i="1"/>
  <c r="T644" i="1"/>
  <c r="U643" i="1"/>
  <c r="T643" i="1"/>
  <c r="U642" i="1"/>
  <c r="T642" i="1"/>
  <c r="U641" i="1"/>
  <c r="T641" i="1"/>
  <c r="U640" i="1"/>
  <c r="T640" i="1"/>
  <c r="U639" i="1"/>
  <c r="T639" i="1"/>
  <c r="U638" i="1"/>
  <c r="T638" i="1"/>
  <c r="U637" i="1"/>
  <c r="T637" i="1"/>
  <c r="U636" i="1"/>
  <c r="T636" i="1"/>
  <c r="U635" i="1"/>
  <c r="T635" i="1"/>
  <c r="U634" i="1"/>
  <c r="T634" i="1"/>
  <c r="U633" i="1"/>
  <c r="T633" i="1"/>
  <c r="U632" i="1"/>
  <c r="T632" i="1"/>
  <c r="U631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T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T596" i="1"/>
  <c r="U595" i="1"/>
  <c r="T595" i="1"/>
  <c r="U594" i="1"/>
  <c r="T594" i="1"/>
  <c r="U593" i="1"/>
  <c r="T593" i="1"/>
  <c r="U592" i="1"/>
  <c r="T592" i="1"/>
  <c r="U591" i="1"/>
  <c r="T591" i="1"/>
  <c r="U590" i="1"/>
  <c r="T590" i="1"/>
  <c r="U589" i="1"/>
  <c r="T589" i="1"/>
  <c r="U588" i="1"/>
  <c r="T588" i="1"/>
  <c r="U587" i="1"/>
  <c r="T587" i="1"/>
  <c r="U586" i="1"/>
  <c r="T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5" i="1"/>
  <c r="T555" i="1"/>
  <c r="U554" i="1"/>
  <c r="T554" i="1"/>
  <c r="U553" i="1"/>
  <c r="T553" i="1"/>
  <c r="U552" i="1"/>
  <c r="T552" i="1"/>
  <c r="U551" i="1"/>
  <c r="T551" i="1"/>
  <c r="U550" i="1"/>
  <c r="T550" i="1"/>
  <c r="U549" i="1"/>
  <c r="T549" i="1"/>
  <c r="U548" i="1"/>
  <c r="T548" i="1"/>
  <c r="U547" i="1"/>
  <c r="T547" i="1"/>
  <c r="U546" i="1"/>
  <c r="T546" i="1"/>
  <c r="U545" i="1"/>
  <c r="T545" i="1"/>
  <c r="U544" i="1"/>
  <c r="T544" i="1"/>
  <c r="U543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  <c r="P2" i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I777" i="4"/>
  <c r="F786" i="4"/>
  <c r="H786" i="4" s="1"/>
  <c r="F785" i="4"/>
  <c r="H785" i="4" s="1"/>
  <c r="F784" i="4"/>
  <c r="F783" i="4"/>
  <c r="I783" i="4" s="1"/>
  <c r="F782" i="4"/>
  <c r="H782" i="4" s="1"/>
  <c r="F781" i="4"/>
  <c r="H781" i="4" s="1"/>
  <c r="F780" i="4"/>
  <c r="I780" i="4" s="1"/>
  <c r="F779" i="4"/>
  <c r="F778" i="4"/>
  <c r="H778" i="4" s="1"/>
  <c r="F777" i="4"/>
  <c r="H777" i="4" s="1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I786" i="4" s="1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I782" i="4" s="1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I779" i="4" s="1"/>
  <c r="U13" i="4"/>
  <c r="U12" i="4"/>
  <c r="U11" i="4"/>
  <c r="U10" i="4"/>
  <c r="U9" i="4"/>
  <c r="U8" i="4"/>
  <c r="U7" i="4"/>
  <c r="U6" i="4"/>
  <c r="U5" i="4"/>
  <c r="U4" i="4"/>
  <c r="U3" i="4"/>
  <c r="U2" i="4"/>
  <c r="I784" i="4" s="1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H780" i="4" s="1"/>
  <c r="T22" i="4"/>
  <c r="T21" i="4"/>
  <c r="T20" i="4"/>
  <c r="T19" i="4"/>
  <c r="T18" i="4"/>
  <c r="T17" i="4"/>
  <c r="T16" i="4"/>
  <c r="T15" i="4"/>
  <c r="T14" i="4"/>
  <c r="H779" i="4" s="1"/>
  <c r="T13" i="4"/>
  <c r="T12" i="4"/>
  <c r="T11" i="4"/>
  <c r="T10" i="4"/>
  <c r="T9" i="4"/>
  <c r="T8" i="4"/>
  <c r="T7" i="4"/>
  <c r="H783" i="4" s="1"/>
  <c r="T6" i="4"/>
  <c r="H784" i="4" s="1"/>
  <c r="T5" i="4"/>
  <c r="T4" i="4"/>
  <c r="T3" i="4"/>
  <c r="T2" i="4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I784" i="2" s="1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I786" i="2" s="1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I778" i="2" s="1"/>
  <c r="T29" i="2"/>
  <c r="T28" i="2"/>
  <c r="I779" i="2" s="1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I783" i="2" s="1"/>
  <c r="T3" i="2"/>
  <c r="T2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H786" i="2" s="1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H782" i="2" s="1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F786" i="2"/>
  <c r="F785" i="2"/>
  <c r="H785" i="2" s="1"/>
  <c r="F784" i="2"/>
  <c r="H784" i="2" s="1"/>
  <c r="F783" i="2"/>
  <c r="H783" i="2" s="1"/>
  <c r="F782" i="2"/>
  <c r="I782" i="2" s="1"/>
  <c r="F781" i="2"/>
  <c r="H781" i="2" s="1"/>
  <c r="F780" i="2"/>
  <c r="H780" i="2" s="1"/>
  <c r="F779" i="2"/>
  <c r="H779" i="2" s="1"/>
  <c r="F778" i="2"/>
  <c r="H778" i="2" s="1"/>
  <c r="F777" i="2"/>
  <c r="I777" i="2" s="1"/>
  <c r="Q2" i="2"/>
  <c r="M4" i="4"/>
  <c r="A783" i="6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D781" i="2" s="1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D786" i="2" s="1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D779" i="2" s="1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S773" i="4"/>
  <c r="R773" i="4"/>
  <c r="S772" i="4"/>
  <c r="R772" i="4"/>
  <c r="S771" i="4"/>
  <c r="R771" i="4"/>
  <c r="S770" i="4"/>
  <c r="R770" i="4"/>
  <c r="S769" i="4"/>
  <c r="R769" i="4"/>
  <c r="S768" i="4"/>
  <c r="R768" i="4"/>
  <c r="S767" i="4"/>
  <c r="R767" i="4"/>
  <c r="S766" i="4"/>
  <c r="R766" i="4"/>
  <c r="S765" i="4"/>
  <c r="R765" i="4"/>
  <c r="S764" i="4"/>
  <c r="R764" i="4"/>
  <c r="S763" i="4"/>
  <c r="R763" i="4"/>
  <c r="S762" i="4"/>
  <c r="R762" i="4"/>
  <c r="S761" i="4"/>
  <c r="R761" i="4"/>
  <c r="S760" i="4"/>
  <c r="R760" i="4"/>
  <c r="S759" i="4"/>
  <c r="R759" i="4"/>
  <c r="S758" i="4"/>
  <c r="R758" i="4"/>
  <c r="S757" i="4"/>
  <c r="R757" i="4"/>
  <c r="S756" i="4"/>
  <c r="R756" i="4"/>
  <c r="S755" i="4"/>
  <c r="R755" i="4"/>
  <c r="S754" i="4"/>
  <c r="R754" i="4"/>
  <c r="S753" i="4"/>
  <c r="R753" i="4"/>
  <c r="S752" i="4"/>
  <c r="R752" i="4"/>
  <c r="S751" i="4"/>
  <c r="R751" i="4"/>
  <c r="S750" i="4"/>
  <c r="R750" i="4"/>
  <c r="S749" i="4"/>
  <c r="R749" i="4"/>
  <c r="S748" i="4"/>
  <c r="R748" i="4"/>
  <c r="S747" i="4"/>
  <c r="R747" i="4"/>
  <c r="S746" i="4"/>
  <c r="R746" i="4"/>
  <c r="S745" i="4"/>
  <c r="R745" i="4"/>
  <c r="S744" i="4"/>
  <c r="R744" i="4"/>
  <c r="S743" i="4"/>
  <c r="R743" i="4"/>
  <c r="S742" i="4"/>
  <c r="R742" i="4"/>
  <c r="S741" i="4"/>
  <c r="R741" i="4"/>
  <c r="S740" i="4"/>
  <c r="R740" i="4"/>
  <c r="S739" i="4"/>
  <c r="R739" i="4"/>
  <c r="S738" i="4"/>
  <c r="R738" i="4"/>
  <c r="S737" i="4"/>
  <c r="R737" i="4"/>
  <c r="S736" i="4"/>
  <c r="R736" i="4"/>
  <c r="S735" i="4"/>
  <c r="R735" i="4"/>
  <c r="S734" i="4"/>
  <c r="R734" i="4"/>
  <c r="S733" i="4"/>
  <c r="R733" i="4"/>
  <c r="S732" i="4"/>
  <c r="R732" i="4"/>
  <c r="S731" i="4"/>
  <c r="R731" i="4"/>
  <c r="S730" i="4"/>
  <c r="R730" i="4"/>
  <c r="S729" i="4"/>
  <c r="R729" i="4"/>
  <c r="S728" i="4"/>
  <c r="R728" i="4"/>
  <c r="S727" i="4"/>
  <c r="R727" i="4"/>
  <c r="S726" i="4"/>
  <c r="R726" i="4"/>
  <c r="S725" i="4"/>
  <c r="R725" i="4"/>
  <c r="S724" i="4"/>
  <c r="R724" i="4"/>
  <c r="S723" i="4"/>
  <c r="R723" i="4"/>
  <c r="S722" i="4"/>
  <c r="R722" i="4"/>
  <c r="S721" i="4"/>
  <c r="R721" i="4"/>
  <c r="S720" i="4"/>
  <c r="R720" i="4"/>
  <c r="S719" i="4"/>
  <c r="R719" i="4"/>
  <c r="S718" i="4"/>
  <c r="R718" i="4"/>
  <c r="S717" i="4"/>
  <c r="R717" i="4"/>
  <c r="S716" i="4"/>
  <c r="R716" i="4"/>
  <c r="S715" i="4"/>
  <c r="R715" i="4"/>
  <c r="S714" i="4"/>
  <c r="R714" i="4"/>
  <c r="S713" i="4"/>
  <c r="R713" i="4"/>
  <c r="S712" i="4"/>
  <c r="R712" i="4"/>
  <c r="S711" i="4"/>
  <c r="R711" i="4"/>
  <c r="S710" i="4"/>
  <c r="R710" i="4"/>
  <c r="S709" i="4"/>
  <c r="R709" i="4"/>
  <c r="S708" i="4"/>
  <c r="R708" i="4"/>
  <c r="S707" i="4"/>
  <c r="R707" i="4"/>
  <c r="S706" i="4"/>
  <c r="R706" i="4"/>
  <c r="S705" i="4"/>
  <c r="R705" i="4"/>
  <c r="S704" i="4"/>
  <c r="R704" i="4"/>
  <c r="S703" i="4"/>
  <c r="R703" i="4"/>
  <c r="S702" i="4"/>
  <c r="R702" i="4"/>
  <c r="S701" i="4"/>
  <c r="R701" i="4"/>
  <c r="S700" i="4"/>
  <c r="R700" i="4"/>
  <c r="S699" i="4"/>
  <c r="R699" i="4"/>
  <c r="S698" i="4"/>
  <c r="R698" i="4"/>
  <c r="S697" i="4"/>
  <c r="R697" i="4"/>
  <c r="S696" i="4"/>
  <c r="R696" i="4"/>
  <c r="S695" i="4"/>
  <c r="R695" i="4"/>
  <c r="S694" i="4"/>
  <c r="R694" i="4"/>
  <c r="S693" i="4"/>
  <c r="R693" i="4"/>
  <c r="S692" i="4"/>
  <c r="R692" i="4"/>
  <c r="S691" i="4"/>
  <c r="R691" i="4"/>
  <c r="S690" i="4"/>
  <c r="R690" i="4"/>
  <c r="S689" i="4"/>
  <c r="R689" i="4"/>
  <c r="S688" i="4"/>
  <c r="R688" i="4"/>
  <c r="S687" i="4"/>
  <c r="R687" i="4"/>
  <c r="S686" i="4"/>
  <c r="R686" i="4"/>
  <c r="S685" i="4"/>
  <c r="R685" i="4"/>
  <c r="S684" i="4"/>
  <c r="R684" i="4"/>
  <c r="S683" i="4"/>
  <c r="R683" i="4"/>
  <c r="S682" i="4"/>
  <c r="R682" i="4"/>
  <c r="S681" i="4"/>
  <c r="R681" i="4"/>
  <c r="S680" i="4"/>
  <c r="R680" i="4"/>
  <c r="S679" i="4"/>
  <c r="R679" i="4"/>
  <c r="S678" i="4"/>
  <c r="R678" i="4"/>
  <c r="S677" i="4"/>
  <c r="R677" i="4"/>
  <c r="S676" i="4"/>
  <c r="R676" i="4"/>
  <c r="S675" i="4"/>
  <c r="R675" i="4"/>
  <c r="S674" i="4"/>
  <c r="R674" i="4"/>
  <c r="S673" i="4"/>
  <c r="R673" i="4"/>
  <c r="S672" i="4"/>
  <c r="R672" i="4"/>
  <c r="S671" i="4"/>
  <c r="R671" i="4"/>
  <c r="S670" i="4"/>
  <c r="R670" i="4"/>
  <c r="S669" i="4"/>
  <c r="R669" i="4"/>
  <c r="S668" i="4"/>
  <c r="R668" i="4"/>
  <c r="S667" i="4"/>
  <c r="R667" i="4"/>
  <c r="S666" i="4"/>
  <c r="R666" i="4"/>
  <c r="S665" i="4"/>
  <c r="R665" i="4"/>
  <c r="S664" i="4"/>
  <c r="R664" i="4"/>
  <c r="S663" i="4"/>
  <c r="R663" i="4"/>
  <c r="S662" i="4"/>
  <c r="R662" i="4"/>
  <c r="S661" i="4"/>
  <c r="R661" i="4"/>
  <c r="S660" i="4"/>
  <c r="R660" i="4"/>
  <c r="S659" i="4"/>
  <c r="R659" i="4"/>
  <c r="S658" i="4"/>
  <c r="R658" i="4"/>
  <c r="S657" i="4"/>
  <c r="R657" i="4"/>
  <c r="S656" i="4"/>
  <c r="R656" i="4"/>
  <c r="S655" i="4"/>
  <c r="R655" i="4"/>
  <c r="S654" i="4"/>
  <c r="R654" i="4"/>
  <c r="S653" i="4"/>
  <c r="R653" i="4"/>
  <c r="S652" i="4"/>
  <c r="R652" i="4"/>
  <c r="S651" i="4"/>
  <c r="R651" i="4"/>
  <c r="S650" i="4"/>
  <c r="R650" i="4"/>
  <c r="S649" i="4"/>
  <c r="R649" i="4"/>
  <c r="S648" i="4"/>
  <c r="R648" i="4"/>
  <c r="S647" i="4"/>
  <c r="R647" i="4"/>
  <c r="S646" i="4"/>
  <c r="R646" i="4"/>
  <c r="S645" i="4"/>
  <c r="R645" i="4"/>
  <c r="S644" i="4"/>
  <c r="R644" i="4"/>
  <c r="S643" i="4"/>
  <c r="R643" i="4"/>
  <c r="S642" i="4"/>
  <c r="R642" i="4"/>
  <c r="S641" i="4"/>
  <c r="R641" i="4"/>
  <c r="S640" i="4"/>
  <c r="R640" i="4"/>
  <c r="S639" i="4"/>
  <c r="R639" i="4"/>
  <c r="S638" i="4"/>
  <c r="R638" i="4"/>
  <c r="S637" i="4"/>
  <c r="R637" i="4"/>
  <c r="S636" i="4"/>
  <c r="R636" i="4"/>
  <c r="S635" i="4"/>
  <c r="R635" i="4"/>
  <c r="S634" i="4"/>
  <c r="R634" i="4"/>
  <c r="S633" i="4"/>
  <c r="R633" i="4"/>
  <c r="S632" i="4"/>
  <c r="R632" i="4"/>
  <c r="S631" i="4"/>
  <c r="R631" i="4"/>
  <c r="S630" i="4"/>
  <c r="R630" i="4"/>
  <c r="S629" i="4"/>
  <c r="R629" i="4"/>
  <c r="S628" i="4"/>
  <c r="R628" i="4"/>
  <c r="S627" i="4"/>
  <c r="R627" i="4"/>
  <c r="S626" i="4"/>
  <c r="R626" i="4"/>
  <c r="S625" i="4"/>
  <c r="R625" i="4"/>
  <c r="S624" i="4"/>
  <c r="R624" i="4"/>
  <c r="S623" i="4"/>
  <c r="R623" i="4"/>
  <c r="S622" i="4"/>
  <c r="R622" i="4"/>
  <c r="S621" i="4"/>
  <c r="R621" i="4"/>
  <c r="S620" i="4"/>
  <c r="R620" i="4"/>
  <c r="S619" i="4"/>
  <c r="R619" i="4"/>
  <c r="S618" i="4"/>
  <c r="R618" i="4"/>
  <c r="S617" i="4"/>
  <c r="R617" i="4"/>
  <c r="S616" i="4"/>
  <c r="R616" i="4"/>
  <c r="S615" i="4"/>
  <c r="R615" i="4"/>
  <c r="S614" i="4"/>
  <c r="R614" i="4"/>
  <c r="S613" i="4"/>
  <c r="R613" i="4"/>
  <c r="S612" i="4"/>
  <c r="R612" i="4"/>
  <c r="S611" i="4"/>
  <c r="R611" i="4"/>
  <c r="S610" i="4"/>
  <c r="R610" i="4"/>
  <c r="S609" i="4"/>
  <c r="R609" i="4"/>
  <c r="S608" i="4"/>
  <c r="R608" i="4"/>
  <c r="S607" i="4"/>
  <c r="R607" i="4"/>
  <c r="S606" i="4"/>
  <c r="R606" i="4"/>
  <c r="S605" i="4"/>
  <c r="R605" i="4"/>
  <c r="S604" i="4"/>
  <c r="R604" i="4"/>
  <c r="S603" i="4"/>
  <c r="R603" i="4"/>
  <c r="S602" i="4"/>
  <c r="R602" i="4"/>
  <c r="S601" i="4"/>
  <c r="R601" i="4"/>
  <c r="S600" i="4"/>
  <c r="R600" i="4"/>
  <c r="S599" i="4"/>
  <c r="R599" i="4"/>
  <c r="S598" i="4"/>
  <c r="R598" i="4"/>
  <c r="S597" i="4"/>
  <c r="R597" i="4"/>
  <c r="S596" i="4"/>
  <c r="R596" i="4"/>
  <c r="S595" i="4"/>
  <c r="R595" i="4"/>
  <c r="S594" i="4"/>
  <c r="R594" i="4"/>
  <c r="S593" i="4"/>
  <c r="R593" i="4"/>
  <c r="S592" i="4"/>
  <c r="R592" i="4"/>
  <c r="S591" i="4"/>
  <c r="R591" i="4"/>
  <c r="S590" i="4"/>
  <c r="R590" i="4"/>
  <c r="S589" i="4"/>
  <c r="R589" i="4"/>
  <c r="S588" i="4"/>
  <c r="R588" i="4"/>
  <c r="S587" i="4"/>
  <c r="R587" i="4"/>
  <c r="S586" i="4"/>
  <c r="R586" i="4"/>
  <c r="S585" i="4"/>
  <c r="R585" i="4"/>
  <c r="S584" i="4"/>
  <c r="R584" i="4"/>
  <c r="S583" i="4"/>
  <c r="R583" i="4"/>
  <c r="S582" i="4"/>
  <c r="R582" i="4"/>
  <c r="S581" i="4"/>
  <c r="R581" i="4"/>
  <c r="S580" i="4"/>
  <c r="R580" i="4"/>
  <c r="S579" i="4"/>
  <c r="R579" i="4"/>
  <c r="S578" i="4"/>
  <c r="R578" i="4"/>
  <c r="S577" i="4"/>
  <c r="R577" i="4"/>
  <c r="S576" i="4"/>
  <c r="R576" i="4"/>
  <c r="S575" i="4"/>
  <c r="R575" i="4"/>
  <c r="S574" i="4"/>
  <c r="R574" i="4"/>
  <c r="S573" i="4"/>
  <c r="R573" i="4"/>
  <c r="S572" i="4"/>
  <c r="R572" i="4"/>
  <c r="S571" i="4"/>
  <c r="R571" i="4"/>
  <c r="S570" i="4"/>
  <c r="R570" i="4"/>
  <c r="S569" i="4"/>
  <c r="R569" i="4"/>
  <c r="S568" i="4"/>
  <c r="R568" i="4"/>
  <c r="S567" i="4"/>
  <c r="R567" i="4"/>
  <c r="S566" i="4"/>
  <c r="R566" i="4"/>
  <c r="S565" i="4"/>
  <c r="R565" i="4"/>
  <c r="S564" i="4"/>
  <c r="R564" i="4"/>
  <c r="S563" i="4"/>
  <c r="R563" i="4"/>
  <c r="S562" i="4"/>
  <c r="R562" i="4"/>
  <c r="S561" i="4"/>
  <c r="R561" i="4"/>
  <c r="S560" i="4"/>
  <c r="R560" i="4"/>
  <c r="S559" i="4"/>
  <c r="R559" i="4"/>
  <c r="S558" i="4"/>
  <c r="R558" i="4"/>
  <c r="S557" i="4"/>
  <c r="R557" i="4"/>
  <c r="S556" i="4"/>
  <c r="R556" i="4"/>
  <c r="S555" i="4"/>
  <c r="R555" i="4"/>
  <c r="S554" i="4"/>
  <c r="R554" i="4"/>
  <c r="S553" i="4"/>
  <c r="R553" i="4"/>
  <c r="S552" i="4"/>
  <c r="R552" i="4"/>
  <c r="S551" i="4"/>
  <c r="R551" i="4"/>
  <c r="S550" i="4"/>
  <c r="R550" i="4"/>
  <c r="S549" i="4"/>
  <c r="R549" i="4"/>
  <c r="S548" i="4"/>
  <c r="R548" i="4"/>
  <c r="S547" i="4"/>
  <c r="R547" i="4"/>
  <c r="S546" i="4"/>
  <c r="R546" i="4"/>
  <c r="S545" i="4"/>
  <c r="R545" i="4"/>
  <c r="S544" i="4"/>
  <c r="R544" i="4"/>
  <c r="S543" i="4"/>
  <c r="R543" i="4"/>
  <c r="S542" i="4"/>
  <c r="R542" i="4"/>
  <c r="S541" i="4"/>
  <c r="R541" i="4"/>
  <c r="S540" i="4"/>
  <c r="R540" i="4"/>
  <c r="S539" i="4"/>
  <c r="R539" i="4"/>
  <c r="S538" i="4"/>
  <c r="R538" i="4"/>
  <c r="S537" i="4"/>
  <c r="R537" i="4"/>
  <c r="S536" i="4"/>
  <c r="R536" i="4"/>
  <c r="S535" i="4"/>
  <c r="R535" i="4"/>
  <c r="S534" i="4"/>
  <c r="R534" i="4"/>
  <c r="S533" i="4"/>
  <c r="R533" i="4"/>
  <c r="S532" i="4"/>
  <c r="R532" i="4"/>
  <c r="S531" i="4"/>
  <c r="R531" i="4"/>
  <c r="S530" i="4"/>
  <c r="R530" i="4"/>
  <c r="S529" i="4"/>
  <c r="R529" i="4"/>
  <c r="S528" i="4"/>
  <c r="R528" i="4"/>
  <c r="S527" i="4"/>
  <c r="R527" i="4"/>
  <c r="S526" i="4"/>
  <c r="R526" i="4"/>
  <c r="S525" i="4"/>
  <c r="R525" i="4"/>
  <c r="S524" i="4"/>
  <c r="R524" i="4"/>
  <c r="S523" i="4"/>
  <c r="R523" i="4"/>
  <c r="S522" i="4"/>
  <c r="R522" i="4"/>
  <c r="S521" i="4"/>
  <c r="R521" i="4"/>
  <c r="S520" i="4"/>
  <c r="R520" i="4"/>
  <c r="S519" i="4"/>
  <c r="R519" i="4"/>
  <c r="S518" i="4"/>
  <c r="R518" i="4"/>
  <c r="S517" i="4"/>
  <c r="R517" i="4"/>
  <c r="S516" i="4"/>
  <c r="R516" i="4"/>
  <c r="S515" i="4"/>
  <c r="R515" i="4"/>
  <c r="S514" i="4"/>
  <c r="R514" i="4"/>
  <c r="S513" i="4"/>
  <c r="R513" i="4"/>
  <c r="S512" i="4"/>
  <c r="R512" i="4"/>
  <c r="S511" i="4"/>
  <c r="R511" i="4"/>
  <c r="S510" i="4"/>
  <c r="R510" i="4"/>
  <c r="S509" i="4"/>
  <c r="R509" i="4"/>
  <c r="S508" i="4"/>
  <c r="R508" i="4"/>
  <c r="S507" i="4"/>
  <c r="R507" i="4"/>
  <c r="S506" i="4"/>
  <c r="R506" i="4"/>
  <c r="S505" i="4"/>
  <c r="R505" i="4"/>
  <c r="S504" i="4"/>
  <c r="R504" i="4"/>
  <c r="S503" i="4"/>
  <c r="R503" i="4"/>
  <c r="S502" i="4"/>
  <c r="R502" i="4"/>
  <c r="S501" i="4"/>
  <c r="R501" i="4"/>
  <c r="S500" i="4"/>
  <c r="R500" i="4"/>
  <c r="S499" i="4"/>
  <c r="R499" i="4"/>
  <c r="S498" i="4"/>
  <c r="R498" i="4"/>
  <c r="S497" i="4"/>
  <c r="R497" i="4"/>
  <c r="S496" i="4"/>
  <c r="R496" i="4"/>
  <c r="S495" i="4"/>
  <c r="R495" i="4"/>
  <c r="S494" i="4"/>
  <c r="R494" i="4"/>
  <c r="S493" i="4"/>
  <c r="R493" i="4"/>
  <c r="S492" i="4"/>
  <c r="R492" i="4"/>
  <c r="S491" i="4"/>
  <c r="R491" i="4"/>
  <c r="S490" i="4"/>
  <c r="R490" i="4"/>
  <c r="S489" i="4"/>
  <c r="R489" i="4"/>
  <c r="S488" i="4"/>
  <c r="R488" i="4"/>
  <c r="S487" i="4"/>
  <c r="R487" i="4"/>
  <c r="S486" i="4"/>
  <c r="R486" i="4"/>
  <c r="S485" i="4"/>
  <c r="R485" i="4"/>
  <c r="S484" i="4"/>
  <c r="R484" i="4"/>
  <c r="S483" i="4"/>
  <c r="R483" i="4"/>
  <c r="S482" i="4"/>
  <c r="R482" i="4"/>
  <c r="S481" i="4"/>
  <c r="R481" i="4"/>
  <c r="S480" i="4"/>
  <c r="R480" i="4"/>
  <c r="S479" i="4"/>
  <c r="R479" i="4"/>
  <c r="S478" i="4"/>
  <c r="R478" i="4"/>
  <c r="S477" i="4"/>
  <c r="R477" i="4"/>
  <c r="S476" i="4"/>
  <c r="R476" i="4"/>
  <c r="S475" i="4"/>
  <c r="R475" i="4"/>
  <c r="S474" i="4"/>
  <c r="R474" i="4"/>
  <c r="S473" i="4"/>
  <c r="R473" i="4"/>
  <c r="S472" i="4"/>
  <c r="R472" i="4"/>
  <c r="S471" i="4"/>
  <c r="R471" i="4"/>
  <c r="S470" i="4"/>
  <c r="R470" i="4"/>
  <c r="S469" i="4"/>
  <c r="R469" i="4"/>
  <c r="S468" i="4"/>
  <c r="R468" i="4"/>
  <c r="S467" i="4"/>
  <c r="R467" i="4"/>
  <c r="S466" i="4"/>
  <c r="R466" i="4"/>
  <c r="S465" i="4"/>
  <c r="R465" i="4"/>
  <c r="S464" i="4"/>
  <c r="R464" i="4"/>
  <c r="S463" i="4"/>
  <c r="R463" i="4"/>
  <c r="S462" i="4"/>
  <c r="R462" i="4"/>
  <c r="S461" i="4"/>
  <c r="R461" i="4"/>
  <c r="S460" i="4"/>
  <c r="R460" i="4"/>
  <c r="S459" i="4"/>
  <c r="R459" i="4"/>
  <c r="S458" i="4"/>
  <c r="R458" i="4"/>
  <c r="S457" i="4"/>
  <c r="R457" i="4"/>
  <c r="S456" i="4"/>
  <c r="R456" i="4"/>
  <c r="S455" i="4"/>
  <c r="R455" i="4"/>
  <c r="S454" i="4"/>
  <c r="R454" i="4"/>
  <c r="S453" i="4"/>
  <c r="R453" i="4"/>
  <c r="S452" i="4"/>
  <c r="R452" i="4"/>
  <c r="S451" i="4"/>
  <c r="R451" i="4"/>
  <c r="S450" i="4"/>
  <c r="R450" i="4"/>
  <c r="S449" i="4"/>
  <c r="R449" i="4"/>
  <c r="S448" i="4"/>
  <c r="R448" i="4"/>
  <c r="S447" i="4"/>
  <c r="R447" i="4"/>
  <c r="S446" i="4"/>
  <c r="R446" i="4"/>
  <c r="S445" i="4"/>
  <c r="R445" i="4"/>
  <c r="S444" i="4"/>
  <c r="R444" i="4"/>
  <c r="S443" i="4"/>
  <c r="R443" i="4"/>
  <c r="S442" i="4"/>
  <c r="R442" i="4"/>
  <c r="S441" i="4"/>
  <c r="R441" i="4"/>
  <c r="S440" i="4"/>
  <c r="R440" i="4"/>
  <c r="S439" i="4"/>
  <c r="R439" i="4"/>
  <c r="S438" i="4"/>
  <c r="R438" i="4"/>
  <c r="S437" i="4"/>
  <c r="R437" i="4"/>
  <c r="S436" i="4"/>
  <c r="R436" i="4"/>
  <c r="S435" i="4"/>
  <c r="R435" i="4"/>
  <c r="S434" i="4"/>
  <c r="R434" i="4"/>
  <c r="S433" i="4"/>
  <c r="R433" i="4"/>
  <c r="S432" i="4"/>
  <c r="R432" i="4"/>
  <c r="S431" i="4"/>
  <c r="R431" i="4"/>
  <c r="S430" i="4"/>
  <c r="R430" i="4"/>
  <c r="S429" i="4"/>
  <c r="R429" i="4"/>
  <c r="S428" i="4"/>
  <c r="R428" i="4"/>
  <c r="S427" i="4"/>
  <c r="R427" i="4"/>
  <c r="S426" i="4"/>
  <c r="R426" i="4"/>
  <c r="S425" i="4"/>
  <c r="R425" i="4"/>
  <c r="S424" i="4"/>
  <c r="R424" i="4"/>
  <c r="S423" i="4"/>
  <c r="R423" i="4"/>
  <c r="S422" i="4"/>
  <c r="R422" i="4"/>
  <c r="S421" i="4"/>
  <c r="R421" i="4"/>
  <c r="S420" i="4"/>
  <c r="R420" i="4"/>
  <c r="S419" i="4"/>
  <c r="R419" i="4"/>
  <c r="S418" i="4"/>
  <c r="R418" i="4"/>
  <c r="S417" i="4"/>
  <c r="R417" i="4"/>
  <c r="S416" i="4"/>
  <c r="R416" i="4"/>
  <c r="S415" i="4"/>
  <c r="R415" i="4"/>
  <c r="S414" i="4"/>
  <c r="R414" i="4"/>
  <c r="S413" i="4"/>
  <c r="R413" i="4"/>
  <c r="S412" i="4"/>
  <c r="R412" i="4"/>
  <c r="S411" i="4"/>
  <c r="R411" i="4"/>
  <c r="S410" i="4"/>
  <c r="R410" i="4"/>
  <c r="S409" i="4"/>
  <c r="R409" i="4"/>
  <c r="S408" i="4"/>
  <c r="R408" i="4"/>
  <c r="S407" i="4"/>
  <c r="R407" i="4"/>
  <c r="S406" i="4"/>
  <c r="R406" i="4"/>
  <c r="S405" i="4"/>
  <c r="R405" i="4"/>
  <c r="S404" i="4"/>
  <c r="R404" i="4"/>
  <c r="S403" i="4"/>
  <c r="R403" i="4"/>
  <c r="S402" i="4"/>
  <c r="R402" i="4"/>
  <c r="S401" i="4"/>
  <c r="R401" i="4"/>
  <c r="S400" i="4"/>
  <c r="R400" i="4"/>
  <c r="S399" i="4"/>
  <c r="R399" i="4"/>
  <c r="S398" i="4"/>
  <c r="R398" i="4"/>
  <c r="S397" i="4"/>
  <c r="R397" i="4"/>
  <c r="S396" i="4"/>
  <c r="R396" i="4"/>
  <c r="S395" i="4"/>
  <c r="R395" i="4"/>
  <c r="S394" i="4"/>
  <c r="R394" i="4"/>
  <c r="S393" i="4"/>
  <c r="R393" i="4"/>
  <c r="S392" i="4"/>
  <c r="R392" i="4"/>
  <c r="S391" i="4"/>
  <c r="R391" i="4"/>
  <c r="S390" i="4"/>
  <c r="R390" i="4"/>
  <c r="S389" i="4"/>
  <c r="R389" i="4"/>
  <c r="S388" i="4"/>
  <c r="R388" i="4"/>
  <c r="S387" i="4"/>
  <c r="R387" i="4"/>
  <c r="S386" i="4"/>
  <c r="R386" i="4"/>
  <c r="S385" i="4"/>
  <c r="R385" i="4"/>
  <c r="S384" i="4"/>
  <c r="R384" i="4"/>
  <c r="S383" i="4"/>
  <c r="R383" i="4"/>
  <c r="S382" i="4"/>
  <c r="R382" i="4"/>
  <c r="S381" i="4"/>
  <c r="R381" i="4"/>
  <c r="S380" i="4"/>
  <c r="R380" i="4"/>
  <c r="S379" i="4"/>
  <c r="R379" i="4"/>
  <c r="S378" i="4"/>
  <c r="R378" i="4"/>
  <c r="S377" i="4"/>
  <c r="R377" i="4"/>
  <c r="S376" i="4"/>
  <c r="R376" i="4"/>
  <c r="S375" i="4"/>
  <c r="R375" i="4"/>
  <c r="S374" i="4"/>
  <c r="R374" i="4"/>
  <c r="S373" i="4"/>
  <c r="R373" i="4"/>
  <c r="S372" i="4"/>
  <c r="R372" i="4"/>
  <c r="S371" i="4"/>
  <c r="R371" i="4"/>
  <c r="S370" i="4"/>
  <c r="R370" i="4"/>
  <c r="S369" i="4"/>
  <c r="R369" i="4"/>
  <c r="S368" i="4"/>
  <c r="R368" i="4"/>
  <c r="S367" i="4"/>
  <c r="R367" i="4"/>
  <c r="S366" i="4"/>
  <c r="R366" i="4"/>
  <c r="S365" i="4"/>
  <c r="R365" i="4"/>
  <c r="S364" i="4"/>
  <c r="R364" i="4"/>
  <c r="S363" i="4"/>
  <c r="R363" i="4"/>
  <c r="S362" i="4"/>
  <c r="R362" i="4"/>
  <c r="S361" i="4"/>
  <c r="R361" i="4"/>
  <c r="S360" i="4"/>
  <c r="R360" i="4"/>
  <c r="S359" i="4"/>
  <c r="R359" i="4"/>
  <c r="S358" i="4"/>
  <c r="R358" i="4"/>
  <c r="S357" i="4"/>
  <c r="R357" i="4"/>
  <c r="S356" i="4"/>
  <c r="R356" i="4"/>
  <c r="S355" i="4"/>
  <c r="R355" i="4"/>
  <c r="S354" i="4"/>
  <c r="R354" i="4"/>
  <c r="S353" i="4"/>
  <c r="R353" i="4"/>
  <c r="S352" i="4"/>
  <c r="R352" i="4"/>
  <c r="S351" i="4"/>
  <c r="R351" i="4"/>
  <c r="S350" i="4"/>
  <c r="R350" i="4"/>
  <c r="S349" i="4"/>
  <c r="R349" i="4"/>
  <c r="S348" i="4"/>
  <c r="R348" i="4"/>
  <c r="S347" i="4"/>
  <c r="R347" i="4"/>
  <c r="S346" i="4"/>
  <c r="R346" i="4"/>
  <c r="S345" i="4"/>
  <c r="R345" i="4"/>
  <c r="S344" i="4"/>
  <c r="R344" i="4"/>
  <c r="S343" i="4"/>
  <c r="R343" i="4"/>
  <c r="S342" i="4"/>
  <c r="R342" i="4"/>
  <c r="S341" i="4"/>
  <c r="R341" i="4"/>
  <c r="S340" i="4"/>
  <c r="R340" i="4"/>
  <c r="S339" i="4"/>
  <c r="R339" i="4"/>
  <c r="S338" i="4"/>
  <c r="R338" i="4"/>
  <c r="S337" i="4"/>
  <c r="R337" i="4"/>
  <c r="S336" i="4"/>
  <c r="R336" i="4"/>
  <c r="S335" i="4"/>
  <c r="R335" i="4"/>
  <c r="S334" i="4"/>
  <c r="R334" i="4"/>
  <c r="S333" i="4"/>
  <c r="R333" i="4"/>
  <c r="S332" i="4"/>
  <c r="R332" i="4"/>
  <c r="S331" i="4"/>
  <c r="R331" i="4"/>
  <c r="S330" i="4"/>
  <c r="R330" i="4"/>
  <c r="S329" i="4"/>
  <c r="R329" i="4"/>
  <c r="S328" i="4"/>
  <c r="R328" i="4"/>
  <c r="S327" i="4"/>
  <c r="R327" i="4"/>
  <c r="S326" i="4"/>
  <c r="R326" i="4"/>
  <c r="S325" i="4"/>
  <c r="R325" i="4"/>
  <c r="S324" i="4"/>
  <c r="R324" i="4"/>
  <c r="S323" i="4"/>
  <c r="R323" i="4"/>
  <c r="S322" i="4"/>
  <c r="R322" i="4"/>
  <c r="S321" i="4"/>
  <c r="R321" i="4"/>
  <c r="S320" i="4"/>
  <c r="R320" i="4"/>
  <c r="S319" i="4"/>
  <c r="R319" i="4"/>
  <c r="S318" i="4"/>
  <c r="R318" i="4"/>
  <c r="S317" i="4"/>
  <c r="R317" i="4"/>
  <c r="S316" i="4"/>
  <c r="R316" i="4"/>
  <c r="S315" i="4"/>
  <c r="R315" i="4"/>
  <c r="S314" i="4"/>
  <c r="R314" i="4"/>
  <c r="S313" i="4"/>
  <c r="R313" i="4"/>
  <c r="S312" i="4"/>
  <c r="R312" i="4"/>
  <c r="S311" i="4"/>
  <c r="R311" i="4"/>
  <c r="S310" i="4"/>
  <c r="R310" i="4"/>
  <c r="S309" i="4"/>
  <c r="R309" i="4"/>
  <c r="S308" i="4"/>
  <c r="R308" i="4"/>
  <c r="S307" i="4"/>
  <c r="R307" i="4"/>
  <c r="S306" i="4"/>
  <c r="R306" i="4"/>
  <c r="S305" i="4"/>
  <c r="R305" i="4"/>
  <c r="S304" i="4"/>
  <c r="R304" i="4"/>
  <c r="S303" i="4"/>
  <c r="R303" i="4"/>
  <c r="S302" i="4"/>
  <c r="R302" i="4"/>
  <c r="S301" i="4"/>
  <c r="R301" i="4"/>
  <c r="S300" i="4"/>
  <c r="R300" i="4"/>
  <c r="S299" i="4"/>
  <c r="R299" i="4"/>
  <c r="S298" i="4"/>
  <c r="R298" i="4"/>
  <c r="S297" i="4"/>
  <c r="R297" i="4"/>
  <c r="S296" i="4"/>
  <c r="R296" i="4"/>
  <c r="S295" i="4"/>
  <c r="R295" i="4"/>
  <c r="S294" i="4"/>
  <c r="R294" i="4"/>
  <c r="S293" i="4"/>
  <c r="R293" i="4"/>
  <c r="S292" i="4"/>
  <c r="R292" i="4"/>
  <c r="S291" i="4"/>
  <c r="R291" i="4"/>
  <c r="S290" i="4"/>
  <c r="R290" i="4"/>
  <c r="S289" i="4"/>
  <c r="R289" i="4"/>
  <c r="S288" i="4"/>
  <c r="R288" i="4"/>
  <c r="S287" i="4"/>
  <c r="R287" i="4"/>
  <c r="S286" i="4"/>
  <c r="R286" i="4"/>
  <c r="S285" i="4"/>
  <c r="R285" i="4"/>
  <c r="S284" i="4"/>
  <c r="R284" i="4"/>
  <c r="S283" i="4"/>
  <c r="R283" i="4"/>
  <c r="S282" i="4"/>
  <c r="R282" i="4"/>
  <c r="S281" i="4"/>
  <c r="R281" i="4"/>
  <c r="S280" i="4"/>
  <c r="R280" i="4"/>
  <c r="S279" i="4"/>
  <c r="R279" i="4"/>
  <c r="S278" i="4"/>
  <c r="R278" i="4"/>
  <c r="S277" i="4"/>
  <c r="R277" i="4"/>
  <c r="S276" i="4"/>
  <c r="R276" i="4"/>
  <c r="S275" i="4"/>
  <c r="R275" i="4"/>
  <c r="S274" i="4"/>
  <c r="R274" i="4"/>
  <c r="S273" i="4"/>
  <c r="R273" i="4"/>
  <c r="S272" i="4"/>
  <c r="R272" i="4"/>
  <c r="S271" i="4"/>
  <c r="R271" i="4"/>
  <c r="S270" i="4"/>
  <c r="R270" i="4"/>
  <c r="S269" i="4"/>
  <c r="R269" i="4"/>
  <c r="S268" i="4"/>
  <c r="R268" i="4"/>
  <c r="S267" i="4"/>
  <c r="R267" i="4"/>
  <c r="S266" i="4"/>
  <c r="R266" i="4"/>
  <c r="S265" i="4"/>
  <c r="R265" i="4"/>
  <c r="S264" i="4"/>
  <c r="R264" i="4"/>
  <c r="S263" i="4"/>
  <c r="R263" i="4"/>
  <c r="S262" i="4"/>
  <c r="R262" i="4"/>
  <c r="S261" i="4"/>
  <c r="R261" i="4"/>
  <c r="S260" i="4"/>
  <c r="R260" i="4"/>
  <c r="S259" i="4"/>
  <c r="R259" i="4"/>
  <c r="S258" i="4"/>
  <c r="R258" i="4"/>
  <c r="S257" i="4"/>
  <c r="R257" i="4"/>
  <c r="S256" i="4"/>
  <c r="R256" i="4"/>
  <c r="S255" i="4"/>
  <c r="R255" i="4"/>
  <c r="S254" i="4"/>
  <c r="R254" i="4"/>
  <c r="S253" i="4"/>
  <c r="R253" i="4"/>
  <c r="S252" i="4"/>
  <c r="R252" i="4"/>
  <c r="S251" i="4"/>
  <c r="R251" i="4"/>
  <c r="S250" i="4"/>
  <c r="R250" i="4"/>
  <c r="S249" i="4"/>
  <c r="R249" i="4"/>
  <c r="S248" i="4"/>
  <c r="R248" i="4"/>
  <c r="S247" i="4"/>
  <c r="R247" i="4"/>
  <c r="S246" i="4"/>
  <c r="R246" i="4"/>
  <c r="S245" i="4"/>
  <c r="R245" i="4"/>
  <c r="S244" i="4"/>
  <c r="R244" i="4"/>
  <c r="S243" i="4"/>
  <c r="R243" i="4"/>
  <c r="S242" i="4"/>
  <c r="R242" i="4"/>
  <c r="S241" i="4"/>
  <c r="R241" i="4"/>
  <c r="S240" i="4"/>
  <c r="R240" i="4"/>
  <c r="S239" i="4"/>
  <c r="R239" i="4"/>
  <c r="S238" i="4"/>
  <c r="R238" i="4"/>
  <c r="S237" i="4"/>
  <c r="R237" i="4"/>
  <c r="S236" i="4"/>
  <c r="R236" i="4"/>
  <c r="S235" i="4"/>
  <c r="R235" i="4"/>
  <c r="S234" i="4"/>
  <c r="R234" i="4"/>
  <c r="S233" i="4"/>
  <c r="R233" i="4"/>
  <c r="S232" i="4"/>
  <c r="R232" i="4"/>
  <c r="S231" i="4"/>
  <c r="R231" i="4"/>
  <c r="S230" i="4"/>
  <c r="R230" i="4"/>
  <c r="S229" i="4"/>
  <c r="R229" i="4"/>
  <c r="S228" i="4"/>
  <c r="R228" i="4"/>
  <c r="S227" i="4"/>
  <c r="R227" i="4"/>
  <c r="S226" i="4"/>
  <c r="R226" i="4"/>
  <c r="S225" i="4"/>
  <c r="R225" i="4"/>
  <c r="S224" i="4"/>
  <c r="R224" i="4"/>
  <c r="S223" i="4"/>
  <c r="R223" i="4"/>
  <c r="S222" i="4"/>
  <c r="R222" i="4"/>
  <c r="S221" i="4"/>
  <c r="R221" i="4"/>
  <c r="S220" i="4"/>
  <c r="R220" i="4"/>
  <c r="S219" i="4"/>
  <c r="R219" i="4"/>
  <c r="S218" i="4"/>
  <c r="R218" i="4"/>
  <c r="S217" i="4"/>
  <c r="R217" i="4"/>
  <c r="S216" i="4"/>
  <c r="R216" i="4"/>
  <c r="S215" i="4"/>
  <c r="R215" i="4"/>
  <c r="S214" i="4"/>
  <c r="R214" i="4"/>
  <c r="S213" i="4"/>
  <c r="R213" i="4"/>
  <c r="S212" i="4"/>
  <c r="R212" i="4"/>
  <c r="S211" i="4"/>
  <c r="R211" i="4"/>
  <c r="S210" i="4"/>
  <c r="R210" i="4"/>
  <c r="S209" i="4"/>
  <c r="R209" i="4"/>
  <c r="S208" i="4"/>
  <c r="R208" i="4"/>
  <c r="S207" i="4"/>
  <c r="R207" i="4"/>
  <c r="S206" i="4"/>
  <c r="R206" i="4"/>
  <c r="S205" i="4"/>
  <c r="R205" i="4"/>
  <c r="S204" i="4"/>
  <c r="R204" i="4"/>
  <c r="S203" i="4"/>
  <c r="R203" i="4"/>
  <c r="S202" i="4"/>
  <c r="R202" i="4"/>
  <c r="S201" i="4"/>
  <c r="R201" i="4"/>
  <c r="S200" i="4"/>
  <c r="R200" i="4"/>
  <c r="S199" i="4"/>
  <c r="R199" i="4"/>
  <c r="S198" i="4"/>
  <c r="R198" i="4"/>
  <c r="S197" i="4"/>
  <c r="R197" i="4"/>
  <c r="S196" i="4"/>
  <c r="R196" i="4"/>
  <c r="S195" i="4"/>
  <c r="R195" i="4"/>
  <c r="S194" i="4"/>
  <c r="R194" i="4"/>
  <c r="S193" i="4"/>
  <c r="R193" i="4"/>
  <c r="S192" i="4"/>
  <c r="R192" i="4"/>
  <c r="S191" i="4"/>
  <c r="R191" i="4"/>
  <c r="S190" i="4"/>
  <c r="R190" i="4"/>
  <c r="S189" i="4"/>
  <c r="R189" i="4"/>
  <c r="S188" i="4"/>
  <c r="R188" i="4"/>
  <c r="S187" i="4"/>
  <c r="R187" i="4"/>
  <c r="S186" i="4"/>
  <c r="R186" i="4"/>
  <c r="S185" i="4"/>
  <c r="R185" i="4"/>
  <c r="S184" i="4"/>
  <c r="R184" i="4"/>
  <c r="S183" i="4"/>
  <c r="R183" i="4"/>
  <c r="S182" i="4"/>
  <c r="R182" i="4"/>
  <c r="S181" i="4"/>
  <c r="R181" i="4"/>
  <c r="S180" i="4"/>
  <c r="R180" i="4"/>
  <c r="S179" i="4"/>
  <c r="R179" i="4"/>
  <c r="S178" i="4"/>
  <c r="R178" i="4"/>
  <c r="S177" i="4"/>
  <c r="R177" i="4"/>
  <c r="S176" i="4"/>
  <c r="R176" i="4"/>
  <c r="S175" i="4"/>
  <c r="R175" i="4"/>
  <c r="S174" i="4"/>
  <c r="R174" i="4"/>
  <c r="S173" i="4"/>
  <c r="R173" i="4"/>
  <c r="S172" i="4"/>
  <c r="R172" i="4"/>
  <c r="S171" i="4"/>
  <c r="R171" i="4"/>
  <c r="S170" i="4"/>
  <c r="R170" i="4"/>
  <c r="S169" i="4"/>
  <c r="R169" i="4"/>
  <c r="S168" i="4"/>
  <c r="R168" i="4"/>
  <c r="S167" i="4"/>
  <c r="R167" i="4"/>
  <c r="S166" i="4"/>
  <c r="R166" i="4"/>
  <c r="S165" i="4"/>
  <c r="R165" i="4"/>
  <c r="S164" i="4"/>
  <c r="R164" i="4"/>
  <c r="S163" i="4"/>
  <c r="R163" i="4"/>
  <c r="S162" i="4"/>
  <c r="R162" i="4"/>
  <c r="S161" i="4"/>
  <c r="R161" i="4"/>
  <c r="S160" i="4"/>
  <c r="R160" i="4"/>
  <c r="S159" i="4"/>
  <c r="R159" i="4"/>
  <c r="S158" i="4"/>
  <c r="R158" i="4"/>
  <c r="S157" i="4"/>
  <c r="R157" i="4"/>
  <c r="S156" i="4"/>
  <c r="R156" i="4"/>
  <c r="S155" i="4"/>
  <c r="R155" i="4"/>
  <c r="S154" i="4"/>
  <c r="R154" i="4"/>
  <c r="S153" i="4"/>
  <c r="R153" i="4"/>
  <c r="S152" i="4"/>
  <c r="R152" i="4"/>
  <c r="S151" i="4"/>
  <c r="R151" i="4"/>
  <c r="S150" i="4"/>
  <c r="R150" i="4"/>
  <c r="S149" i="4"/>
  <c r="R149" i="4"/>
  <c r="S148" i="4"/>
  <c r="R148" i="4"/>
  <c r="S147" i="4"/>
  <c r="R147" i="4"/>
  <c r="S146" i="4"/>
  <c r="R146" i="4"/>
  <c r="S145" i="4"/>
  <c r="R145" i="4"/>
  <c r="S144" i="4"/>
  <c r="R144" i="4"/>
  <c r="S143" i="4"/>
  <c r="R143" i="4"/>
  <c r="S142" i="4"/>
  <c r="R142" i="4"/>
  <c r="S141" i="4"/>
  <c r="R141" i="4"/>
  <c r="S140" i="4"/>
  <c r="R140" i="4"/>
  <c r="S139" i="4"/>
  <c r="R139" i="4"/>
  <c r="S138" i="4"/>
  <c r="R138" i="4"/>
  <c r="S137" i="4"/>
  <c r="R137" i="4"/>
  <c r="S136" i="4"/>
  <c r="R136" i="4"/>
  <c r="S135" i="4"/>
  <c r="R135" i="4"/>
  <c r="S134" i="4"/>
  <c r="R134" i="4"/>
  <c r="S133" i="4"/>
  <c r="R133" i="4"/>
  <c r="S132" i="4"/>
  <c r="R132" i="4"/>
  <c r="S131" i="4"/>
  <c r="R131" i="4"/>
  <c r="S130" i="4"/>
  <c r="R130" i="4"/>
  <c r="S129" i="4"/>
  <c r="R129" i="4"/>
  <c r="S128" i="4"/>
  <c r="R128" i="4"/>
  <c r="S127" i="4"/>
  <c r="R127" i="4"/>
  <c r="S126" i="4"/>
  <c r="R126" i="4"/>
  <c r="S125" i="4"/>
  <c r="R125" i="4"/>
  <c r="S124" i="4"/>
  <c r="R124" i="4"/>
  <c r="S123" i="4"/>
  <c r="R123" i="4"/>
  <c r="S122" i="4"/>
  <c r="R122" i="4"/>
  <c r="S121" i="4"/>
  <c r="R121" i="4"/>
  <c r="S120" i="4"/>
  <c r="R120" i="4"/>
  <c r="S119" i="4"/>
  <c r="R119" i="4"/>
  <c r="S118" i="4"/>
  <c r="R118" i="4"/>
  <c r="S117" i="4"/>
  <c r="R117" i="4"/>
  <c r="S116" i="4"/>
  <c r="R116" i="4"/>
  <c r="S115" i="4"/>
  <c r="R115" i="4"/>
  <c r="S114" i="4"/>
  <c r="R114" i="4"/>
  <c r="S113" i="4"/>
  <c r="R113" i="4"/>
  <c r="S112" i="4"/>
  <c r="R112" i="4"/>
  <c r="S111" i="4"/>
  <c r="R111" i="4"/>
  <c r="S110" i="4"/>
  <c r="R110" i="4"/>
  <c r="S109" i="4"/>
  <c r="R109" i="4"/>
  <c r="S108" i="4"/>
  <c r="R108" i="4"/>
  <c r="S107" i="4"/>
  <c r="R107" i="4"/>
  <c r="S106" i="4"/>
  <c r="R106" i="4"/>
  <c r="S105" i="4"/>
  <c r="R105" i="4"/>
  <c r="S104" i="4"/>
  <c r="R104" i="4"/>
  <c r="S103" i="4"/>
  <c r="R103" i="4"/>
  <c r="S102" i="4"/>
  <c r="R102" i="4"/>
  <c r="S101" i="4"/>
  <c r="R101" i="4"/>
  <c r="S100" i="4"/>
  <c r="R100" i="4"/>
  <c r="S99" i="4"/>
  <c r="R99" i="4"/>
  <c r="S98" i="4"/>
  <c r="R98" i="4"/>
  <c r="S97" i="4"/>
  <c r="R97" i="4"/>
  <c r="S96" i="4"/>
  <c r="R96" i="4"/>
  <c r="S95" i="4"/>
  <c r="R95" i="4"/>
  <c r="S94" i="4"/>
  <c r="R94" i="4"/>
  <c r="S93" i="4"/>
  <c r="R93" i="4"/>
  <c r="S92" i="4"/>
  <c r="R92" i="4"/>
  <c r="S91" i="4"/>
  <c r="R91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S7" i="4"/>
  <c r="R7" i="4"/>
  <c r="S6" i="4"/>
  <c r="R6" i="4"/>
  <c r="S5" i="4"/>
  <c r="R5" i="4"/>
  <c r="S4" i="4"/>
  <c r="R4" i="4"/>
  <c r="S3" i="4"/>
  <c r="R3" i="4"/>
  <c r="S2" i="4"/>
  <c r="R2" i="4"/>
  <c r="A786" i="2"/>
  <c r="A785" i="2"/>
  <c r="D785" i="2" s="1"/>
  <c r="A783" i="2"/>
  <c r="D783" i="2" s="1"/>
  <c r="A782" i="2"/>
  <c r="D782" i="2" s="1"/>
  <c r="A781" i="2"/>
  <c r="A780" i="2"/>
  <c r="D780" i="2" s="1"/>
  <c r="A779" i="2"/>
  <c r="A778" i="2"/>
  <c r="D778" i="2" s="1"/>
  <c r="A777" i="2"/>
  <c r="D777" i="2" s="1"/>
  <c r="A784" i="2"/>
  <c r="D784" i="2" s="1"/>
  <c r="A786" i="4"/>
  <c r="A785" i="4"/>
  <c r="A783" i="4"/>
  <c r="A782" i="4"/>
  <c r="A781" i="4"/>
  <c r="A780" i="4"/>
  <c r="A779" i="4"/>
  <c r="A778" i="4"/>
  <c r="A777" i="4"/>
  <c r="A784" i="4"/>
  <c r="A785" i="1"/>
  <c r="A784" i="1"/>
  <c r="A782" i="1"/>
  <c r="A781" i="1"/>
  <c r="A780" i="1"/>
  <c r="A779" i="1"/>
  <c r="A778" i="1"/>
  <c r="A777" i="1"/>
  <c r="A776" i="1"/>
  <c r="A783" i="1"/>
  <c r="R771" i="6"/>
  <c r="A785" i="6"/>
  <c r="A784" i="6"/>
  <c r="A782" i="6"/>
  <c r="A781" i="6"/>
  <c r="A780" i="6"/>
  <c r="A779" i="6"/>
  <c r="A778" i="6"/>
  <c r="A777" i="6"/>
  <c r="A776" i="6"/>
  <c r="S773" i="1"/>
  <c r="R773" i="1"/>
  <c r="S772" i="1"/>
  <c r="R772" i="1"/>
  <c r="S771" i="1"/>
  <c r="R771" i="1"/>
  <c r="S770" i="1"/>
  <c r="R770" i="1"/>
  <c r="S769" i="1"/>
  <c r="R769" i="1"/>
  <c r="S768" i="1"/>
  <c r="R768" i="1"/>
  <c r="S767" i="1"/>
  <c r="R767" i="1"/>
  <c r="S766" i="1"/>
  <c r="R766" i="1"/>
  <c r="S765" i="1"/>
  <c r="R765" i="1"/>
  <c r="S764" i="1"/>
  <c r="R764" i="1"/>
  <c r="S763" i="1"/>
  <c r="R763" i="1"/>
  <c r="S762" i="1"/>
  <c r="R762" i="1"/>
  <c r="S761" i="1"/>
  <c r="R761" i="1"/>
  <c r="S760" i="1"/>
  <c r="R760" i="1"/>
  <c r="S759" i="1"/>
  <c r="R759" i="1"/>
  <c r="S758" i="1"/>
  <c r="R758" i="1"/>
  <c r="S757" i="1"/>
  <c r="R757" i="1"/>
  <c r="S756" i="1"/>
  <c r="R756" i="1"/>
  <c r="S755" i="1"/>
  <c r="R755" i="1"/>
  <c r="S754" i="1"/>
  <c r="R754" i="1"/>
  <c r="S753" i="1"/>
  <c r="R753" i="1"/>
  <c r="S752" i="1"/>
  <c r="R752" i="1"/>
  <c r="S751" i="1"/>
  <c r="R751" i="1"/>
  <c r="S750" i="1"/>
  <c r="R750" i="1"/>
  <c r="S749" i="1"/>
  <c r="R749" i="1"/>
  <c r="S748" i="1"/>
  <c r="R748" i="1"/>
  <c r="S747" i="1"/>
  <c r="R747" i="1"/>
  <c r="S746" i="1"/>
  <c r="R746" i="1"/>
  <c r="S745" i="1"/>
  <c r="R745" i="1"/>
  <c r="S744" i="1"/>
  <c r="R744" i="1"/>
  <c r="S743" i="1"/>
  <c r="R743" i="1"/>
  <c r="S742" i="1"/>
  <c r="R742" i="1"/>
  <c r="S741" i="1"/>
  <c r="R741" i="1"/>
  <c r="S740" i="1"/>
  <c r="R740" i="1"/>
  <c r="S739" i="1"/>
  <c r="R739" i="1"/>
  <c r="S738" i="1"/>
  <c r="R738" i="1"/>
  <c r="S737" i="1"/>
  <c r="R737" i="1"/>
  <c r="S736" i="1"/>
  <c r="R736" i="1"/>
  <c r="S735" i="1"/>
  <c r="R735" i="1"/>
  <c r="S734" i="1"/>
  <c r="R734" i="1"/>
  <c r="S733" i="1"/>
  <c r="R733" i="1"/>
  <c r="S732" i="1"/>
  <c r="R732" i="1"/>
  <c r="S731" i="1"/>
  <c r="R731" i="1"/>
  <c r="S730" i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S721" i="1"/>
  <c r="R721" i="1"/>
  <c r="S720" i="1"/>
  <c r="R720" i="1"/>
  <c r="S719" i="1"/>
  <c r="R719" i="1"/>
  <c r="S718" i="1"/>
  <c r="R718" i="1"/>
  <c r="S717" i="1"/>
  <c r="R717" i="1"/>
  <c r="S716" i="1"/>
  <c r="R716" i="1"/>
  <c r="S715" i="1"/>
  <c r="R715" i="1"/>
  <c r="S714" i="1"/>
  <c r="R714" i="1"/>
  <c r="S713" i="1"/>
  <c r="R713" i="1"/>
  <c r="S712" i="1"/>
  <c r="R712" i="1"/>
  <c r="S711" i="1"/>
  <c r="R711" i="1"/>
  <c r="S710" i="1"/>
  <c r="R710" i="1"/>
  <c r="S709" i="1"/>
  <c r="R709" i="1"/>
  <c r="S708" i="1"/>
  <c r="R708" i="1"/>
  <c r="S707" i="1"/>
  <c r="R707" i="1"/>
  <c r="S706" i="1"/>
  <c r="R706" i="1"/>
  <c r="S705" i="1"/>
  <c r="R705" i="1"/>
  <c r="S704" i="1"/>
  <c r="R704" i="1"/>
  <c r="S703" i="1"/>
  <c r="R703" i="1"/>
  <c r="S702" i="1"/>
  <c r="R702" i="1"/>
  <c r="S701" i="1"/>
  <c r="R701" i="1"/>
  <c r="S700" i="1"/>
  <c r="R700" i="1"/>
  <c r="S699" i="1"/>
  <c r="R699" i="1"/>
  <c r="S698" i="1"/>
  <c r="R698" i="1"/>
  <c r="S697" i="1"/>
  <c r="R697" i="1"/>
  <c r="S696" i="1"/>
  <c r="R696" i="1"/>
  <c r="S695" i="1"/>
  <c r="R695" i="1"/>
  <c r="S694" i="1"/>
  <c r="R694" i="1"/>
  <c r="S693" i="1"/>
  <c r="R693" i="1"/>
  <c r="S692" i="1"/>
  <c r="R692" i="1"/>
  <c r="S691" i="1"/>
  <c r="R691" i="1"/>
  <c r="S690" i="1"/>
  <c r="R690" i="1"/>
  <c r="S689" i="1"/>
  <c r="R689" i="1"/>
  <c r="S688" i="1"/>
  <c r="R688" i="1"/>
  <c r="S687" i="1"/>
  <c r="R687" i="1"/>
  <c r="S686" i="1"/>
  <c r="R686" i="1"/>
  <c r="S685" i="1"/>
  <c r="R685" i="1"/>
  <c r="S684" i="1"/>
  <c r="R684" i="1"/>
  <c r="S683" i="1"/>
  <c r="R683" i="1"/>
  <c r="S682" i="1"/>
  <c r="R682" i="1"/>
  <c r="S681" i="1"/>
  <c r="R681" i="1"/>
  <c r="S680" i="1"/>
  <c r="R680" i="1"/>
  <c r="S679" i="1"/>
  <c r="R679" i="1"/>
  <c r="S678" i="1"/>
  <c r="R678" i="1"/>
  <c r="S677" i="1"/>
  <c r="R677" i="1"/>
  <c r="S676" i="1"/>
  <c r="R676" i="1"/>
  <c r="S675" i="1"/>
  <c r="R675" i="1"/>
  <c r="S674" i="1"/>
  <c r="R674" i="1"/>
  <c r="S673" i="1"/>
  <c r="R673" i="1"/>
  <c r="S672" i="1"/>
  <c r="R672" i="1"/>
  <c r="S671" i="1"/>
  <c r="R671" i="1"/>
  <c r="S670" i="1"/>
  <c r="R670" i="1"/>
  <c r="S669" i="1"/>
  <c r="R669" i="1"/>
  <c r="S668" i="1"/>
  <c r="R668" i="1"/>
  <c r="S667" i="1"/>
  <c r="R667" i="1"/>
  <c r="S666" i="1"/>
  <c r="R666" i="1"/>
  <c r="S665" i="1"/>
  <c r="R665" i="1"/>
  <c r="S664" i="1"/>
  <c r="R664" i="1"/>
  <c r="S663" i="1"/>
  <c r="R663" i="1"/>
  <c r="S662" i="1"/>
  <c r="R662" i="1"/>
  <c r="S661" i="1"/>
  <c r="R661" i="1"/>
  <c r="S660" i="1"/>
  <c r="R660" i="1"/>
  <c r="S659" i="1"/>
  <c r="R659" i="1"/>
  <c r="S658" i="1"/>
  <c r="R658" i="1"/>
  <c r="S657" i="1"/>
  <c r="R657" i="1"/>
  <c r="S656" i="1"/>
  <c r="R656" i="1"/>
  <c r="S655" i="1"/>
  <c r="R655" i="1"/>
  <c r="S654" i="1"/>
  <c r="R654" i="1"/>
  <c r="S653" i="1"/>
  <c r="R653" i="1"/>
  <c r="S652" i="1"/>
  <c r="R652" i="1"/>
  <c r="S651" i="1"/>
  <c r="R651" i="1"/>
  <c r="S650" i="1"/>
  <c r="R650" i="1"/>
  <c r="S649" i="1"/>
  <c r="R649" i="1"/>
  <c r="S648" i="1"/>
  <c r="R648" i="1"/>
  <c r="S647" i="1"/>
  <c r="R647" i="1"/>
  <c r="S646" i="1"/>
  <c r="R646" i="1"/>
  <c r="S645" i="1"/>
  <c r="R645" i="1"/>
  <c r="S644" i="1"/>
  <c r="R644" i="1"/>
  <c r="S643" i="1"/>
  <c r="R643" i="1"/>
  <c r="S642" i="1"/>
  <c r="R642" i="1"/>
  <c r="S641" i="1"/>
  <c r="R641" i="1"/>
  <c r="S640" i="1"/>
  <c r="R640" i="1"/>
  <c r="S639" i="1"/>
  <c r="R639" i="1"/>
  <c r="S638" i="1"/>
  <c r="R638" i="1"/>
  <c r="S637" i="1"/>
  <c r="R637" i="1"/>
  <c r="S636" i="1"/>
  <c r="R636" i="1"/>
  <c r="S635" i="1"/>
  <c r="R635" i="1"/>
  <c r="S634" i="1"/>
  <c r="R634" i="1"/>
  <c r="S633" i="1"/>
  <c r="R633" i="1"/>
  <c r="S632" i="1"/>
  <c r="R632" i="1"/>
  <c r="S631" i="1"/>
  <c r="R631" i="1"/>
  <c r="S630" i="1"/>
  <c r="R630" i="1"/>
  <c r="S629" i="1"/>
  <c r="R629" i="1"/>
  <c r="S628" i="1"/>
  <c r="R628" i="1"/>
  <c r="S627" i="1"/>
  <c r="R627" i="1"/>
  <c r="S626" i="1"/>
  <c r="R626" i="1"/>
  <c r="S625" i="1"/>
  <c r="R625" i="1"/>
  <c r="S624" i="1"/>
  <c r="R624" i="1"/>
  <c r="S623" i="1"/>
  <c r="R623" i="1"/>
  <c r="S622" i="1"/>
  <c r="R622" i="1"/>
  <c r="S621" i="1"/>
  <c r="R621" i="1"/>
  <c r="S620" i="1"/>
  <c r="R620" i="1"/>
  <c r="S619" i="1"/>
  <c r="R619" i="1"/>
  <c r="S618" i="1"/>
  <c r="R618" i="1"/>
  <c r="S617" i="1"/>
  <c r="R617" i="1"/>
  <c r="S616" i="1"/>
  <c r="R616" i="1"/>
  <c r="S615" i="1"/>
  <c r="R615" i="1"/>
  <c r="S614" i="1"/>
  <c r="R614" i="1"/>
  <c r="S613" i="1"/>
  <c r="R613" i="1"/>
  <c r="S612" i="1"/>
  <c r="R612" i="1"/>
  <c r="S611" i="1"/>
  <c r="R611" i="1"/>
  <c r="S610" i="1"/>
  <c r="R610" i="1"/>
  <c r="S609" i="1"/>
  <c r="R609" i="1"/>
  <c r="S608" i="1"/>
  <c r="R608" i="1"/>
  <c r="S607" i="1"/>
  <c r="R607" i="1"/>
  <c r="S606" i="1"/>
  <c r="R606" i="1"/>
  <c r="S605" i="1"/>
  <c r="R605" i="1"/>
  <c r="S604" i="1"/>
  <c r="R604" i="1"/>
  <c r="S603" i="1"/>
  <c r="R603" i="1"/>
  <c r="S602" i="1"/>
  <c r="R602" i="1"/>
  <c r="S601" i="1"/>
  <c r="R601" i="1"/>
  <c r="S600" i="1"/>
  <c r="R600" i="1"/>
  <c r="S599" i="1"/>
  <c r="R599" i="1"/>
  <c r="S598" i="1"/>
  <c r="R598" i="1"/>
  <c r="S597" i="1"/>
  <c r="R597" i="1"/>
  <c r="S596" i="1"/>
  <c r="R596" i="1"/>
  <c r="S595" i="1"/>
  <c r="R595" i="1"/>
  <c r="S594" i="1"/>
  <c r="R594" i="1"/>
  <c r="S593" i="1"/>
  <c r="R593" i="1"/>
  <c r="S592" i="1"/>
  <c r="R592" i="1"/>
  <c r="S591" i="1"/>
  <c r="R591" i="1"/>
  <c r="S590" i="1"/>
  <c r="R590" i="1"/>
  <c r="S589" i="1"/>
  <c r="R589" i="1"/>
  <c r="S588" i="1"/>
  <c r="R588" i="1"/>
  <c r="S587" i="1"/>
  <c r="R587" i="1"/>
  <c r="S586" i="1"/>
  <c r="R586" i="1"/>
  <c r="S585" i="1"/>
  <c r="R585" i="1"/>
  <c r="S584" i="1"/>
  <c r="R584" i="1"/>
  <c r="S583" i="1"/>
  <c r="R583" i="1"/>
  <c r="S582" i="1"/>
  <c r="R582" i="1"/>
  <c r="S581" i="1"/>
  <c r="R581" i="1"/>
  <c r="S580" i="1"/>
  <c r="R580" i="1"/>
  <c r="S579" i="1"/>
  <c r="R579" i="1"/>
  <c r="S578" i="1"/>
  <c r="R578" i="1"/>
  <c r="S577" i="1"/>
  <c r="R577" i="1"/>
  <c r="S576" i="1"/>
  <c r="R576" i="1"/>
  <c r="S575" i="1"/>
  <c r="R575" i="1"/>
  <c r="S574" i="1"/>
  <c r="R574" i="1"/>
  <c r="S573" i="1"/>
  <c r="R573" i="1"/>
  <c r="S572" i="1"/>
  <c r="R572" i="1"/>
  <c r="S571" i="1"/>
  <c r="R571" i="1"/>
  <c r="S570" i="1"/>
  <c r="R570" i="1"/>
  <c r="S569" i="1"/>
  <c r="R569" i="1"/>
  <c r="S568" i="1"/>
  <c r="R568" i="1"/>
  <c r="S567" i="1"/>
  <c r="R567" i="1"/>
  <c r="S566" i="1"/>
  <c r="R566" i="1"/>
  <c r="S565" i="1"/>
  <c r="R565" i="1"/>
  <c r="S564" i="1"/>
  <c r="R564" i="1"/>
  <c r="S563" i="1"/>
  <c r="R563" i="1"/>
  <c r="S562" i="1"/>
  <c r="R562" i="1"/>
  <c r="S561" i="1"/>
  <c r="R561" i="1"/>
  <c r="S560" i="1"/>
  <c r="R560" i="1"/>
  <c r="S559" i="1"/>
  <c r="R559" i="1"/>
  <c r="S558" i="1"/>
  <c r="R558" i="1"/>
  <c r="S557" i="1"/>
  <c r="R557" i="1"/>
  <c r="S556" i="1"/>
  <c r="R556" i="1"/>
  <c r="S555" i="1"/>
  <c r="R555" i="1"/>
  <c r="S554" i="1"/>
  <c r="R554" i="1"/>
  <c r="S553" i="1"/>
  <c r="R553" i="1"/>
  <c r="S552" i="1"/>
  <c r="R552" i="1"/>
  <c r="S551" i="1"/>
  <c r="R551" i="1"/>
  <c r="S550" i="1"/>
  <c r="R550" i="1"/>
  <c r="S549" i="1"/>
  <c r="R549" i="1"/>
  <c r="S548" i="1"/>
  <c r="R548" i="1"/>
  <c r="S547" i="1"/>
  <c r="R547" i="1"/>
  <c r="S546" i="1"/>
  <c r="R546" i="1"/>
  <c r="S545" i="1"/>
  <c r="R545" i="1"/>
  <c r="S544" i="1"/>
  <c r="R544" i="1"/>
  <c r="S543" i="1"/>
  <c r="R543" i="1"/>
  <c r="S542" i="1"/>
  <c r="R542" i="1"/>
  <c r="S541" i="1"/>
  <c r="R541" i="1"/>
  <c r="S540" i="1"/>
  <c r="R540" i="1"/>
  <c r="S539" i="1"/>
  <c r="R539" i="1"/>
  <c r="S538" i="1"/>
  <c r="R538" i="1"/>
  <c r="S537" i="1"/>
  <c r="R537" i="1"/>
  <c r="S536" i="1"/>
  <c r="R536" i="1"/>
  <c r="S535" i="1"/>
  <c r="R535" i="1"/>
  <c r="S534" i="1"/>
  <c r="R534" i="1"/>
  <c r="S533" i="1"/>
  <c r="R533" i="1"/>
  <c r="S532" i="1"/>
  <c r="R532" i="1"/>
  <c r="S531" i="1"/>
  <c r="R531" i="1"/>
  <c r="S530" i="1"/>
  <c r="R530" i="1"/>
  <c r="S529" i="1"/>
  <c r="R529" i="1"/>
  <c r="S528" i="1"/>
  <c r="R528" i="1"/>
  <c r="S527" i="1"/>
  <c r="R527" i="1"/>
  <c r="S526" i="1"/>
  <c r="R526" i="1"/>
  <c r="S525" i="1"/>
  <c r="R525" i="1"/>
  <c r="S524" i="1"/>
  <c r="R524" i="1"/>
  <c r="S523" i="1"/>
  <c r="R523" i="1"/>
  <c r="S522" i="1"/>
  <c r="R522" i="1"/>
  <c r="S521" i="1"/>
  <c r="R521" i="1"/>
  <c r="S520" i="1"/>
  <c r="R520" i="1"/>
  <c r="S519" i="1"/>
  <c r="R519" i="1"/>
  <c r="S518" i="1"/>
  <c r="R518" i="1"/>
  <c r="S517" i="1"/>
  <c r="R517" i="1"/>
  <c r="S516" i="1"/>
  <c r="R516" i="1"/>
  <c r="S515" i="1"/>
  <c r="R515" i="1"/>
  <c r="S514" i="1"/>
  <c r="R514" i="1"/>
  <c r="S513" i="1"/>
  <c r="R513" i="1"/>
  <c r="S512" i="1"/>
  <c r="R512" i="1"/>
  <c r="S511" i="1"/>
  <c r="R511" i="1"/>
  <c r="S510" i="1"/>
  <c r="R510" i="1"/>
  <c r="S509" i="1"/>
  <c r="R509" i="1"/>
  <c r="S508" i="1"/>
  <c r="R508" i="1"/>
  <c r="S507" i="1"/>
  <c r="R507" i="1"/>
  <c r="S506" i="1"/>
  <c r="R506" i="1"/>
  <c r="S505" i="1"/>
  <c r="R505" i="1"/>
  <c r="S504" i="1"/>
  <c r="R504" i="1"/>
  <c r="S503" i="1"/>
  <c r="R503" i="1"/>
  <c r="S502" i="1"/>
  <c r="R502" i="1"/>
  <c r="S501" i="1"/>
  <c r="R501" i="1"/>
  <c r="S500" i="1"/>
  <c r="R500" i="1"/>
  <c r="S499" i="1"/>
  <c r="R499" i="1"/>
  <c r="S498" i="1"/>
  <c r="R498" i="1"/>
  <c r="S497" i="1"/>
  <c r="R497" i="1"/>
  <c r="S496" i="1"/>
  <c r="R496" i="1"/>
  <c r="S495" i="1"/>
  <c r="R495" i="1"/>
  <c r="S494" i="1"/>
  <c r="R494" i="1"/>
  <c r="S493" i="1"/>
  <c r="R493" i="1"/>
  <c r="S492" i="1"/>
  <c r="R492" i="1"/>
  <c r="S491" i="1"/>
  <c r="R491" i="1"/>
  <c r="S490" i="1"/>
  <c r="R490" i="1"/>
  <c r="S489" i="1"/>
  <c r="R489" i="1"/>
  <c r="S488" i="1"/>
  <c r="R488" i="1"/>
  <c r="S487" i="1"/>
  <c r="R487" i="1"/>
  <c r="S486" i="1"/>
  <c r="R486" i="1"/>
  <c r="S485" i="1"/>
  <c r="R485" i="1"/>
  <c r="S484" i="1"/>
  <c r="R484" i="1"/>
  <c r="S483" i="1"/>
  <c r="R483" i="1"/>
  <c r="S482" i="1"/>
  <c r="R482" i="1"/>
  <c r="S481" i="1"/>
  <c r="R481" i="1"/>
  <c r="S480" i="1"/>
  <c r="R480" i="1"/>
  <c r="S479" i="1"/>
  <c r="R479" i="1"/>
  <c r="S478" i="1"/>
  <c r="R478" i="1"/>
  <c r="S477" i="1"/>
  <c r="R477" i="1"/>
  <c r="S476" i="1"/>
  <c r="R476" i="1"/>
  <c r="S475" i="1"/>
  <c r="R475" i="1"/>
  <c r="S474" i="1"/>
  <c r="R474" i="1"/>
  <c r="S473" i="1"/>
  <c r="R473" i="1"/>
  <c r="S472" i="1"/>
  <c r="R472" i="1"/>
  <c r="S471" i="1"/>
  <c r="R471" i="1"/>
  <c r="S470" i="1"/>
  <c r="R470" i="1"/>
  <c r="S469" i="1"/>
  <c r="R469" i="1"/>
  <c r="S468" i="1"/>
  <c r="R468" i="1"/>
  <c r="S467" i="1"/>
  <c r="R467" i="1"/>
  <c r="S466" i="1"/>
  <c r="R466" i="1"/>
  <c r="S465" i="1"/>
  <c r="R465" i="1"/>
  <c r="S464" i="1"/>
  <c r="R464" i="1"/>
  <c r="S463" i="1"/>
  <c r="R463" i="1"/>
  <c r="S462" i="1"/>
  <c r="R462" i="1"/>
  <c r="S461" i="1"/>
  <c r="R461" i="1"/>
  <c r="S460" i="1"/>
  <c r="R460" i="1"/>
  <c r="S459" i="1"/>
  <c r="R459" i="1"/>
  <c r="S458" i="1"/>
  <c r="R458" i="1"/>
  <c r="S457" i="1"/>
  <c r="R457" i="1"/>
  <c r="S456" i="1"/>
  <c r="R456" i="1"/>
  <c r="S455" i="1"/>
  <c r="R455" i="1"/>
  <c r="S454" i="1"/>
  <c r="R454" i="1"/>
  <c r="S453" i="1"/>
  <c r="R453" i="1"/>
  <c r="S452" i="1"/>
  <c r="R452" i="1"/>
  <c r="S451" i="1"/>
  <c r="R451" i="1"/>
  <c r="S450" i="1"/>
  <c r="R450" i="1"/>
  <c r="S449" i="1"/>
  <c r="R449" i="1"/>
  <c r="S448" i="1"/>
  <c r="R448" i="1"/>
  <c r="S447" i="1"/>
  <c r="R447" i="1"/>
  <c r="S446" i="1"/>
  <c r="R446" i="1"/>
  <c r="S445" i="1"/>
  <c r="R445" i="1"/>
  <c r="S444" i="1"/>
  <c r="R444" i="1"/>
  <c r="S443" i="1"/>
  <c r="R443" i="1"/>
  <c r="S442" i="1"/>
  <c r="R442" i="1"/>
  <c r="S441" i="1"/>
  <c r="R441" i="1"/>
  <c r="S440" i="1"/>
  <c r="R440" i="1"/>
  <c r="S439" i="1"/>
  <c r="R439" i="1"/>
  <c r="S438" i="1"/>
  <c r="R438" i="1"/>
  <c r="S437" i="1"/>
  <c r="R437" i="1"/>
  <c r="S436" i="1"/>
  <c r="R436" i="1"/>
  <c r="S435" i="1"/>
  <c r="R435" i="1"/>
  <c r="S434" i="1"/>
  <c r="R434" i="1"/>
  <c r="S433" i="1"/>
  <c r="R433" i="1"/>
  <c r="S432" i="1"/>
  <c r="R432" i="1"/>
  <c r="S431" i="1"/>
  <c r="R431" i="1"/>
  <c r="S430" i="1"/>
  <c r="R43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21" i="1"/>
  <c r="R421" i="1"/>
  <c r="S420" i="1"/>
  <c r="R420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7" i="1"/>
  <c r="R407" i="1"/>
  <c r="S406" i="1"/>
  <c r="R406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4" i="1"/>
  <c r="R394" i="1"/>
  <c r="S393" i="1"/>
  <c r="R393" i="1"/>
  <c r="S392" i="1"/>
  <c r="R392" i="1"/>
  <c r="S391" i="1"/>
  <c r="R391" i="1"/>
  <c r="S390" i="1"/>
  <c r="R390" i="1"/>
  <c r="S389" i="1"/>
  <c r="R389" i="1"/>
  <c r="S388" i="1"/>
  <c r="R388" i="1"/>
  <c r="S387" i="1"/>
  <c r="R387" i="1"/>
  <c r="S386" i="1"/>
  <c r="R386" i="1"/>
  <c r="S385" i="1"/>
  <c r="R385" i="1"/>
  <c r="S384" i="1"/>
  <c r="R384" i="1"/>
  <c r="S383" i="1"/>
  <c r="R383" i="1"/>
  <c r="S382" i="1"/>
  <c r="R382" i="1"/>
  <c r="S381" i="1"/>
  <c r="R381" i="1"/>
  <c r="S380" i="1"/>
  <c r="R380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8" i="1"/>
  <c r="R368" i="1"/>
  <c r="S367" i="1"/>
  <c r="R367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44" i="1"/>
  <c r="R344" i="1"/>
  <c r="S343" i="1"/>
  <c r="R343" i="1"/>
  <c r="S342" i="1"/>
  <c r="R342" i="1"/>
  <c r="S341" i="1"/>
  <c r="R341" i="1"/>
  <c r="S340" i="1"/>
  <c r="R340" i="1"/>
  <c r="S339" i="1"/>
  <c r="R339" i="1"/>
  <c r="S338" i="1"/>
  <c r="R338" i="1"/>
  <c r="S337" i="1"/>
  <c r="R337" i="1"/>
  <c r="S336" i="1"/>
  <c r="R336" i="1"/>
  <c r="S335" i="1"/>
  <c r="R335" i="1"/>
  <c r="S334" i="1"/>
  <c r="R334" i="1"/>
  <c r="S333" i="1"/>
  <c r="R333" i="1"/>
  <c r="S332" i="1"/>
  <c r="R332" i="1"/>
  <c r="S331" i="1"/>
  <c r="R331" i="1"/>
  <c r="S330" i="1"/>
  <c r="R330" i="1"/>
  <c r="S329" i="1"/>
  <c r="R329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S304" i="1"/>
  <c r="R304" i="1"/>
  <c r="S303" i="1"/>
  <c r="R303" i="1"/>
  <c r="S302" i="1"/>
  <c r="R302" i="1"/>
  <c r="S301" i="1"/>
  <c r="R301" i="1"/>
  <c r="S300" i="1"/>
  <c r="R300" i="1"/>
  <c r="S299" i="1"/>
  <c r="R299" i="1"/>
  <c r="S298" i="1"/>
  <c r="R298" i="1"/>
  <c r="S297" i="1"/>
  <c r="R297" i="1"/>
  <c r="S296" i="1"/>
  <c r="R296" i="1"/>
  <c r="S295" i="1"/>
  <c r="R295" i="1"/>
  <c r="S294" i="1"/>
  <c r="R294" i="1"/>
  <c r="S293" i="1"/>
  <c r="R293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5" i="1"/>
  <c r="R285" i="1"/>
  <c r="S284" i="1"/>
  <c r="R284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73" i="1"/>
  <c r="R273" i="1"/>
  <c r="S272" i="1"/>
  <c r="R272" i="1"/>
  <c r="S271" i="1"/>
  <c r="R271" i="1"/>
  <c r="S270" i="1"/>
  <c r="R270" i="1"/>
  <c r="S269" i="1"/>
  <c r="R269" i="1"/>
  <c r="S268" i="1"/>
  <c r="R268" i="1"/>
  <c r="S267" i="1"/>
  <c r="R267" i="1"/>
  <c r="S266" i="1"/>
  <c r="R266" i="1"/>
  <c r="S265" i="1"/>
  <c r="R265" i="1"/>
  <c r="S264" i="1"/>
  <c r="R264" i="1"/>
  <c r="S263" i="1"/>
  <c r="R263" i="1"/>
  <c r="S262" i="1"/>
  <c r="R262" i="1"/>
  <c r="S261" i="1"/>
  <c r="R261" i="1"/>
  <c r="S260" i="1"/>
  <c r="R260" i="1"/>
  <c r="S259" i="1"/>
  <c r="R259" i="1"/>
  <c r="S258" i="1"/>
  <c r="R258" i="1"/>
  <c r="S257" i="1"/>
  <c r="R257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5" i="1"/>
  <c r="R175" i="1"/>
  <c r="S174" i="1"/>
  <c r="R174" i="1"/>
  <c r="S173" i="1"/>
  <c r="R173" i="1"/>
  <c r="S172" i="1"/>
  <c r="R172" i="1"/>
  <c r="S171" i="1"/>
  <c r="R171" i="1"/>
  <c r="S170" i="1"/>
  <c r="R170" i="1"/>
  <c r="S169" i="1"/>
  <c r="R169" i="1"/>
  <c r="S168" i="1"/>
  <c r="R168" i="1"/>
  <c r="S167" i="1"/>
  <c r="R167" i="1"/>
  <c r="S166" i="1"/>
  <c r="R166" i="1"/>
  <c r="S165" i="1"/>
  <c r="R165" i="1"/>
  <c r="S164" i="1"/>
  <c r="R164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  <c r="S772" i="6"/>
  <c r="S771" i="6"/>
  <c r="S770" i="6"/>
  <c r="S769" i="6"/>
  <c r="S768" i="6"/>
  <c r="S767" i="6"/>
  <c r="S766" i="6"/>
  <c r="S765" i="6"/>
  <c r="S764" i="6"/>
  <c r="S763" i="6"/>
  <c r="S762" i="6"/>
  <c r="S761" i="6"/>
  <c r="S760" i="6"/>
  <c r="S759" i="6"/>
  <c r="S758" i="6"/>
  <c r="S757" i="6"/>
  <c r="S756" i="6"/>
  <c r="S755" i="6"/>
  <c r="S754" i="6"/>
  <c r="S753" i="6"/>
  <c r="S752" i="6"/>
  <c r="S751" i="6"/>
  <c r="S750" i="6"/>
  <c r="S749" i="6"/>
  <c r="S748" i="6"/>
  <c r="S747" i="6"/>
  <c r="S746" i="6"/>
  <c r="S745" i="6"/>
  <c r="S744" i="6"/>
  <c r="S743" i="6"/>
  <c r="S742" i="6"/>
  <c r="S741" i="6"/>
  <c r="S740" i="6"/>
  <c r="S739" i="6"/>
  <c r="S738" i="6"/>
  <c r="S737" i="6"/>
  <c r="S736" i="6"/>
  <c r="S735" i="6"/>
  <c r="S734" i="6"/>
  <c r="S733" i="6"/>
  <c r="S732" i="6"/>
  <c r="S731" i="6"/>
  <c r="S730" i="6"/>
  <c r="S729" i="6"/>
  <c r="S728" i="6"/>
  <c r="S727" i="6"/>
  <c r="S726" i="6"/>
  <c r="S725" i="6"/>
  <c r="S724" i="6"/>
  <c r="S723" i="6"/>
  <c r="S722" i="6"/>
  <c r="S721" i="6"/>
  <c r="S720" i="6"/>
  <c r="S719" i="6"/>
  <c r="S718" i="6"/>
  <c r="S717" i="6"/>
  <c r="S716" i="6"/>
  <c r="S715" i="6"/>
  <c r="S714" i="6"/>
  <c r="S713" i="6"/>
  <c r="S712" i="6"/>
  <c r="S711" i="6"/>
  <c r="S710" i="6"/>
  <c r="S709" i="6"/>
  <c r="S708" i="6"/>
  <c r="S707" i="6"/>
  <c r="S706" i="6"/>
  <c r="S705" i="6"/>
  <c r="S704" i="6"/>
  <c r="S703" i="6"/>
  <c r="S702" i="6"/>
  <c r="S701" i="6"/>
  <c r="S700" i="6"/>
  <c r="S699" i="6"/>
  <c r="S698" i="6"/>
  <c r="S697" i="6"/>
  <c r="S696" i="6"/>
  <c r="S695" i="6"/>
  <c r="S694" i="6"/>
  <c r="S693" i="6"/>
  <c r="S692" i="6"/>
  <c r="S691" i="6"/>
  <c r="S690" i="6"/>
  <c r="S689" i="6"/>
  <c r="S688" i="6"/>
  <c r="S687" i="6"/>
  <c r="S686" i="6"/>
  <c r="S685" i="6"/>
  <c r="S684" i="6"/>
  <c r="S683" i="6"/>
  <c r="S682" i="6"/>
  <c r="S681" i="6"/>
  <c r="S680" i="6"/>
  <c r="S679" i="6"/>
  <c r="S678" i="6"/>
  <c r="S677" i="6"/>
  <c r="S676" i="6"/>
  <c r="S675" i="6"/>
  <c r="S674" i="6"/>
  <c r="S673" i="6"/>
  <c r="S672" i="6"/>
  <c r="S671" i="6"/>
  <c r="S670" i="6"/>
  <c r="S669" i="6"/>
  <c r="S668" i="6"/>
  <c r="S667" i="6"/>
  <c r="S666" i="6"/>
  <c r="S665" i="6"/>
  <c r="S664" i="6"/>
  <c r="S663" i="6"/>
  <c r="S662" i="6"/>
  <c r="S661" i="6"/>
  <c r="S660" i="6"/>
  <c r="S659" i="6"/>
  <c r="S658" i="6"/>
  <c r="S657" i="6"/>
  <c r="S656" i="6"/>
  <c r="S655" i="6"/>
  <c r="S654" i="6"/>
  <c r="S653" i="6"/>
  <c r="S652" i="6"/>
  <c r="S651" i="6"/>
  <c r="S650" i="6"/>
  <c r="S649" i="6"/>
  <c r="S648" i="6"/>
  <c r="S647" i="6"/>
  <c r="S646" i="6"/>
  <c r="S645" i="6"/>
  <c r="S644" i="6"/>
  <c r="S643" i="6"/>
  <c r="S642" i="6"/>
  <c r="S641" i="6"/>
  <c r="S640" i="6"/>
  <c r="S639" i="6"/>
  <c r="S638" i="6"/>
  <c r="S637" i="6"/>
  <c r="S636" i="6"/>
  <c r="S635" i="6"/>
  <c r="S634" i="6"/>
  <c r="S633" i="6"/>
  <c r="S632" i="6"/>
  <c r="S631" i="6"/>
  <c r="S630" i="6"/>
  <c r="S629" i="6"/>
  <c r="S628" i="6"/>
  <c r="S627" i="6"/>
  <c r="S626" i="6"/>
  <c r="S625" i="6"/>
  <c r="S624" i="6"/>
  <c r="S623" i="6"/>
  <c r="S622" i="6"/>
  <c r="S621" i="6"/>
  <c r="S620" i="6"/>
  <c r="S619" i="6"/>
  <c r="S618" i="6"/>
  <c r="S617" i="6"/>
  <c r="S616" i="6"/>
  <c r="S615" i="6"/>
  <c r="S614" i="6"/>
  <c r="S613" i="6"/>
  <c r="S612" i="6"/>
  <c r="S611" i="6"/>
  <c r="S610" i="6"/>
  <c r="S609" i="6"/>
  <c r="S608" i="6"/>
  <c r="S607" i="6"/>
  <c r="S606" i="6"/>
  <c r="S605" i="6"/>
  <c r="S604" i="6"/>
  <c r="S603" i="6"/>
  <c r="S602" i="6"/>
  <c r="S601" i="6"/>
  <c r="S600" i="6"/>
  <c r="S599" i="6"/>
  <c r="S598" i="6"/>
  <c r="S597" i="6"/>
  <c r="S596" i="6"/>
  <c r="S595" i="6"/>
  <c r="S594" i="6"/>
  <c r="S593" i="6"/>
  <c r="S592" i="6"/>
  <c r="S591" i="6"/>
  <c r="S590" i="6"/>
  <c r="S589" i="6"/>
  <c r="S588" i="6"/>
  <c r="S587" i="6"/>
  <c r="S586" i="6"/>
  <c r="S585" i="6"/>
  <c r="S584" i="6"/>
  <c r="S583" i="6"/>
  <c r="S582" i="6"/>
  <c r="S581" i="6"/>
  <c r="S580" i="6"/>
  <c r="S579" i="6"/>
  <c r="S578" i="6"/>
  <c r="S577" i="6"/>
  <c r="S576" i="6"/>
  <c r="S575" i="6"/>
  <c r="S574" i="6"/>
  <c r="S573" i="6"/>
  <c r="S572" i="6"/>
  <c r="S571" i="6"/>
  <c r="S570" i="6"/>
  <c r="S569" i="6"/>
  <c r="S568" i="6"/>
  <c r="S567" i="6"/>
  <c r="S566" i="6"/>
  <c r="S565" i="6"/>
  <c r="S564" i="6"/>
  <c r="S563" i="6"/>
  <c r="S562" i="6"/>
  <c r="S561" i="6"/>
  <c r="S560" i="6"/>
  <c r="S559" i="6"/>
  <c r="S558" i="6"/>
  <c r="S557" i="6"/>
  <c r="S556" i="6"/>
  <c r="S555" i="6"/>
  <c r="S554" i="6"/>
  <c r="S553" i="6"/>
  <c r="S552" i="6"/>
  <c r="S551" i="6"/>
  <c r="S550" i="6"/>
  <c r="S549" i="6"/>
  <c r="S548" i="6"/>
  <c r="S547" i="6"/>
  <c r="S546" i="6"/>
  <c r="S545" i="6"/>
  <c r="S544" i="6"/>
  <c r="S543" i="6"/>
  <c r="S542" i="6"/>
  <c r="S541" i="6"/>
  <c r="S540" i="6"/>
  <c r="S539" i="6"/>
  <c r="S538" i="6"/>
  <c r="S537" i="6"/>
  <c r="S536" i="6"/>
  <c r="S535" i="6"/>
  <c r="S534" i="6"/>
  <c r="S533" i="6"/>
  <c r="S532" i="6"/>
  <c r="S531" i="6"/>
  <c r="S530" i="6"/>
  <c r="S529" i="6"/>
  <c r="S528" i="6"/>
  <c r="S527" i="6"/>
  <c r="S526" i="6"/>
  <c r="S525" i="6"/>
  <c r="S524" i="6"/>
  <c r="S523" i="6"/>
  <c r="S522" i="6"/>
  <c r="S521" i="6"/>
  <c r="S520" i="6"/>
  <c r="S519" i="6"/>
  <c r="S518" i="6"/>
  <c r="S517" i="6"/>
  <c r="S516" i="6"/>
  <c r="S515" i="6"/>
  <c r="S514" i="6"/>
  <c r="S513" i="6"/>
  <c r="S512" i="6"/>
  <c r="S511" i="6"/>
  <c r="S510" i="6"/>
  <c r="S509" i="6"/>
  <c r="S508" i="6"/>
  <c r="S507" i="6"/>
  <c r="S506" i="6"/>
  <c r="S505" i="6"/>
  <c r="S504" i="6"/>
  <c r="S503" i="6"/>
  <c r="S502" i="6"/>
  <c r="S501" i="6"/>
  <c r="S500" i="6"/>
  <c r="S499" i="6"/>
  <c r="S498" i="6"/>
  <c r="S497" i="6"/>
  <c r="S496" i="6"/>
  <c r="S495" i="6"/>
  <c r="S494" i="6"/>
  <c r="S493" i="6"/>
  <c r="S492" i="6"/>
  <c r="S491" i="6"/>
  <c r="S490" i="6"/>
  <c r="S489" i="6"/>
  <c r="S488" i="6"/>
  <c r="S487" i="6"/>
  <c r="S486" i="6"/>
  <c r="S485" i="6"/>
  <c r="S484" i="6"/>
  <c r="S483" i="6"/>
  <c r="S482" i="6"/>
  <c r="S481" i="6"/>
  <c r="S480" i="6"/>
  <c r="S479" i="6"/>
  <c r="S478" i="6"/>
  <c r="S477" i="6"/>
  <c r="S476" i="6"/>
  <c r="S475" i="6"/>
  <c r="S474" i="6"/>
  <c r="S473" i="6"/>
  <c r="S472" i="6"/>
  <c r="S471" i="6"/>
  <c r="S470" i="6"/>
  <c r="S469" i="6"/>
  <c r="S468" i="6"/>
  <c r="S467" i="6"/>
  <c r="S466" i="6"/>
  <c r="S465" i="6"/>
  <c r="S464" i="6"/>
  <c r="S463" i="6"/>
  <c r="S462" i="6"/>
  <c r="S461" i="6"/>
  <c r="S460" i="6"/>
  <c r="S459" i="6"/>
  <c r="S458" i="6"/>
  <c r="S457" i="6"/>
  <c r="S456" i="6"/>
  <c r="S455" i="6"/>
  <c r="S454" i="6"/>
  <c r="S453" i="6"/>
  <c r="S452" i="6"/>
  <c r="S451" i="6"/>
  <c r="S450" i="6"/>
  <c r="S449" i="6"/>
  <c r="S448" i="6"/>
  <c r="S447" i="6"/>
  <c r="S446" i="6"/>
  <c r="S445" i="6"/>
  <c r="S444" i="6"/>
  <c r="S443" i="6"/>
  <c r="S442" i="6"/>
  <c r="S441" i="6"/>
  <c r="S440" i="6"/>
  <c r="S439" i="6"/>
  <c r="S438" i="6"/>
  <c r="S437" i="6"/>
  <c r="S436" i="6"/>
  <c r="S435" i="6"/>
  <c r="S434" i="6"/>
  <c r="S433" i="6"/>
  <c r="S432" i="6"/>
  <c r="S431" i="6"/>
  <c r="S430" i="6"/>
  <c r="S429" i="6"/>
  <c r="S428" i="6"/>
  <c r="S427" i="6"/>
  <c r="S426" i="6"/>
  <c r="S425" i="6"/>
  <c r="S424" i="6"/>
  <c r="S423" i="6"/>
  <c r="S422" i="6"/>
  <c r="S421" i="6"/>
  <c r="S420" i="6"/>
  <c r="S419" i="6"/>
  <c r="S418" i="6"/>
  <c r="S417" i="6"/>
  <c r="S416" i="6"/>
  <c r="S415" i="6"/>
  <c r="S414" i="6"/>
  <c r="S413" i="6"/>
  <c r="S412" i="6"/>
  <c r="S411" i="6"/>
  <c r="S410" i="6"/>
  <c r="S409" i="6"/>
  <c r="S408" i="6"/>
  <c r="S407" i="6"/>
  <c r="S406" i="6"/>
  <c r="S405" i="6"/>
  <c r="S404" i="6"/>
  <c r="S403" i="6"/>
  <c r="S402" i="6"/>
  <c r="S401" i="6"/>
  <c r="S400" i="6"/>
  <c r="S399" i="6"/>
  <c r="S398" i="6"/>
  <c r="S397" i="6"/>
  <c r="S396" i="6"/>
  <c r="S395" i="6"/>
  <c r="S394" i="6"/>
  <c r="S393" i="6"/>
  <c r="S392" i="6"/>
  <c r="S391" i="6"/>
  <c r="S390" i="6"/>
  <c r="S389" i="6"/>
  <c r="S388" i="6"/>
  <c r="S387" i="6"/>
  <c r="S386" i="6"/>
  <c r="S385" i="6"/>
  <c r="S384" i="6"/>
  <c r="S383" i="6"/>
  <c r="S382" i="6"/>
  <c r="S381" i="6"/>
  <c r="S380" i="6"/>
  <c r="S379" i="6"/>
  <c r="S378" i="6"/>
  <c r="S377" i="6"/>
  <c r="S376" i="6"/>
  <c r="S375" i="6"/>
  <c r="S374" i="6"/>
  <c r="S373" i="6"/>
  <c r="S372" i="6"/>
  <c r="S371" i="6"/>
  <c r="S370" i="6"/>
  <c r="S369" i="6"/>
  <c r="S368" i="6"/>
  <c r="S367" i="6"/>
  <c r="S366" i="6"/>
  <c r="S365" i="6"/>
  <c r="S364" i="6"/>
  <c r="S363" i="6"/>
  <c r="S362" i="6"/>
  <c r="S361" i="6"/>
  <c r="S360" i="6"/>
  <c r="S359" i="6"/>
  <c r="S358" i="6"/>
  <c r="S357" i="6"/>
  <c r="S356" i="6"/>
  <c r="S355" i="6"/>
  <c r="S354" i="6"/>
  <c r="S353" i="6"/>
  <c r="S352" i="6"/>
  <c r="S351" i="6"/>
  <c r="S350" i="6"/>
  <c r="S349" i="6"/>
  <c r="S348" i="6"/>
  <c r="S347" i="6"/>
  <c r="S346" i="6"/>
  <c r="S345" i="6"/>
  <c r="S344" i="6"/>
  <c r="S343" i="6"/>
  <c r="S342" i="6"/>
  <c r="S341" i="6"/>
  <c r="S340" i="6"/>
  <c r="S339" i="6"/>
  <c r="S338" i="6"/>
  <c r="S337" i="6"/>
  <c r="S336" i="6"/>
  <c r="S335" i="6"/>
  <c r="S334" i="6"/>
  <c r="S333" i="6"/>
  <c r="S332" i="6"/>
  <c r="S331" i="6"/>
  <c r="S330" i="6"/>
  <c r="S329" i="6"/>
  <c r="S328" i="6"/>
  <c r="S327" i="6"/>
  <c r="S326" i="6"/>
  <c r="S325" i="6"/>
  <c r="S324" i="6"/>
  <c r="S323" i="6"/>
  <c r="S322" i="6"/>
  <c r="S321" i="6"/>
  <c r="S320" i="6"/>
  <c r="S319" i="6"/>
  <c r="S318" i="6"/>
  <c r="S317" i="6"/>
  <c r="S316" i="6"/>
  <c r="S315" i="6"/>
  <c r="S314" i="6"/>
  <c r="S313" i="6"/>
  <c r="S312" i="6"/>
  <c r="S311" i="6"/>
  <c r="S310" i="6"/>
  <c r="S309" i="6"/>
  <c r="S308" i="6"/>
  <c r="S307" i="6"/>
  <c r="S306" i="6"/>
  <c r="S305" i="6"/>
  <c r="S304" i="6"/>
  <c r="S303" i="6"/>
  <c r="S302" i="6"/>
  <c r="S301" i="6"/>
  <c r="S300" i="6"/>
  <c r="S299" i="6"/>
  <c r="S298" i="6"/>
  <c r="S297" i="6"/>
  <c r="S296" i="6"/>
  <c r="S295" i="6"/>
  <c r="S294" i="6"/>
  <c r="S293" i="6"/>
  <c r="S292" i="6"/>
  <c r="S291" i="6"/>
  <c r="S290" i="6"/>
  <c r="S289" i="6"/>
  <c r="S288" i="6"/>
  <c r="S287" i="6"/>
  <c r="S286" i="6"/>
  <c r="S285" i="6"/>
  <c r="S284" i="6"/>
  <c r="S283" i="6"/>
  <c r="S282" i="6"/>
  <c r="S281" i="6"/>
  <c r="S280" i="6"/>
  <c r="S279" i="6"/>
  <c r="S278" i="6"/>
  <c r="S277" i="6"/>
  <c r="S276" i="6"/>
  <c r="S275" i="6"/>
  <c r="S274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61" i="6"/>
  <c r="S260" i="6"/>
  <c r="S259" i="6"/>
  <c r="S258" i="6"/>
  <c r="S257" i="6"/>
  <c r="S256" i="6"/>
  <c r="S255" i="6"/>
  <c r="S254" i="6"/>
  <c r="S253" i="6"/>
  <c r="S252" i="6"/>
  <c r="S251" i="6"/>
  <c r="S250" i="6"/>
  <c r="S249" i="6"/>
  <c r="S248" i="6"/>
  <c r="S247" i="6"/>
  <c r="S246" i="6"/>
  <c r="S245" i="6"/>
  <c r="S244" i="6"/>
  <c r="S243" i="6"/>
  <c r="S242" i="6"/>
  <c r="S241" i="6"/>
  <c r="S240" i="6"/>
  <c r="S239" i="6"/>
  <c r="S238" i="6"/>
  <c r="S237" i="6"/>
  <c r="S236" i="6"/>
  <c r="S235" i="6"/>
  <c r="S234" i="6"/>
  <c r="S233" i="6"/>
  <c r="S232" i="6"/>
  <c r="S231" i="6"/>
  <c r="S230" i="6"/>
  <c r="S229" i="6"/>
  <c r="S228" i="6"/>
  <c r="S227" i="6"/>
  <c r="S226" i="6"/>
  <c r="S225" i="6"/>
  <c r="S224" i="6"/>
  <c r="S223" i="6"/>
  <c r="S222" i="6"/>
  <c r="S221" i="6"/>
  <c r="S220" i="6"/>
  <c r="S219" i="6"/>
  <c r="S218" i="6"/>
  <c r="S217" i="6"/>
  <c r="S216" i="6"/>
  <c r="S215" i="6"/>
  <c r="S214" i="6"/>
  <c r="S213" i="6"/>
  <c r="S212" i="6"/>
  <c r="S211" i="6"/>
  <c r="S210" i="6"/>
  <c r="S209" i="6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S773" i="6"/>
  <c r="R773" i="6"/>
  <c r="R772" i="6"/>
  <c r="R770" i="6"/>
  <c r="R769" i="6"/>
  <c r="R768" i="6"/>
  <c r="R767" i="6"/>
  <c r="R766" i="6"/>
  <c r="R765" i="6"/>
  <c r="R764" i="6"/>
  <c r="R763" i="6"/>
  <c r="R762" i="6"/>
  <c r="R761" i="6"/>
  <c r="R760" i="6"/>
  <c r="R759" i="6"/>
  <c r="R758" i="6"/>
  <c r="R757" i="6"/>
  <c r="R756" i="6"/>
  <c r="R755" i="6"/>
  <c r="R754" i="6"/>
  <c r="R753" i="6"/>
  <c r="R752" i="6"/>
  <c r="R751" i="6"/>
  <c r="R750" i="6"/>
  <c r="R749" i="6"/>
  <c r="R748" i="6"/>
  <c r="R747" i="6"/>
  <c r="R746" i="6"/>
  <c r="R745" i="6"/>
  <c r="R744" i="6"/>
  <c r="R743" i="6"/>
  <c r="R742" i="6"/>
  <c r="R741" i="6"/>
  <c r="R740" i="6"/>
  <c r="R739" i="6"/>
  <c r="R738" i="6"/>
  <c r="R737" i="6"/>
  <c r="R736" i="6"/>
  <c r="R735" i="6"/>
  <c r="R734" i="6"/>
  <c r="R733" i="6"/>
  <c r="R732" i="6"/>
  <c r="R731" i="6"/>
  <c r="R730" i="6"/>
  <c r="R729" i="6"/>
  <c r="R728" i="6"/>
  <c r="R727" i="6"/>
  <c r="R726" i="6"/>
  <c r="R725" i="6"/>
  <c r="R724" i="6"/>
  <c r="R723" i="6"/>
  <c r="R722" i="6"/>
  <c r="R721" i="6"/>
  <c r="R720" i="6"/>
  <c r="R719" i="6"/>
  <c r="R718" i="6"/>
  <c r="R717" i="6"/>
  <c r="R716" i="6"/>
  <c r="R715" i="6"/>
  <c r="R714" i="6"/>
  <c r="R713" i="6"/>
  <c r="R712" i="6"/>
  <c r="R711" i="6"/>
  <c r="R710" i="6"/>
  <c r="R709" i="6"/>
  <c r="R708" i="6"/>
  <c r="R707" i="6"/>
  <c r="R706" i="6"/>
  <c r="R705" i="6"/>
  <c r="R704" i="6"/>
  <c r="R703" i="6"/>
  <c r="R702" i="6"/>
  <c r="R701" i="6"/>
  <c r="R700" i="6"/>
  <c r="R699" i="6"/>
  <c r="R698" i="6"/>
  <c r="R697" i="6"/>
  <c r="R696" i="6"/>
  <c r="R695" i="6"/>
  <c r="R694" i="6"/>
  <c r="R693" i="6"/>
  <c r="R692" i="6"/>
  <c r="R691" i="6"/>
  <c r="R690" i="6"/>
  <c r="R689" i="6"/>
  <c r="R688" i="6"/>
  <c r="R687" i="6"/>
  <c r="R686" i="6"/>
  <c r="R685" i="6"/>
  <c r="R684" i="6"/>
  <c r="R683" i="6"/>
  <c r="R682" i="6"/>
  <c r="R681" i="6"/>
  <c r="R680" i="6"/>
  <c r="R679" i="6"/>
  <c r="R678" i="6"/>
  <c r="R677" i="6"/>
  <c r="R676" i="6"/>
  <c r="R675" i="6"/>
  <c r="R674" i="6"/>
  <c r="R673" i="6"/>
  <c r="R672" i="6"/>
  <c r="R671" i="6"/>
  <c r="R670" i="6"/>
  <c r="R669" i="6"/>
  <c r="R668" i="6"/>
  <c r="R667" i="6"/>
  <c r="R666" i="6"/>
  <c r="R665" i="6"/>
  <c r="R664" i="6"/>
  <c r="R663" i="6"/>
  <c r="R662" i="6"/>
  <c r="R661" i="6"/>
  <c r="R660" i="6"/>
  <c r="R659" i="6"/>
  <c r="R658" i="6"/>
  <c r="R657" i="6"/>
  <c r="R656" i="6"/>
  <c r="R655" i="6"/>
  <c r="R654" i="6"/>
  <c r="R653" i="6"/>
  <c r="R652" i="6"/>
  <c r="R651" i="6"/>
  <c r="R650" i="6"/>
  <c r="R649" i="6"/>
  <c r="R648" i="6"/>
  <c r="R647" i="6"/>
  <c r="R646" i="6"/>
  <c r="R645" i="6"/>
  <c r="R644" i="6"/>
  <c r="R643" i="6"/>
  <c r="R642" i="6"/>
  <c r="R641" i="6"/>
  <c r="R640" i="6"/>
  <c r="R639" i="6"/>
  <c r="R638" i="6"/>
  <c r="R637" i="6"/>
  <c r="R636" i="6"/>
  <c r="R635" i="6"/>
  <c r="R634" i="6"/>
  <c r="R633" i="6"/>
  <c r="R632" i="6"/>
  <c r="R631" i="6"/>
  <c r="R630" i="6"/>
  <c r="R629" i="6"/>
  <c r="R628" i="6"/>
  <c r="R627" i="6"/>
  <c r="R626" i="6"/>
  <c r="R625" i="6"/>
  <c r="R624" i="6"/>
  <c r="R623" i="6"/>
  <c r="R622" i="6"/>
  <c r="R621" i="6"/>
  <c r="R620" i="6"/>
  <c r="R619" i="6"/>
  <c r="R618" i="6"/>
  <c r="R617" i="6"/>
  <c r="R616" i="6"/>
  <c r="R615" i="6"/>
  <c r="R614" i="6"/>
  <c r="R613" i="6"/>
  <c r="R612" i="6"/>
  <c r="R611" i="6"/>
  <c r="R610" i="6"/>
  <c r="R609" i="6"/>
  <c r="R608" i="6"/>
  <c r="R607" i="6"/>
  <c r="R606" i="6"/>
  <c r="R605" i="6"/>
  <c r="R604" i="6"/>
  <c r="R603" i="6"/>
  <c r="R602" i="6"/>
  <c r="R601" i="6"/>
  <c r="R600" i="6"/>
  <c r="R599" i="6"/>
  <c r="R598" i="6"/>
  <c r="R597" i="6"/>
  <c r="R596" i="6"/>
  <c r="R595" i="6"/>
  <c r="R594" i="6"/>
  <c r="R593" i="6"/>
  <c r="R592" i="6"/>
  <c r="R591" i="6"/>
  <c r="R590" i="6"/>
  <c r="R589" i="6"/>
  <c r="R588" i="6"/>
  <c r="R587" i="6"/>
  <c r="R586" i="6"/>
  <c r="R585" i="6"/>
  <c r="R584" i="6"/>
  <c r="R583" i="6"/>
  <c r="R582" i="6"/>
  <c r="R581" i="6"/>
  <c r="R580" i="6"/>
  <c r="R579" i="6"/>
  <c r="R578" i="6"/>
  <c r="R577" i="6"/>
  <c r="R576" i="6"/>
  <c r="R575" i="6"/>
  <c r="R574" i="6"/>
  <c r="R573" i="6"/>
  <c r="R572" i="6"/>
  <c r="R571" i="6"/>
  <c r="R570" i="6"/>
  <c r="R569" i="6"/>
  <c r="R568" i="6"/>
  <c r="R567" i="6"/>
  <c r="R566" i="6"/>
  <c r="R565" i="6"/>
  <c r="R564" i="6"/>
  <c r="R563" i="6"/>
  <c r="R562" i="6"/>
  <c r="R561" i="6"/>
  <c r="R560" i="6"/>
  <c r="R559" i="6"/>
  <c r="R558" i="6"/>
  <c r="R557" i="6"/>
  <c r="R556" i="6"/>
  <c r="R555" i="6"/>
  <c r="R554" i="6"/>
  <c r="R553" i="6"/>
  <c r="R552" i="6"/>
  <c r="R551" i="6"/>
  <c r="R550" i="6"/>
  <c r="R549" i="6"/>
  <c r="R548" i="6"/>
  <c r="R547" i="6"/>
  <c r="R546" i="6"/>
  <c r="R545" i="6"/>
  <c r="R544" i="6"/>
  <c r="R543" i="6"/>
  <c r="R542" i="6"/>
  <c r="R541" i="6"/>
  <c r="R540" i="6"/>
  <c r="R539" i="6"/>
  <c r="R538" i="6"/>
  <c r="R537" i="6"/>
  <c r="R536" i="6"/>
  <c r="R535" i="6"/>
  <c r="R534" i="6"/>
  <c r="R533" i="6"/>
  <c r="R532" i="6"/>
  <c r="R531" i="6"/>
  <c r="R530" i="6"/>
  <c r="R529" i="6"/>
  <c r="R528" i="6"/>
  <c r="R527" i="6"/>
  <c r="R526" i="6"/>
  <c r="R525" i="6"/>
  <c r="R524" i="6"/>
  <c r="R523" i="6"/>
  <c r="R522" i="6"/>
  <c r="R521" i="6"/>
  <c r="R520" i="6"/>
  <c r="R519" i="6"/>
  <c r="R518" i="6"/>
  <c r="R517" i="6"/>
  <c r="R516" i="6"/>
  <c r="R515" i="6"/>
  <c r="R514" i="6"/>
  <c r="R513" i="6"/>
  <c r="R512" i="6"/>
  <c r="R511" i="6"/>
  <c r="R510" i="6"/>
  <c r="R509" i="6"/>
  <c r="R508" i="6"/>
  <c r="R507" i="6"/>
  <c r="R506" i="6"/>
  <c r="R505" i="6"/>
  <c r="R504" i="6"/>
  <c r="R503" i="6"/>
  <c r="R502" i="6"/>
  <c r="R501" i="6"/>
  <c r="R500" i="6"/>
  <c r="R499" i="6"/>
  <c r="R498" i="6"/>
  <c r="R497" i="6"/>
  <c r="R496" i="6"/>
  <c r="R495" i="6"/>
  <c r="R494" i="6"/>
  <c r="R493" i="6"/>
  <c r="R492" i="6"/>
  <c r="R491" i="6"/>
  <c r="R490" i="6"/>
  <c r="R489" i="6"/>
  <c r="R488" i="6"/>
  <c r="R487" i="6"/>
  <c r="R486" i="6"/>
  <c r="R485" i="6"/>
  <c r="R484" i="6"/>
  <c r="R483" i="6"/>
  <c r="R482" i="6"/>
  <c r="R481" i="6"/>
  <c r="R480" i="6"/>
  <c r="R479" i="6"/>
  <c r="R478" i="6"/>
  <c r="R477" i="6"/>
  <c r="R476" i="6"/>
  <c r="R475" i="6"/>
  <c r="R474" i="6"/>
  <c r="R473" i="6"/>
  <c r="R472" i="6"/>
  <c r="R471" i="6"/>
  <c r="R470" i="6"/>
  <c r="R469" i="6"/>
  <c r="R468" i="6"/>
  <c r="R467" i="6"/>
  <c r="R466" i="6"/>
  <c r="R465" i="6"/>
  <c r="R464" i="6"/>
  <c r="R463" i="6"/>
  <c r="R462" i="6"/>
  <c r="R461" i="6"/>
  <c r="R460" i="6"/>
  <c r="R459" i="6"/>
  <c r="R458" i="6"/>
  <c r="R457" i="6"/>
  <c r="R456" i="6"/>
  <c r="R455" i="6"/>
  <c r="R454" i="6"/>
  <c r="R453" i="6"/>
  <c r="R452" i="6"/>
  <c r="R451" i="6"/>
  <c r="R450" i="6"/>
  <c r="R449" i="6"/>
  <c r="R448" i="6"/>
  <c r="R447" i="6"/>
  <c r="R446" i="6"/>
  <c r="R445" i="6"/>
  <c r="R444" i="6"/>
  <c r="R443" i="6"/>
  <c r="R442" i="6"/>
  <c r="R441" i="6"/>
  <c r="R440" i="6"/>
  <c r="R439" i="6"/>
  <c r="R438" i="6"/>
  <c r="R437" i="6"/>
  <c r="R436" i="6"/>
  <c r="R435" i="6"/>
  <c r="R434" i="6"/>
  <c r="R433" i="6"/>
  <c r="R432" i="6"/>
  <c r="R431" i="6"/>
  <c r="R430" i="6"/>
  <c r="R429" i="6"/>
  <c r="R428" i="6"/>
  <c r="R427" i="6"/>
  <c r="R426" i="6"/>
  <c r="R425" i="6"/>
  <c r="R424" i="6"/>
  <c r="R423" i="6"/>
  <c r="R422" i="6"/>
  <c r="R421" i="6"/>
  <c r="R420" i="6"/>
  <c r="R419" i="6"/>
  <c r="R418" i="6"/>
  <c r="R417" i="6"/>
  <c r="R416" i="6"/>
  <c r="R415" i="6"/>
  <c r="R414" i="6"/>
  <c r="R413" i="6"/>
  <c r="R412" i="6"/>
  <c r="R411" i="6"/>
  <c r="R410" i="6"/>
  <c r="R409" i="6"/>
  <c r="R408" i="6"/>
  <c r="R407" i="6"/>
  <c r="R406" i="6"/>
  <c r="R405" i="6"/>
  <c r="R404" i="6"/>
  <c r="R403" i="6"/>
  <c r="R402" i="6"/>
  <c r="R401" i="6"/>
  <c r="R400" i="6"/>
  <c r="R399" i="6"/>
  <c r="R398" i="6"/>
  <c r="R397" i="6"/>
  <c r="R396" i="6"/>
  <c r="R395" i="6"/>
  <c r="R394" i="6"/>
  <c r="R393" i="6"/>
  <c r="R392" i="6"/>
  <c r="R391" i="6"/>
  <c r="R390" i="6"/>
  <c r="R389" i="6"/>
  <c r="R388" i="6"/>
  <c r="R387" i="6"/>
  <c r="R386" i="6"/>
  <c r="R385" i="6"/>
  <c r="R384" i="6"/>
  <c r="R383" i="6"/>
  <c r="R382" i="6"/>
  <c r="R381" i="6"/>
  <c r="R380" i="6"/>
  <c r="R379" i="6"/>
  <c r="R378" i="6"/>
  <c r="R377" i="6"/>
  <c r="R376" i="6"/>
  <c r="R375" i="6"/>
  <c r="R374" i="6"/>
  <c r="R373" i="6"/>
  <c r="R372" i="6"/>
  <c r="R371" i="6"/>
  <c r="R370" i="6"/>
  <c r="R369" i="6"/>
  <c r="R368" i="6"/>
  <c r="R367" i="6"/>
  <c r="R366" i="6"/>
  <c r="R365" i="6"/>
  <c r="R364" i="6"/>
  <c r="R363" i="6"/>
  <c r="R362" i="6"/>
  <c r="R361" i="6"/>
  <c r="R360" i="6"/>
  <c r="R359" i="6"/>
  <c r="R358" i="6"/>
  <c r="R357" i="6"/>
  <c r="R356" i="6"/>
  <c r="R355" i="6"/>
  <c r="R354" i="6"/>
  <c r="R353" i="6"/>
  <c r="R352" i="6"/>
  <c r="R351" i="6"/>
  <c r="R350" i="6"/>
  <c r="R349" i="6"/>
  <c r="R348" i="6"/>
  <c r="R347" i="6"/>
  <c r="R346" i="6"/>
  <c r="R345" i="6"/>
  <c r="R344" i="6"/>
  <c r="R343" i="6"/>
  <c r="R342" i="6"/>
  <c r="R341" i="6"/>
  <c r="R340" i="6"/>
  <c r="R339" i="6"/>
  <c r="R338" i="6"/>
  <c r="R337" i="6"/>
  <c r="R336" i="6"/>
  <c r="R335" i="6"/>
  <c r="R334" i="6"/>
  <c r="R333" i="6"/>
  <c r="R332" i="6"/>
  <c r="R331" i="6"/>
  <c r="R330" i="6"/>
  <c r="R329" i="6"/>
  <c r="R328" i="6"/>
  <c r="R327" i="6"/>
  <c r="R326" i="6"/>
  <c r="R325" i="6"/>
  <c r="R324" i="6"/>
  <c r="R323" i="6"/>
  <c r="R322" i="6"/>
  <c r="R321" i="6"/>
  <c r="R320" i="6"/>
  <c r="R319" i="6"/>
  <c r="R318" i="6"/>
  <c r="R317" i="6"/>
  <c r="R316" i="6"/>
  <c r="R315" i="6"/>
  <c r="R314" i="6"/>
  <c r="R313" i="6"/>
  <c r="R312" i="6"/>
  <c r="R311" i="6"/>
  <c r="R310" i="6"/>
  <c r="R309" i="6"/>
  <c r="R308" i="6"/>
  <c r="R307" i="6"/>
  <c r="R306" i="6"/>
  <c r="R305" i="6"/>
  <c r="R304" i="6"/>
  <c r="R303" i="6"/>
  <c r="R302" i="6"/>
  <c r="R301" i="6"/>
  <c r="R300" i="6"/>
  <c r="R299" i="6"/>
  <c r="R298" i="6"/>
  <c r="R297" i="6"/>
  <c r="R296" i="6"/>
  <c r="R295" i="6"/>
  <c r="R294" i="6"/>
  <c r="R293" i="6"/>
  <c r="R292" i="6"/>
  <c r="R291" i="6"/>
  <c r="R290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D776" i="6" s="1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R6" i="6"/>
  <c r="R5" i="6"/>
  <c r="R4" i="6"/>
  <c r="R3" i="6"/>
  <c r="R2" i="6"/>
  <c r="L3" i="5" a="1"/>
  <c r="L3" i="5" s="1"/>
  <c r="J3" i="5" a="1"/>
  <c r="J3" i="5" s="1"/>
  <c r="K3" i="5" a="1"/>
  <c r="K3" i="5" s="1"/>
  <c r="I3" i="5" a="1"/>
  <c r="I3" i="5" s="1"/>
  <c r="H3" i="5" a="1"/>
  <c r="H3" i="5" s="1"/>
  <c r="Q773" i="6"/>
  <c r="P773" i="6"/>
  <c r="Q772" i="6"/>
  <c r="P772" i="6"/>
  <c r="Q771" i="6"/>
  <c r="P771" i="6"/>
  <c r="Q770" i="6"/>
  <c r="P770" i="6"/>
  <c r="Q769" i="6"/>
  <c r="P769" i="6"/>
  <c r="Q768" i="6"/>
  <c r="P768" i="6"/>
  <c r="Q767" i="6"/>
  <c r="P767" i="6"/>
  <c r="Q766" i="6"/>
  <c r="P766" i="6"/>
  <c r="Q765" i="6"/>
  <c r="P765" i="6"/>
  <c r="Q764" i="6"/>
  <c r="P764" i="6"/>
  <c r="Q763" i="6"/>
  <c r="P763" i="6"/>
  <c r="Q762" i="6"/>
  <c r="P762" i="6"/>
  <c r="Q761" i="6"/>
  <c r="P761" i="6"/>
  <c r="Q760" i="6"/>
  <c r="P760" i="6"/>
  <c r="Q759" i="6"/>
  <c r="P759" i="6"/>
  <c r="Q758" i="6"/>
  <c r="P758" i="6"/>
  <c r="Q757" i="6"/>
  <c r="P757" i="6"/>
  <c r="Q756" i="6"/>
  <c r="P756" i="6"/>
  <c r="Q755" i="6"/>
  <c r="P755" i="6"/>
  <c r="Q754" i="6"/>
  <c r="P754" i="6"/>
  <c r="Q753" i="6"/>
  <c r="P753" i="6"/>
  <c r="Q752" i="6"/>
  <c r="P752" i="6"/>
  <c r="Q751" i="6"/>
  <c r="P751" i="6"/>
  <c r="Q750" i="6"/>
  <c r="P750" i="6"/>
  <c r="Q749" i="6"/>
  <c r="P749" i="6"/>
  <c r="Q748" i="6"/>
  <c r="P748" i="6"/>
  <c r="Q747" i="6"/>
  <c r="P747" i="6"/>
  <c r="Q746" i="6"/>
  <c r="P746" i="6"/>
  <c r="Q745" i="6"/>
  <c r="P745" i="6"/>
  <c r="Q744" i="6"/>
  <c r="P744" i="6"/>
  <c r="Q743" i="6"/>
  <c r="P743" i="6"/>
  <c r="Q742" i="6"/>
  <c r="P742" i="6"/>
  <c r="Q741" i="6"/>
  <c r="P741" i="6"/>
  <c r="Q740" i="6"/>
  <c r="P740" i="6"/>
  <c r="Q739" i="6"/>
  <c r="P739" i="6"/>
  <c r="Q738" i="6"/>
  <c r="P738" i="6"/>
  <c r="Q737" i="6"/>
  <c r="P737" i="6"/>
  <c r="Q736" i="6"/>
  <c r="P736" i="6"/>
  <c r="Q735" i="6"/>
  <c r="P735" i="6"/>
  <c r="Q734" i="6"/>
  <c r="P734" i="6"/>
  <c r="Q733" i="6"/>
  <c r="P733" i="6"/>
  <c r="Q732" i="6"/>
  <c r="P732" i="6"/>
  <c r="Q731" i="6"/>
  <c r="P731" i="6"/>
  <c r="Q730" i="6"/>
  <c r="P730" i="6"/>
  <c r="Q729" i="6"/>
  <c r="P729" i="6"/>
  <c r="Q728" i="6"/>
  <c r="P728" i="6"/>
  <c r="Q727" i="6"/>
  <c r="P727" i="6"/>
  <c r="Q726" i="6"/>
  <c r="P726" i="6"/>
  <c r="Q725" i="6"/>
  <c r="P725" i="6"/>
  <c r="Q724" i="6"/>
  <c r="P724" i="6"/>
  <c r="Q723" i="6"/>
  <c r="P723" i="6"/>
  <c r="Q722" i="6"/>
  <c r="P722" i="6"/>
  <c r="Q721" i="6"/>
  <c r="P721" i="6"/>
  <c r="Q720" i="6"/>
  <c r="P720" i="6"/>
  <c r="Q719" i="6"/>
  <c r="P719" i="6"/>
  <c r="Q718" i="6"/>
  <c r="P718" i="6"/>
  <c r="Q717" i="6"/>
  <c r="P717" i="6"/>
  <c r="Q716" i="6"/>
  <c r="P716" i="6"/>
  <c r="Q715" i="6"/>
  <c r="P715" i="6"/>
  <c r="Q714" i="6"/>
  <c r="P714" i="6"/>
  <c r="Q713" i="6"/>
  <c r="P713" i="6"/>
  <c r="Q712" i="6"/>
  <c r="P712" i="6"/>
  <c r="Q711" i="6"/>
  <c r="P711" i="6"/>
  <c r="Q710" i="6"/>
  <c r="P710" i="6"/>
  <c r="Q709" i="6"/>
  <c r="P709" i="6"/>
  <c r="Q708" i="6"/>
  <c r="P708" i="6"/>
  <c r="Q707" i="6"/>
  <c r="P707" i="6"/>
  <c r="Q706" i="6"/>
  <c r="P706" i="6"/>
  <c r="Q705" i="6"/>
  <c r="P705" i="6"/>
  <c r="Q704" i="6"/>
  <c r="P704" i="6"/>
  <c r="Q703" i="6"/>
  <c r="P703" i="6"/>
  <c r="Q702" i="6"/>
  <c r="P702" i="6"/>
  <c r="Q701" i="6"/>
  <c r="P701" i="6"/>
  <c r="Q700" i="6"/>
  <c r="P700" i="6"/>
  <c r="Q699" i="6"/>
  <c r="P699" i="6"/>
  <c r="Q698" i="6"/>
  <c r="P698" i="6"/>
  <c r="Q697" i="6"/>
  <c r="P697" i="6"/>
  <c r="Q696" i="6"/>
  <c r="P696" i="6"/>
  <c r="Q695" i="6"/>
  <c r="P695" i="6"/>
  <c r="Q694" i="6"/>
  <c r="P694" i="6"/>
  <c r="Q693" i="6"/>
  <c r="P693" i="6"/>
  <c r="Q692" i="6"/>
  <c r="P692" i="6"/>
  <c r="Q691" i="6"/>
  <c r="P691" i="6"/>
  <c r="Q690" i="6"/>
  <c r="P690" i="6"/>
  <c r="Q689" i="6"/>
  <c r="P689" i="6"/>
  <c r="Q688" i="6"/>
  <c r="P688" i="6"/>
  <c r="Q687" i="6"/>
  <c r="P687" i="6"/>
  <c r="Q686" i="6"/>
  <c r="P686" i="6"/>
  <c r="Q685" i="6"/>
  <c r="P685" i="6"/>
  <c r="Q684" i="6"/>
  <c r="P684" i="6"/>
  <c r="Q683" i="6"/>
  <c r="P683" i="6"/>
  <c r="Q682" i="6"/>
  <c r="P682" i="6"/>
  <c r="Q681" i="6"/>
  <c r="P681" i="6"/>
  <c r="Q680" i="6"/>
  <c r="P680" i="6"/>
  <c r="Q679" i="6"/>
  <c r="P679" i="6"/>
  <c r="Q678" i="6"/>
  <c r="P678" i="6"/>
  <c r="Q677" i="6"/>
  <c r="P677" i="6"/>
  <c r="Q676" i="6"/>
  <c r="P676" i="6"/>
  <c r="Q675" i="6"/>
  <c r="P675" i="6"/>
  <c r="Q674" i="6"/>
  <c r="P674" i="6"/>
  <c r="Q673" i="6"/>
  <c r="P673" i="6"/>
  <c r="Q672" i="6"/>
  <c r="P672" i="6"/>
  <c r="Q671" i="6"/>
  <c r="P671" i="6"/>
  <c r="Q670" i="6"/>
  <c r="P670" i="6"/>
  <c r="Q669" i="6"/>
  <c r="P669" i="6"/>
  <c r="Q668" i="6"/>
  <c r="P668" i="6"/>
  <c r="Q667" i="6"/>
  <c r="P667" i="6"/>
  <c r="Q666" i="6"/>
  <c r="P666" i="6"/>
  <c r="Q665" i="6"/>
  <c r="P665" i="6"/>
  <c r="Q664" i="6"/>
  <c r="P664" i="6"/>
  <c r="Q663" i="6"/>
  <c r="P663" i="6"/>
  <c r="Q662" i="6"/>
  <c r="P662" i="6"/>
  <c r="Q661" i="6"/>
  <c r="P661" i="6"/>
  <c r="Q660" i="6"/>
  <c r="P660" i="6"/>
  <c r="Q659" i="6"/>
  <c r="P659" i="6"/>
  <c r="Q658" i="6"/>
  <c r="P658" i="6"/>
  <c r="Q657" i="6"/>
  <c r="P657" i="6"/>
  <c r="Q656" i="6"/>
  <c r="P656" i="6"/>
  <c r="Q655" i="6"/>
  <c r="P655" i="6"/>
  <c r="Q654" i="6"/>
  <c r="P654" i="6"/>
  <c r="Q653" i="6"/>
  <c r="P653" i="6"/>
  <c r="Q652" i="6"/>
  <c r="P652" i="6"/>
  <c r="Q651" i="6"/>
  <c r="P651" i="6"/>
  <c r="Q650" i="6"/>
  <c r="P650" i="6"/>
  <c r="Q649" i="6"/>
  <c r="P649" i="6"/>
  <c r="Q648" i="6"/>
  <c r="P648" i="6"/>
  <c r="Q647" i="6"/>
  <c r="P647" i="6"/>
  <c r="Q646" i="6"/>
  <c r="P646" i="6"/>
  <c r="Q645" i="6"/>
  <c r="P645" i="6"/>
  <c r="Q644" i="6"/>
  <c r="P644" i="6"/>
  <c r="Q643" i="6"/>
  <c r="P643" i="6"/>
  <c r="Q642" i="6"/>
  <c r="P642" i="6"/>
  <c r="Q641" i="6"/>
  <c r="P641" i="6"/>
  <c r="Q640" i="6"/>
  <c r="P640" i="6"/>
  <c r="Q639" i="6"/>
  <c r="P639" i="6"/>
  <c r="Q638" i="6"/>
  <c r="P638" i="6"/>
  <c r="Q637" i="6"/>
  <c r="P637" i="6"/>
  <c r="Q636" i="6"/>
  <c r="P636" i="6"/>
  <c r="Q635" i="6"/>
  <c r="P635" i="6"/>
  <c r="Q634" i="6"/>
  <c r="P634" i="6"/>
  <c r="Q633" i="6"/>
  <c r="P633" i="6"/>
  <c r="Q632" i="6"/>
  <c r="P632" i="6"/>
  <c r="Q631" i="6"/>
  <c r="P631" i="6"/>
  <c r="Q630" i="6"/>
  <c r="P630" i="6"/>
  <c r="Q629" i="6"/>
  <c r="P629" i="6"/>
  <c r="Q628" i="6"/>
  <c r="P628" i="6"/>
  <c r="Q627" i="6"/>
  <c r="P627" i="6"/>
  <c r="Q626" i="6"/>
  <c r="P626" i="6"/>
  <c r="Q625" i="6"/>
  <c r="P625" i="6"/>
  <c r="Q624" i="6"/>
  <c r="P624" i="6"/>
  <c r="Q623" i="6"/>
  <c r="P623" i="6"/>
  <c r="Q622" i="6"/>
  <c r="P622" i="6"/>
  <c r="Q621" i="6"/>
  <c r="P621" i="6"/>
  <c r="Q620" i="6"/>
  <c r="P620" i="6"/>
  <c r="Q619" i="6"/>
  <c r="P619" i="6"/>
  <c r="Q618" i="6"/>
  <c r="P618" i="6"/>
  <c r="Q617" i="6"/>
  <c r="P617" i="6"/>
  <c r="Q616" i="6"/>
  <c r="P616" i="6"/>
  <c r="Q615" i="6"/>
  <c r="P615" i="6"/>
  <c r="Q614" i="6"/>
  <c r="P614" i="6"/>
  <c r="Q613" i="6"/>
  <c r="P613" i="6"/>
  <c r="Q612" i="6"/>
  <c r="P612" i="6"/>
  <c r="Q611" i="6"/>
  <c r="P611" i="6"/>
  <c r="Q610" i="6"/>
  <c r="P610" i="6"/>
  <c r="Q609" i="6"/>
  <c r="P609" i="6"/>
  <c r="Q608" i="6"/>
  <c r="P608" i="6"/>
  <c r="Q607" i="6"/>
  <c r="P607" i="6"/>
  <c r="Q606" i="6"/>
  <c r="P606" i="6"/>
  <c r="Q605" i="6"/>
  <c r="P605" i="6"/>
  <c r="Q604" i="6"/>
  <c r="P604" i="6"/>
  <c r="Q603" i="6"/>
  <c r="P603" i="6"/>
  <c r="Q602" i="6"/>
  <c r="P602" i="6"/>
  <c r="Q601" i="6"/>
  <c r="P601" i="6"/>
  <c r="Q600" i="6"/>
  <c r="P600" i="6"/>
  <c r="Q599" i="6"/>
  <c r="P599" i="6"/>
  <c r="Q598" i="6"/>
  <c r="P598" i="6"/>
  <c r="Q597" i="6"/>
  <c r="P597" i="6"/>
  <c r="Q596" i="6"/>
  <c r="P596" i="6"/>
  <c r="Q595" i="6"/>
  <c r="P595" i="6"/>
  <c r="Q594" i="6"/>
  <c r="P594" i="6"/>
  <c r="Q593" i="6"/>
  <c r="P593" i="6"/>
  <c r="Q592" i="6"/>
  <c r="P592" i="6"/>
  <c r="Q591" i="6"/>
  <c r="P591" i="6"/>
  <c r="Q590" i="6"/>
  <c r="P590" i="6"/>
  <c r="Q589" i="6"/>
  <c r="P589" i="6"/>
  <c r="Q588" i="6"/>
  <c r="P588" i="6"/>
  <c r="Q587" i="6"/>
  <c r="P587" i="6"/>
  <c r="Q586" i="6"/>
  <c r="P586" i="6"/>
  <c r="Q585" i="6"/>
  <c r="P585" i="6"/>
  <c r="Q584" i="6"/>
  <c r="P584" i="6"/>
  <c r="Q583" i="6"/>
  <c r="P583" i="6"/>
  <c r="Q582" i="6"/>
  <c r="P582" i="6"/>
  <c r="Q581" i="6"/>
  <c r="P581" i="6"/>
  <c r="Q580" i="6"/>
  <c r="P580" i="6"/>
  <c r="Q579" i="6"/>
  <c r="P579" i="6"/>
  <c r="Q578" i="6"/>
  <c r="P578" i="6"/>
  <c r="Q577" i="6"/>
  <c r="P577" i="6"/>
  <c r="Q576" i="6"/>
  <c r="P576" i="6"/>
  <c r="Q575" i="6"/>
  <c r="P575" i="6"/>
  <c r="Q574" i="6"/>
  <c r="P574" i="6"/>
  <c r="Q573" i="6"/>
  <c r="P573" i="6"/>
  <c r="Q572" i="6"/>
  <c r="P572" i="6"/>
  <c r="Q571" i="6"/>
  <c r="P571" i="6"/>
  <c r="Q570" i="6"/>
  <c r="P570" i="6"/>
  <c r="Q569" i="6"/>
  <c r="P569" i="6"/>
  <c r="Q568" i="6"/>
  <c r="P568" i="6"/>
  <c r="Q567" i="6"/>
  <c r="P567" i="6"/>
  <c r="Q566" i="6"/>
  <c r="P566" i="6"/>
  <c r="Q565" i="6"/>
  <c r="P565" i="6"/>
  <c r="Q564" i="6"/>
  <c r="P564" i="6"/>
  <c r="Q563" i="6"/>
  <c r="P563" i="6"/>
  <c r="Q562" i="6"/>
  <c r="P562" i="6"/>
  <c r="Q561" i="6"/>
  <c r="P561" i="6"/>
  <c r="Q560" i="6"/>
  <c r="P560" i="6"/>
  <c r="Q559" i="6"/>
  <c r="P559" i="6"/>
  <c r="Q558" i="6"/>
  <c r="P558" i="6"/>
  <c r="Q557" i="6"/>
  <c r="P557" i="6"/>
  <c r="Q556" i="6"/>
  <c r="P556" i="6"/>
  <c r="Q555" i="6"/>
  <c r="P555" i="6"/>
  <c r="Q554" i="6"/>
  <c r="P554" i="6"/>
  <c r="Q553" i="6"/>
  <c r="P553" i="6"/>
  <c r="Q552" i="6"/>
  <c r="P552" i="6"/>
  <c r="Q551" i="6"/>
  <c r="P551" i="6"/>
  <c r="Q550" i="6"/>
  <c r="P550" i="6"/>
  <c r="Q549" i="6"/>
  <c r="P549" i="6"/>
  <c r="Q548" i="6"/>
  <c r="P548" i="6"/>
  <c r="Q547" i="6"/>
  <c r="P547" i="6"/>
  <c r="Q546" i="6"/>
  <c r="P546" i="6"/>
  <c r="Q545" i="6"/>
  <c r="P545" i="6"/>
  <c r="Q544" i="6"/>
  <c r="P544" i="6"/>
  <c r="Q543" i="6"/>
  <c r="P543" i="6"/>
  <c r="Q542" i="6"/>
  <c r="P542" i="6"/>
  <c r="Q541" i="6"/>
  <c r="P541" i="6"/>
  <c r="Q540" i="6"/>
  <c r="P540" i="6"/>
  <c r="Q539" i="6"/>
  <c r="P539" i="6"/>
  <c r="Q538" i="6"/>
  <c r="P538" i="6"/>
  <c r="Q537" i="6"/>
  <c r="P537" i="6"/>
  <c r="Q536" i="6"/>
  <c r="P536" i="6"/>
  <c r="Q535" i="6"/>
  <c r="P535" i="6"/>
  <c r="Q534" i="6"/>
  <c r="P534" i="6"/>
  <c r="Q533" i="6"/>
  <c r="P533" i="6"/>
  <c r="Q532" i="6"/>
  <c r="P532" i="6"/>
  <c r="Q531" i="6"/>
  <c r="P531" i="6"/>
  <c r="Q530" i="6"/>
  <c r="P530" i="6"/>
  <c r="Q529" i="6"/>
  <c r="P529" i="6"/>
  <c r="Q528" i="6"/>
  <c r="P528" i="6"/>
  <c r="Q527" i="6"/>
  <c r="P527" i="6"/>
  <c r="Q526" i="6"/>
  <c r="P526" i="6"/>
  <c r="Q525" i="6"/>
  <c r="P525" i="6"/>
  <c r="Q524" i="6"/>
  <c r="P524" i="6"/>
  <c r="Q523" i="6"/>
  <c r="P523" i="6"/>
  <c r="Q522" i="6"/>
  <c r="P522" i="6"/>
  <c r="Q521" i="6"/>
  <c r="P521" i="6"/>
  <c r="Q520" i="6"/>
  <c r="P520" i="6"/>
  <c r="Q519" i="6"/>
  <c r="P519" i="6"/>
  <c r="Q518" i="6"/>
  <c r="P518" i="6"/>
  <c r="Q517" i="6"/>
  <c r="P517" i="6"/>
  <c r="Q516" i="6"/>
  <c r="P516" i="6"/>
  <c r="Q515" i="6"/>
  <c r="P515" i="6"/>
  <c r="Q514" i="6"/>
  <c r="P514" i="6"/>
  <c r="Q513" i="6"/>
  <c r="P513" i="6"/>
  <c r="Q512" i="6"/>
  <c r="P512" i="6"/>
  <c r="Q511" i="6"/>
  <c r="P511" i="6"/>
  <c r="Q510" i="6"/>
  <c r="P510" i="6"/>
  <c r="Q509" i="6"/>
  <c r="P509" i="6"/>
  <c r="Q508" i="6"/>
  <c r="P508" i="6"/>
  <c r="Q507" i="6"/>
  <c r="P507" i="6"/>
  <c r="Q506" i="6"/>
  <c r="P506" i="6"/>
  <c r="Q505" i="6"/>
  <c r="P505" i="6"/>
  <c r="Q504" i="6"/>
  <c r="P504" i="6"/>
  <c r="Q503" i="6"/>
  <c r="P503" i="6"/>
  <c r="Q502" i="6"/>
  <c r="P502" i="6"/>
  <c r="Q501" i="6"/>
  <c r="P501" i="6"/>
  <c r="Q500" i="6"/>
  <c r="P500" i="6"/>
  <c r="Q499" i="6"/>
  <c r="P499" i="6"/>
  <c r="Q498" i="6"/>
  <c r="P498" i="6"/>
  <c r="Q497" i="6"/>
  <c r="P497" i="6"/>
  <c r="Q496" i="6"/>
  <c r="P496" i="6"/>
  <c r="Q495" i="6"/>
  <c r="P495" i="6"/>
  <c r="Q494" i="6"/>
  <c r="P494" i="6"/>
  <c r="Q493" i="6"/>
  <c r="P493" i="6"/>
  <c r="Q492" i="6"/>
  <c r="P492" i="6"/>
  <c r="Q491" i="6"/>
  <c r="P491" i="6"/>
  <c r="Q490" i="6"/>
  <c r="P490" i="6"/>
  <c r="Q489" i="6"/>
  <c r="P489" i="6"/>
  <c r="Q488" i="6"/>
  <c r="P488" i="6"/>
  <c r="Q487" i="6"/>
  <c r="P487" i="6"/>
  <c r="Q486" i="6"/>
  <c r="P486" i="6"/>
  <c r="Q485" i="6"/>
  <c r="P485" i="6"/>
  <c r="Q484" i="6"/>
  <c r="P484" i="6"/>
  <c r="Q483" i="6"/>
  <c r="P483" i="6"/>
  <c r="Q482" i="6"/>
  <c r="P482" i="6"/>
  <c r="Q481" i="6"/>
  <c r="P481" i="6"/>
  <c r="Q480" i="6"/>
  <c r="P480" i="6"/>
  <c r="Q479" i="6"/>
  <c r="P479" i="6"/>
  <c r="Q478" i="6"/>
  <c r="P478" i="6"/>
  <c r="Q477" i="6"/>
  <c r="P477" i="6"/>
  <c r="Q476" i="6"/>
  <c r="P476" i="6"/>
  <c r="Q475" i="6"/>
  <c r="P475" i="6"/>
  <c r="Q474" i="6"/>
  <c r="P474" i="6"/>
  <c r="Q473" i="6"/>
  <c r="P473" i="6"/>
  <c r="Q472" i="6"/>
  <c r="P472" i="6"/>
  <c r="Q471" i="6"/>
  <c r="P471" i="6"/>
  <c r="Q470" i="6"/>
  <c r="P470" i="6"/>
  <c r="Q469" i="6"/>
  <c r="P469" i="6"/>
  <c r="Q468" i="6"/>
  <c r="P468" i="6"/>
  <c r="Q467" i="6"/>
  <c r="P467" i="6"/>
  <c r="Q466" i="6"/>
  <c r="P466" i="6"/>
  <c r="Q465" i="6"/>
  <c r="P465" i="6"/>
  <c r="Q464" i="6"/>
  <c r="P464" i="6"/>
  <c r="Q463" i="6"/>
  <c r="P463" i="6"/>
  <c r="Q462" i="6"/>
  <c r="P462" i="6"/>
  <c r="Q461" i="6"/>
  <c r="P461" i="6"/>
  <c r="Q460" i="6"/>
  <c r="P460" i="6"/>
  <c r="Q459" i="6"/>
  <c r="P459" i="6"/>
  <c r="Q458" i="6"/>
  <c r="P458" i="6"/>
  <c r="Q457" i="6"/>
  <c r="P457" i="6"/>
  <c r="Q456" i="6"/>
  <c r="P456" i="6"/>
  <c r="Q455" i="6"/>
  <c r="P455" i="6"/>
  <c r="Q454" i="6"/>
  <c r="P454" i="6"/>
  <c r="Q453" i="6"/>
  <c r="P453" i="6"/>
  <c r="Q452" i="6"/>
  <c r="P452" i="6"/>
  <c r="Q451" i="6"/>
  <c r="P451" i="6"/>
  <c r="Q450" i="6"/>
  <c r="P450" i="6"/>
  <c r="Q449" i="6"/>
  <c r="P449" i="6"/>
  <c r="Q448" i="6"/>
  <c r="P448" i="6"/>
  <c r="Q447" i="6"/>
  <c r="P447" i="6"/>
  <c r="Q446" i="6"/>
  <c r="P446" i="6"/>
  <c r="Q445" i="6"/>
  <c r="P445" i="6"/>
  <c r="Q444" i="6"/>
  <c r="P444" i="6"/>
  <c r="Q443" i="6"/>
  <c r="P443" i="6"/>
  <c r="Q442" i="6"/>
  <c r="P442" i="6"/>
  <c r="Q441" i="6"/>
  <c r="P441" i="6"/>
  <c r="Q440" i="6"/>
  <c r="P440" i="6"/>
  <c r="Q439" i="6"/>
  <c r="P439" i="6"/>
  <c r="Q438" i="6"/>
  <c r="P438" i="6"/>
  <c r="Q437" i="6"/>
  <c r="P437" i="6"/>
  <c r="Q436" i="6"/>
  <c r="P436" i="6"/>
  <c r="Q435" i="6"/>
  <c r="P435" i="6"/>
  <c r="Q434" i="6"/>
  <c r="P434" i="6"/>
  <c r="Q433" i="6"/>
  <c r="P433" i="6"/>
  <c r="Q432" i="6"/>
  <c r="P432" i="6"/>
  <c r="Q431" i="6"/>
  <c r="P431" i="6"/>
  <c r="Q430" i="6"/>
  <c r="P430" i="6"/>
  <c r="Q429" i="6"/>
  <c r="P429" i="6"/>
  <c r="Q428" i="6"/>
  <c r="P428" i="6"/>
  <c r="Q427" i="6"/>
  <c r="P427" i="6"/>
  <c r="Q426" i="6"/>
  <c r="P426" i="6"/>
  <c r="Q425" i="6"/>
  <c r="P425" i="6"/>
  <c r="Q424" i="6"/>
  <c r="P424" i="6"/>
  <c r="Q423" i="6"/>
  <c r="P423" i="6"/>
  <c r="Q422" i="6"/>
  <c r="P422" i="6"/>
  <c r="Q421" i="6"/>
  <c r="P421" i="6"/>
  <c r="Q420" i="6"/>
  <c r="P420" i="6"/>
  <c r="Q419" i="6"/>
  <c r="P419" i="6"/>
  <c r="Q418" i="6"/>
  <c r="P418" i="6"/>
  <c r="Q417" i="6"/>
  <c r="P417" i="6"/>
  <c r="Q416" i="6"/>
  <c r="P416" i="6"/>
  <c r="Q415" i="6"/>
  <c r="P415" i="6"/>
  <c r="Q414" i="6"/>
  <c r="P414" i="6"/>
  <c r="Q413" i="6"/>
  <c r="P413" i="6"/>
  <c r="Q412" i="6"/>
  <c r="P412" i="6"/>
  <c r="Q411" i="6"/>
  <c r="P411" i="6"/>
  <c r="Q410" i="6"/>
  <c r="P410" i="6"/>
  <c r="Q409" i="6"/>
  <c r="P409" i="6"/>
  <c r="Q408" i="6"/>
  <c r="P408" i="6"/>
  <c r="Q407" i="6"/>
  <c r="P407" i="6"/>
  <c r="Q406" i="6"/>
  <c r="P406" i="6"/>
  <c r="Q405" i="6"/>
  <c r="P405" i="6"/>
  <c r="Q404" i="6"/>
  <c r="P404" i="6"/>
  <c r="Q403" i="6"/>
  <c r="P403" i="6"/>
  <c r="Q402" i="6"/>
  <c r="P402" i="6"/>
  <c r="Q401" i="6"/>
  <c r="P401" i="6"/>
  <c r="Q400" i="6"/>
  <c r="P400" i="6"/>
  <c r="Q399" i="6"/>
  <c r="P399" i="6"/>
  <c r="Q398" i="6"/>
  <c r="P398" i="6"/>
  <c r="Q397" i="6"/>
  <c r="P397" i="6"/>
  <c r="Q396" i="6"/>
  <c r="P396" i="6"/>
  <c r="Q395" i="6"/>
  <c r="P395" i="6"/>
  <c r="Q394" i="6"/>
  <c r="P394" i="6"/>
  <c r="Q393" i="6"/>
  <c r="P393" i="6"/>
  <c r="Q392" i="6"/>
  <c r="P392" i="6"/>
  <c r="Q391" i="6"/>
  <c r="P391" i="6"/>
  <c r="Q390" i="6"/>
  <c r="P390" i="6"/>
  <c r="Q389" i="6"/>
  <c r="P389" i="6"/>
  <c r="Q388" i="6"/>
  <c r="P388" i="6"/>
  <c r="Q387" i="6"/>
  <c r="P387" i="6"/>
  <c r="Q386" i="6"/>
  <c r="P386" i="6"/>
  <c r="Q385" i="6"/>
  <c r="P385" i="6"/>
  <c r="Q384" i="6"/>
  <c r="P384" i="6"/>
  <c r="Q383" i="6"/>
  <c r="P383" i="6"/>
  <c r="Q382" i="6"/>
  <c r="P382" i="6"/>
  <c r="Q381" i="6"/>
  <c r="P381" i="6"/>
  <c r="Q380" i="6"/>
  <c r="P380" i="6"/>
  <c r="Q379" i="6"/>
  <c r="P379" i="6"/>
  <c r="Q378" i="6"/>
  <c r="P378" i="6"/>
  <c r="Q377" i="6"/>
  <c r="P377" i="6"/>
  <c r="Q376" i="6"/>
  <c r="P376" i="6"/>
  <c r="Q375" i="6"/>
  <c r="P375" i="6"/>
  <c r="Q374" i="6"/>
  <c r="P374" i="6"/>
  <c r="Q373" i="6"/>
  <c r="P373" i="6"/>
  <c r="Q372" i="6"/>
  <c r="P372" i="6"/>
  <c r="Q371" i="6"/>
  <c r="P371" i="6"/>
  <c r="Q370" i="6"/>
  <c r="P370" i="6"/>
  <c r="Q369" i="6"/>
  <c r="P369" i="6"/>
  <c r="Q368" i="6"/>
  <c r="P368" i="6"/>
  <c r="Q367" i="6"/>
  <c r="P367" i="6"/>
  <c r="Q366" i="6"/>
  <c r="P366" i="6"/>
  <c r="Q365" i="6"/>
  <c r="P365" i="6"/>
  <c r="Q364" i="6"/>
  <c r="P364" i="6"/>
  <c r="Q363" i="6"/>
  <c r="P363" i="6"/>
  <c r="Q362" i="6"/>
  <c r="P362" i="6"/>
  <c r="Q361" i="6"/>
  <c r="P361" i="6"/>
  <c r="Q360" i="6"/>
  <c r="P360" i="6"/>
  <c r="Q359" i="6"/>
  <c r="P359" i="6"/>
  <c r="Q358" i="6"/>
  <c r="P358" i="6"/>
  <c r="Q357" i="6"/>
  <c r="P357" i="6"/>
  <c r="Q356" i="6"/>
  <c r="P356" i="6"/>
  <c r="Q355" i="6"/>
  <c r="P355" i="6"/>
  <c r="Q354" i="6"/>
  <c r="P354" i="6"/>
  <c r="Q353" i="6"/>
  <c r="P353" i="6"/>
  <c r="Q352" i="6"/>
  <c r="P352" i="6"/>
  <c r="Q351" i="6"/>
  <c r="P351" i="6"/>
  <c r="Q350" i="6"/>
  <c r="P350" i="6"/>
  <c r="Q349" i="6"/>
  <c r="P349" i="6"/>
  <c r="Q348" i="6"/>
  <c r="P348" i="6"/>
  <c r="Q347" i="6"/>
  <c r="P347" i="6"/>
  <c r="Q346" i="6"/>
  <c r="P346" i="6"/>
  <c r="Q345" i="6"/>
  <c r="P345" i="6"/>
  <c r="Q344" i="6"/>
  <c r="P344" i="6"/>
  <c r="Q343" i="6"/>
  <c r="P343" i="6"/>
  <c r="Q342" i="6"/>
  <c r="P342" i="6"/>
  <c r="Q341" i="6"/>
  <c r="P341" i="6"/>
  <c r="Q340" i="6"/>
  <c r="P340" i="6"/>
  <c r="Q339" i="6"/>
  <c r="P339" i="6"/>
  <c r="Q338" i="6"/>
  <c r="P338" i="6"/>
  <c r="Q337" i="6"/>
  <c r="P337" i="6"/>
  <c r="Q336" i="6"/>
  <c r="P336" i="6"/>
  <c r="Q335" i="6"/>
  <c r="P335" i="6"/>
  <c r="Q334" i="6"/>
  <c r="P334" i="6"/>
  <c r="Q333" i="6"/>
  <c r="P333" i="6"/>
  <c r="Q332" i="6"/>
  <c r="P332" i="6"/>
  <c r="Q331" i="6"/>
  <c r="P331" i="6"/>
  <c r="Q330" i="6"/>
  <c r="P330" i="6"/>
  <c r="Q329" i="6"/>
  <c r="P329" i="6"/>
  <c r="Q328" i="6"/>
  <c r="P328" i="6"/>
  <c r="Q327" i="6"/>
  <c r="P327" i="6"/>
  <c r="Q326" i="6"/>
  <c r="P326" i="6"/>
  <c r="Q325" i="6"/>
  <c r="P325" i="6"/>
  <c r="Q324" i="6"/>
  <c r="P324" i="6"/>
  <c r="Q323" i="6"/>
  <c r="P323" i="6"/>
  <c r="Q322" i="6"/>
  <c r="P322" i="6"/>
  <c r="Q321" i="6"/>
  <c r="P321" i="6"/>
  <c r="Q320" i="6"/>
  <c r="P320" i="6"/>
  <c r="Q319" i="6"/>
  <c r="P319" i="6"/>
  <c r="Q318" i="6"/>
  <c r="P318" i="6"/>
  <c r="Q317" i="6"/>
  <c r="P317" i="6"/>
  <c r="Q316" i="6"/>
  <c r="P316" i="6"/>
  <c r="Q315" i="6"/>
  <c r="P315" i="6"/>
  <c r="Q314" i="6"/>
  <c r="P314" i="6"/>
  <c r="Q313" i="6"/>
  <c r="P313" i="6"/>
  <c r="Q312" i="6"/>
  <c r="P312" i="6"/>
  <c r="Q311" i="6"/>
  <c r="P311" i="6"/>
  <c r="Q310" i="6"/>
  <c r="P310" i="6"/>
  <c r="Q309" i="6"/>
  <c r="P309" i="6"/>
  <c r="Q308" i="6"/>
  <c r="P308" i="6"/>
  <c r="Q307" i="6"/>
  <c r="P307" i="6"/>
  <c r="Q306" i="6"/>
  <c r="P306" i="6"/>
  <c r="Q305" i="6"/>
  <c r="P305" i="6"/>
  <c r="Q304" i="6"/>
  <c r="P304" i="6"/>
  <c r="Q303" i="6"/>
  <c r="P303" i="6"/>
  <c r="Q302" i="6"/>
  <c r="P302" i="6"/>
  <c r="Q301" i="6"/>
  <c r="P301" i="6"/>
  <c r="Q300" i="6"/>
  <c r="P300" i="6"/>
  <c r="Q299" i="6"/>
  <c r="P299" i="6"/>
  <c r="Q298" i="6"/>
  <c r="P298" i="6"/>
  <c r="Q297" i="6"/>
  <c r="P297" i="6"/>
  <c r="Q296" i="6"/>
  <c r="P296" i="6"/>
  <c r="Q295" i="6"/>
  <c r="P295" i="6"/>
  <c r="Q294" i="6"/>
  <c r="P294" i="6"/>
  <c r="Q293" i="6"/>
  <c r="P293" i="6"/>
  <c r="Q292" i="6"/>
  <c r="P292" i="6"/>
  <c r="Q291" i="6"/>
  <c r="P291" i="6"/>
  <c r="Q290" i="6"/>
  <c r="P290" i="6"/>
  <c r="Q289" i="6"/>
  <c r="P289" i="6"/>
  <c r="Q288" i="6"/>
  <c r="P288" i="6"/>
  <c r="Q287" i="6"/>
  <c r="P287" i="6"/>
  <c r="Q286" i="6"/>
  <c r="P286" i="6"/>
  <c r="Q285" i="6"/>
  <c r="P285" i="6"/>
  <c r="Q284" i="6"/>
  <c r="P284" i="6"/>
  <c r="Q283" i="6"/>
  <c r="P283" i="6"/>
  <c r="Q282" i="6"/>
  <c r="P282" i="6"/>
  <c r="Q281" i="6"/>
  <c r="P281" i="6"/>
  <c r="Q280" i="6"/>
  <c r="P280" i="6"/>
  <c r="Q279" i="6"/>
  <c r="P279" i="6"/>
  <c r="Q278" i="6"/>
  <c r="P278" i="6"/>
  <c r="Q277" i="6"/>
  <c r="P277" i="6"/>
  <c r="Q276" i="6"/>
  <c r="P276" i="6"/>
  <c r="Q275" i="6"/>
  <c r="P275" i="6"/>
  <c r="Q274" i="6"/>
  <c r="P274" i="6"/>
  <c r="Q273" i="6"/>
  <c r="P273" i="6"/>
  <c r="Q272" i="6"/>
  <c r="P272" i="6"/>
  <c r="Q271" i="6"/>
  <c r="P271" i="6"/>
  <c r="Q270" i="6"/>
  <c r="P270" i="6"/>
  <c r="Q269" i="6"/>
  <c r="P269" i="6"/>
  <c r="Q268" i="6"/>
  <c r="P268" i="6"/>
  <c r="Q267" i="6"/>
  <c r="P267" i="6"/>
  <c r="Q266" i="6"/>
  <c r="P266" i="6"/>
  <c r="Q265" i="6"/>
  <c r="P265" i="6"/>
  <c r="Q264" i="6"/>
  <c r="P264" i="6"/>
  <c r="Q263" i="6"/>
  <c r="P263" i="6"/>
  <c r="Q262" i="6"/>
  <c r="P262" i="6"/>
  <c r="Q261" i="6"/>
  <c r="P261" i="6"/>
  <c r="Q260" i="6"/>
  <c r="P260" i="6"/>
  <c r="Q259" i="6"/>
  <c r="P259" i="6"/>
  <c r="Q258" i="6"/>
  <c r="P258" i="6"/>
  <c r="Q257" i="6"/>
  <c r="P257" i="6"/>
  <c r="Q256" i="6"/>
  <c r="P256" i="6"/>
  <c r="Q255" i="6"/>
  <c r="P255" i="6"/>
  <c r="Q254" i="6"/>
  <c r="P254" i="6"/>
  <c r="Q253" i="6"/>
  <c r="P253" i="6"/>
  <c r="Q252" i="6"/>
  <c r="P252" i="6"/>
  <c r="Q251" i="6"/>
  <c r="P251" i="6"/>
  <c r="Q250" i="6"/>
  <c r="P250" i="6"/>
  <c r="Q249" i="6"/>
  <c r="P249" i="6"/>
  <c r="Q248" i="6"/>
  <c r="P248" i="6"/>
  <c r="Q247" i="6"/>
  <c r="P247" i="6"/>
  <c r="Q246" i="6"/>
  <c r="P246" i="6"/>
  <c r="Q245" i="6"/>
  <c r="P245" i="6"/>
  <c r="Q244" i="6"/>
  <c r="P244" i="6"/>
  <c r="Q243" i="6"/>
  <c r="P243" i="6"/>
  <c r="Q242" i="6"/>
  <c r="P242" i="6"/>
  <c r="Q241" i="6"/>
  <c r="P241" i="6"/>
  <c r="Q240" i="6"/>
  <c r="P240" i="6"/>
  <c r="Q239" i="6"/>
  <c r="P239" i="6"/>
  <c r="Q238" i="6"/>
  <c r="P238" i="6"/>
  <c r="Q237" i="6"/>
  <c r="P237" i="6"/>
  <c r="Q236" i="6"/>
  <c r="P236" i="6"/>
  <c r="Q235" i="6"/>
  <c r="P235" i="6"/>
  <c r="Q234" i="6"/>
  <c r="P234" i="6"/>
  <c r="Q233" i="6"/>
  <c r="P233" i="6"/>
  <c r="Q232" i="6"/>
  <c r="P232" i="6"/>
  <c r="Q231" i="6"/>
  <c r="P231" i="6"/>
  <c r="Q230" i="6"/>
  <c r="P230" i="6"/>
  <c r="Q229" i="6"/>
  <c r="P229" i="6"/>
  <c r="Q228" i="6"/>
  <c r="P228" i="6"/>
  <c r="Q227" i="6"/>
  <c r="P227" i="6"/>
  <c r="Q226" i="6"/>
  <c r="P226" i="6"/>
  <c r="Q225" i="6"/>
  <c r="P225" i="6"/>
  <c r="Q224" i="6"/>
  <c r="P224" i="6"/>
  <c r="Q223" i="6"/>
  <c r="P223" i="6"/>
  <c r="Q222" i="6"/>
  <c r="P222" i="6"/>
  <c r="Q221" i="6"/>
  <c r="P221" i="6"/>
  <c r="Q220" i="6"/>
  <c r="P220" i="6"/>
  <c r="Q219" i="6"/>
  <c r="P219" i="6"/>
  <c r="Q218" i="6"/>
  <c r="P218" i="6"/>
  <c r="Q217" i="6"/>
  <c r="P217" i="6"/>
  <c r="Q216" i="6"/>
  <c r="P216" i="6"/>
  <c r="Q215" i="6"/>
  <c r="P215" i="6"/>
  <c r="Q214" i="6"/>
  <c r="P214" i="6"/>
  <c r="Q213" i="6"/>
  <c r="P213" i="6"/>
  <c r="Q212" i="6"/>
  <c r="P212" i="6"/>
  <c r="Q211" i="6"/>
  <c r="P211" i="6"/>
  <c r="Q210" i="6"/>
  <c r="P210" i="6"/>
  <c r="Q209" i="6"/>
  <c r="P209" i="6"/>
  <c r="Q208" i="6"/>
  <c r="P208" i="6"/>
  <c r="Q207" i="6"/>
  <c r="P207" i="6"/>
  <c r="Q206" i="6"/>
  <c r="P206" i="6"/>
  <c r="Q205" i="6"/>
  <c r="P205" i="6"/>
  <c r="Q204" i="6"/>
  <c r="P204" i="6"/>
  <c r="Q203" i="6"/>
  <c r="P203" i="6"/>
  <c r="Q202" i="6"/>
  <c r="P202" i="6"/>
  <c r="Q201" i="6"/>
  <c r="P201" i="6"/>
  <c r="Q200" i="6"/>
  <c r="P200" i="6"/>
  <c r="Q199" i="6"/>
  <c r="P199" i="6"/>
  <c r="Q198" i="6"/>
  <c r="P198" i="6"/>
  <c r="Q197" i="6"/>
  <c r="P197" i="6"/>
  <c r="Q196" i="6"/>
  <c r="P196" i="6"/>
  <c r="Q195" i="6"/>
  <c r="P195" i="6"/>
  <c r="Q194" i="6"/>
  <c r="P194" i="6"/>
  <c r="Q193" i="6"/>
  <c r="P193" i="6"/>
  <c r="Q192" i="6"/>
  <c r="P192" i="6"/>
  <c r="Q191" i="6"/>
  <c r="P191" i="6"/>
  <c r="Q190" i="6"/>
  <c r="P190" i="6"/>
  <c r="Q189" i="6"/>
  <c r="P189" i="6"/>
  <c r="Q188" i="6"/>
  <c r="P188" i="6"/>
  <c r="Q187" i="6"/>
  <c r="P187" i="6"/>
  <c r="Q186" i="6"/>
  <c r="P186" i="6"/>
  <c r="Q185" i="6"/>
  <c r="P185" i="6"/>
  <c r="Q184" i="6"/>
  <c r="P184" i="6"/>
  <c r="Q183" i="6"/>
  <c r="P183" i="6"/>
  <c r="Q182" i="6"/>
  <c r="P182" i="6"/>
  <c r="Q181" i="6"/>
  <c r="P181" i="6"/>
  <c r="Q180" i="6"/>
  <c r="P180" i="6"/>
  <c r="Q179" i="6"/>
  <c r="P179" i="6"/>
  <c r="Q178" i="6"/>
  <c r="P178" i="6"/>
  <c r="Q177" i="6"/>
  <c r="P177" i="6"/>
  <c r="Q176" i="6"/>
  <c r="P176" i="6"/>
  <c r="Q175" i="6"/>
  <c r="P175" i="6"/>
  <c r="Q174" i="6"/>
  <c r="P174" i="6"/>
  <c r="Q173" i="6"/>
  <c r="P173" i="6"/>
  <c r="Q172" i="6"/>
  <c r="P172" i="6"/>
  <c r="Q171" i="6"/>
  <c r="P171" i="6"/>
  <c r="Q170" i="6"/>
  <c r="P170" i="6"/>
  <c r="Q169" i="6"/>
  <c r="P169" i="6"/>
  <c r="Q168" i="6"/>
  <c r="P168" i="6"/>
  <c r="Q167" i="6"/>
  <c r="P167" i="6"/>
  <c r="Q166" i="6"/>
  <c r="P166" i="6"/>
  <c r="Q165" i="6"/>
  <c r="P165" i="6"/>
  <c r="Q164" i="6"/>
  <c r="P164" i="6"/>
  <c r="Q163" i="6"/>
  <c r="P163" i="6"/>
  <c r="Q162" i="6"/>
  <c r="P162" i="6"/>
  <c r="Q161" i="6"/>
  <c r="P161" i="6"/>
  <c r="Q160" i="6"/>
  <c r="P160" i="6"/>
  <c r="Q159" i="6"/>
  <c r="P159" i="6"/>
  <c r="Q158" i="6"/>
  <c r="P158" i="6"/>
  <c r="Q157" i="6"/>
  <c r="P157" i="6"/>
  <c r="Q156" i="6"/>
  <c r="P156" i="6"/>
  <c r="Q155" i="6"/>
  <c r="P155" i="6"/>
  <c r="Q154" i="6"/>
  <c r="P154" i="6"/>
  <c r="Q153" i="6"/>
  <c r="P153" i="6"/>
  <c r="Q152" i="6"/>
  <c r="P152" i="6"/>
  <c r="Q151" i="6"/>
  <c r="P151" i="6"/>
  <c r="Q150" i="6"/>
  <c r="P150" i="6"/>
  <c r="Q149" i="6"/>
  <c r="P149" i="6"/>
  <c r="Q148" i="6"/>
  <c r="P148" i="6"/>
  <c r="Q147" i="6"/>
  <c r="P147" i="6"/>
  <c r="Q146" i="6"/>
  <c r="P146" i="6"/>
  <c r="Q145" i="6"/>
  <c r="P145" i="6"/>
  <c r="Q144" i="6"/>
  <c r="P144" i="6"/>
  <c r="Q143" i="6"/>
  <c r="P143" i="6"/>
  <c r="Q142" i="6"/>
  <c r="P142" i="6"/>
  <c r="Q141" i="6"/>
  <c r="P141" i="6"/>
  <c r="Q140" i="6"/>
  <c r="P140" i="6"/>
  <c r="Q139" i="6"/>
  <c r="P139" i="6"/>
  <c r="Q138" i="6"/>
  <c r="P138" i="6"/>
  <c r="Q137" i="6"/>
  <c r="P137" i="6"/>
  <c r="Q136" i="6"/>
  <c r="P136" i="6"/>
  <c r="Q135" i="6"/>
  <c r="P135" i="6"/>
  <c r="Q134" i="6"/>
  <c r="P134" i="6"/>
  <c r="Q133" i="6"/>
  <c r="P133" i="6"/>
  <c r="Q132" i="6"/>
  <c r="P132" i="6"/>
  <c r="Q131" i="6"/>
  <c r="P131" i="6"/>
  <c r="Q130" i="6"/>
  <c r="P130" i="6"/>
  <c r="Q129" i="6"/>
  <c r="P129" i="6"/>
  <c r="Q128" i="6"/>
  <c r="P128" i="6"/>
  <c r="Q127" i="6"/>
  <c r="P127" i="6"/>
  <c r="Q126" i="6"/>
  <c r="P126" i="6"/>
  <c r="Q125" i="6"/>
  <c r="P125" i="6"/>
  <c r="Q124" i="6"/>
  <c r="P124" i="6"/>
  <c r="Q123" i="6"/>
  <c r="P123" i="6"/>
  <c r="Q122" i="6"/>
  <c r="P122" i="6"/>
  <c r="Q121" i="6"/>
  <c r="P121" i="6"/>
  <c r="Q120" i="6"/>
  <c r="P120" i="6"/>
  <c r="Q119" i="6"/>
  <c r="P119" i="6"/>
  <c r="Q118" i="6"/>
  <c r="P118" i="6"/>
  <c r="Q117" i="6"/>
  <c r="P117" i="6"/>
  <c r="Q116" i="6"/>
  <c r="P116" i="6"/>
  <c r="Q115" i="6"/>
  <c r="P115" i="6"/>
  <c r="Q114" i="6"/>
  <c r="P114" i="6"/>
  <c r="Q113" i="6"/>
  <c r="P113" i="6"/>
  <c r="Q112" i="6"/>
  <c r="P112" i="6"/>
  <c r="Q111" i="6"/>
  <c r="P111" i="6"/>
  <c r="Q110" i="6"/>
  <c r="P110" i="6"/>
  <c r="Q109" i="6"/>
  <c r="P109" i="6"/>
  <c r="Q108" i="6"/>
  <c r="P108" i="6"/>
  <c r="Q107" i="6"/>
  <c r="P107" i="6"/>
  <c r="Q106" i="6"/>
  <c r="P106" i="6"/>
  <c r="Q105" i="6"/>
  <c r="P105" i="6"/>
  <c r="Q104" i="6"/>
  <c r="P104" i="6"/>
  <c r="Q103" i="6"/>
  <c r="P103" i="6"/>
  <c r="Q102" i="6"/>
  <c r="P102" i="6"/>
  <c r="Q101" i="6"/>
  <c r="P101" i="6"/>
  <c r="Q100" i="6"/>
  <c r="P100" i="6"/>
  <c r="Q99" i="6"/>
  <c r="P99" i="6"/>
  <c r="Q98" i="6"/>
  <c r="P98" i="6"/>
  <c r="Q97" i="6"/>
  <c r="P97" i="6"/>
  <c r="Q96" i="6"/>
  <c r="P96" i="6"/>
  <c r="Q95" i="6"/>
  <c r="P95" i="6"/>
  <c r="Q94" i="6"/>
  <c r="P94" i="6"/>
  <c r="Q93" i="6"/>
  <c r="P93" i="6"/>
  <c r="Q92" i="6"/>
  <c r="P92" i="6"/>
  <c r="Q91" i="6"/>
  <c r="P91" i="6"/>
  <c r="Q90" i="6"/>
  <c r="P90" i="6"/>
  <c r="Q89" i="6"/>
  <c r="P89" i="6"/>
  <c r="Q88" i="6"/>
  <c r="P88" i="6"/>
  <c r="Q87" i="6"/>
  <c r="P87" i="6"/>
  <c r="Q86" i="6"/>
  <c r="P86" i="6"/>
  <c r="Q85" i="6"/>
  <c r="P85" i="6"/>
  <c r="Q84" i="6"/>
  <c r="P84" i="6"/>
  <c r="Q83" i="6"/>
  <c r="P83" i="6"/>
  <c r="Q82" i="6"/>
  <c r="P82" i="6"/>
  <c r="Q81" i="6"/>
  <c r="P81" i="6"/>
  <c r="Q80" i="6"/>
  <c r="P80" i="6"/>
  <c r="Q79" i="6"/>
  <c r="P79" i="6"/>
  <c r="Q78" i="6"/>
  <c r="P78" i="6"/>
  <c r="Q77" i="6"/>
  <c r="P77" i="6"/>
  <c r="Q76" i="6"/>
  <c r="P76" i="6"/>
  <c r="Q75" i="6"/>
  <c r="P75" i="6"/>
  <c r="Q74" i="6"/>
  <c r="P74" i="6"/>
  <c r="Q73" i="6"/>
  <c r="P73" i="6"/>
  <c r="Q72" i="6"/>
  <c r="P72" i="6"/>
  <c r="Q71" i="6"/>
  <c r="P71" i="6"/>
  <c r="Q70" i="6"/>
  <c r="P70" i="6"/>
  <c r="Q69" i="6"/>
  <c r="P69" i="6"/>
  <c r="Q68" i="6"/>
  <c r="P68" i="6"/>
  <c r="Q67" i="6"/>
  <c r="P67" i="6"/>
  <c r="Q66" i="6"/>
  <c r="P66" i="6"/>
  <c r="Q65" i="6"/>
  <c r="P65" i="6"/>
  <c r="Q64" i="6"/>
  <c r="P64" i="6"/>
  <c r="Q63" i="6"/>
  <c r="P63" i="6"/>
  <c r="Q62" i="6"/>
  <c r="P62" i="6"/>
  <c r="Q61" i="6"/>
  <c r="P61" i="6"/>
  <c r="Q60" i="6"/>
  <c r="P60" i="6"/>
  <c r="Q59" i="6"/>
  <c r="P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Q49" i="6"/>
  <c r="P49" i="6"/>
  <c r="Q48" i="6"/>
  <c r="P48" i="6"/>
  <c r="Q47" i="6"/>
  <c r="P47" i="6"/>
  <c r="Q46" i="6"/>
  <c r="P46" i="6"/>
  <c r="Q45" i="6"/>
  <c r="P45" i="6"/>
  <c r="Q44" i="6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Q7" i="6"/>
  <c r="P7" i="6"/>
  <c r="Q6" i="6"/>
  <c r="P6" i="6"/>
  <c r="Q5" i="6"/>
  <c r="P5" i="6"/>
  <c r="Q4" i="6"/>
  <c r="P4" i="6"/>
  <c r="N4" i="6"/>
  <c r="M4" i="6"/>
  <c r="Q3" i="6"/>
  <c r="P3" i="6"/>
  <c r="Q2" i="6"/>
  <c r="P2" i="6"/>
  <c r="G3" i="5" a="1"/>
  <c r="G3" i="5" s="1"/>
  <c r="F3" i="5" a="1"/>
  <c r="F3" i="5" s="1"/>
  <c r="E3" i="5" a="1"/>
  <c r="E3" i="5" s="1"/>
  <c r="N4" i="1"/>
  <c r="M4" i="1"/>
  <c r="Q773" i="4"/>
  <c r="P773" i="4"/>
  <c r="Q772" i="4"/>
  <c r="P772" i="4"/>
  <c r="Q771" i="4"/>
  <c r="P771" i="4"/>
  <c r="Q770" i="4"/>
  <c r="P770" i="4"/>
  <c r="Q769" i="4"/>
  <c r="P769" i="4"/>
  <c r="Q768" i="4"/>
  <c r="P768" i="4"/>
  <c r="Q767" i="4"/>
  <c r="P767" i="4"/>
  <c r="Q766" i="4"/>
  <c r="P766" i="4"/>
  <c r="Q765" i="4"/>
  <c r="P765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Q595" i="4"/>
  <c r="P595" i="4"/>
  <c r="Q594" i="4"/>
  <c r="P594" i="4"/>
  <c r="Q593" i="4"/>
  <c r="P593" i="4"/>
  <c r="Q592" i="4"/>
  <c r="P592" i="4"/>
  <c r="Q591" i="4"/>
  <c r="P591" i="4"/>
  <c r="Q590" i="4"/>
  <c r="P590" i="4"/>
  <c r="Q589" i="4"/>
  <c r="P589" i="4"/>
  <c r="Q588" i="4"/>
  <c r="P588" i="4"/>
  <c r="Q587" i="4"/>
  <c r="P587" i="4"/>
  <c r="Q586" i="4"/>
  <c r="P586" i="4"/>
  <c r="Q585" i="4"/>
  <c r="P585" i="4"/>
  <c r="Q584" i="4"/>
  <c r="P584" i="4"/>
  <c r="Q583" i="4"/>
  <c r="P583" i="4"/>
  <c r="Q582" i="4"/>
  <c r="P582" i="4"/>
  <c r="Q581" i="4"/>
  <c r="P581" i="4"/>
  <c r="Q580" i="4"/>
  <c r="P580" i="4"/>
  <c r="Q579" i="4"/>
  <c r="P579" i="4"/>
  <c r="Q578" i="4"/>
  <c r="P578" i="4"/>
  <c r="Q577" i="4"/>
  <c r="P577" i="4"/>
  <c r="Q576" i="4"/>
  <c r="P576" i="4"/>
  <c r="Q575" i="4"/>
  <c r="P575" i="4"/>
  <c r="Q574" i="4"/>
  <c r="P574" i="4"/>
  <c r="Q573" i="4"/>
  <c r="P573" i="4"/>
  <c r="Q572" i="4"/>
  <c r="P572" i="4"/>
  <c r="Q571" i="4"/>
  <c r="P571" i="4"/>
  <c r="Q570" i="4"/>
  <c r="P570" i="4"/>
  <c r="Q569" i="4"/>
  <c r="P569" i="4"/>
  <c r="Q568" i="4"/>
  <c r="P568" i="4"/>
  <c r="Q567" i="4"/>
  <c r="P567" i="4"/>
  <c r="Q566" i="4"/>
  <c r="P566" i="4"/>
  <c r="Q565" i="4"/>
  <c r="P565" i="4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Q556" i="4"/>
  <c r="P556" i="4"/>
  <c r="Q555" i="4"/>
  <c r="P555" i="4"/>
  <c r="Q554" i="4"/>
  <c r="P554" i="4"/>
  <c r="Q553" i="4"/>
  <c r="P553" i="4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Q544" i="4"/>
  <c r="P544" i="4"/>
  <c r="Q543" i="4"/>
  <c r="P543" i="4"/>
  <c r="Q542" i="4"/>
  <c r="P542" i="4"/>
  <c r="Q541" i="4"/>
  <c r="P541" i="4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Q532" i="4"/>
  <c r="P532" i="4"/>
  <c r="Q531" i="4"/>
  <c r="P531" i="4"/>
  <c r="Q530" i="4"/>
  <c r="P530" i="4"/>
  <c r="Q529" i="4"/>
  <c r="P529" i="4"/>
  <c r="Q528" i="4"/>
  <c r="P528" i="4"/>
  <c r="Q527" i="4"/>
  <c r="P527" i="4"/>
  <c r="Q526" i="4"/>
  <c r="P526" i="4"/>
  <c r="Q525" i="4"/>
  <c r="P525" i="4"/>
  <c r="Q524" i="4"/>
  <c r="P524" i="4"/>
  <c r="Q523" i="4"/>
  <c r="P523" i="4"/>
  <c r="Q522" i="4"/>
  <c r="P522" i="4"/>
  <c r="Q521" i="4"/>
  <c r="P521" i="4"/>
  <c r="Q520" i="4"/>
  <c r="P520" i="4"/>
  <c r="Q519" i="4"/>
  <c r="P519" i="4"/>
  <c r="Q518" i="4"/>
  <c r="P518" i="4"/>
  <c r="Q517" i="4"/>
  <c r="P517" i="4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Q508" i="4"/>
  <c r="P508" i="4"/>
  <c r="Q507" i="4"/>
  <c r="P507" i="4"/>
  <c r="Q506" i="4"/>
  <c r="P506" i="4"/>
  <c r="Q505" i="4"/>
  <c r="P505" i="4"/>
  <c r="Q504" i="4"/>
  <c r="P504" i="4"/>
  <c r="Q503" i="4"/>
  <c r="P503" i="4"/>
  <c r="Q502" i="4"/>
  <c r="P502" i="4"/>
  <c r="Q501" i="4"/>
  <c r="P501" i="4"/>
  <c r="Q500" i="4"/>
  <c r="P500" i="4"/>
  <c r="Q499" i="4"/>
  <c r="P499" i="4"/>
  <c r="Q498" i="4"/>
  <c r="P498" i="4"/>
  <c r="Q497" i="4"/>
  <c r="P497" i="4"/>
  <c r="Q496" i="4"/>
  <c r="P496" i="4"/>
  <c r="Q495" i="4"/>
  <c r="P495" i="4"/>
  <c r="Q494" i="4"/>
  <c r="P494" i="4"/>
  <c r="Q493" i="4"/>
  <c r="P493" i="4"/>
  <c r="Q492" i="4"/>
  <c r="P492" i="4"/>
  <c r="Q491" i="4"/>
  <c r="P491" i="4"/>
  <c r="Q490" i="4"/>
  <c r="P490" i="4"/>
  <c r="Q489" i="4"/>
  <c r="P489" i="4"/>
  <c r="Q488" i="4"/>
  <c r="P488" i="4"/>
  <c r="Q487" i="4"/>
  <c r="P487" i="4"/>
  <c r="Q486" i="4"/>
  <c r="P486" i="4"/>
  <c r="Q485" i="4"/>
  <c r="P485" i="4"/>
  <c r="Q484" i="4"/>
  <c r="P484" i="4"/>
  <c r="Q483" i="4"/>
  <c r="P483" i="4"/>
  <c r="Q482" i="4"/>
  <c r="P482" i="4"/>
  <c r="Q481" i="4"/>
  <c r="P481" i="4"/>
  <c r="Q480" i="4"/>
  <c r="P480" i="4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Q472" i="4"/>
  <c r="P472" i="4"/>
  <c r="Q471" i="4"/>
  <c r="P471" i="4"/>
  <c r="Q470" i="4"/>
  <c r="P470" i="4"/>
  <c r="Q469" i="4"/>
  <c r="P469" i="4"/>
  <c r="Q468" i="4"/>
  <c r="P468" i="4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Q460" i="4"/>
  <c r="P460" i="4"/>
  <c r="Q459" i="4"/>
  <c r="P459" i="4"/>
  <c r="Q458" i="4"/>
  <c r="P458" i="4"/>
  <c r="Q457" i="4"/>
  <c r="P457" i="4"/>
  <c r="Q456" i="4"/>
  <c r="P456" i="4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Q448" i="4"/>
  <c r="P448" i="4"/>
  <c r="Q447" i="4"/>
  <c r="P447" i="4"/>
  <c r="Q446" i="4"/>
  <c r="P446" i="4"/>
  <c r="Q445" i="4"/>
  <c r="P445" i="4"/>
  <c r="Q444" i="4"/>
  <c r="P444" i="4"/>
  <c r="Q443" i="4"/>
  <c r="P443" i="4"/>
  <c r="Q442" i="4"/>
  <c r="P442" i="4"/>
  <c r="Q441" i="4"/>
  <c r="P441" i="4"/>
  <c r="Q440" i="4"/>
  <c r="P440" i="4"/>
  <c r="Q439" i="4"/>
  <c r="P439" i="4"/>
  <c r="Q438" i="4"/>
  <c r="P438" i="4"/>
  <c r="Q437" i="4"/>
  <c r="P437" i="4"/>
  <c r="Q436" i="4"/>
  <c r="P436" i="4"/>
  <c r="Q435" i="4"/>
  <c r="P435" i="4"/>
  <c r="Q434" i="4"/>
  <c r="P434" i="4"/>
  <c r="Q433" i="4"/>
  <c r="P433" i="4"/>
  <c r="Q432" i="4"/>
  <c r="P432" i="4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Q424" i="4"/>
  <c r="P424" i="4"/>
  <c r="Q423" i="4"/>
  <c r="P423" i="4"/>
  <c r="Q422" i="4"/>
  <c r="P422" i="4"/>
  <c r="Q421" i="4"/>
  <c r="P421" i="4"/>
  <c r="Q420" i="4"/>
  <c r="P420" i="4"/>
  <c r="Q419" i="4"/>
  <c r="P419" i="4"/>
  <c r="Q418" i="4"/>
  <c r="P418" i="4"/>
  <c r="Q417" i="4"/>
  <c r="P417" i="4"/>
  <c r="Q416" i="4"/>
  <c r="P416" i="4"/>
  <c r="Q415" i="4"/>
  <c r="P415" i="4"/>
  <c r="Q414" i="4"/>
  <c r="P414" i="4"/>
  <c r="Q413" i="4"/>
  <c r="P413" i="4"/>
  <c r="Q412" i="4"/>
  <c r="P412" i="4"/>
  <c r="Q411" i="4"/>
  <c r="P411" i="4"/>
  <c r="Q410" i="4"/>
  <c r="P410" i="4"/>
  <c r="Q409" i="4"/>
  <c r="P409" i="4"/>
  <c r="Q408" i="4"/>
  <c r="P408" i="4"/>
  <c r="Q407" i="4"/>
  <c r="P407" i="4"/>
  <c r="Q406" i="4"/>
  <c r="P406" i="4"/>
  <c r="Q405" i="4"/>
  <c r="P405" i="4"/>
  <c r="Q404" i="4"/>
  <c r="P404" i="4"/>
  <c r="Q403" i="4"/>
  <c r="P403" i="4"/>
  <c r="Q402" i="4"/>
  <c r="P402" i="4"/>
  <c r="Q401" i="4"/>
  <c r="P401" i="4"/>
  <c r="Q400" i="4"/>
  <c r="P400" i="4"/>
  <c r="Q399" i="4"/>
  <c r="P399" i="4"/>
  <c r="Q398" i="4"/>
  <c r="P398" i="4"/>
  <c r="Q397" i="4"/>
  <c r="P397" i="4"/>
  <c r="Q396" i="4"/>
  <c r="P396" i="4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Q388" i="4"/>
  <c r="P388" i="4"/>
  <c r="Q387" i="4"/>
  <c r="P387" i="4"/>
  <c r="Q386" i="4"/>
  <c r="P386" i="4"/>
  <c r="Q385" i="4"/>
  <c r="P385" i="4"/>
  <c r="Q384" i="4"/>
  <c r="P384" i="4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Q376" i="4"/>
  <c r="P376" i="4"/>
  <c r="Q375" i="4"/>
  <c r="P375" i="4"/>
  <c r="Q374" i="4"/>
  <c r="P374" i="4"/>
  <c r="Q373" i="4"/>
  <c r="P373" i="4"/>
  <c r="Q372" i="4"/>
  <c r="P372" i="4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Q364" i="4"/>
  <c r="P364" i="4"/>
  <c r="Q363" i="4"/>
  <c r="P363" i="4"/>
  <c r="Q362" i="4"/>
  <c r="P362" i="4"/>
  <c r="Q361" i="4"/>
  <c r="P361" i="4"/>
  <c r="Q360" i="4"/>
  <c r="P360" i="4"/>
  <c r="Q359" i="4"/>
  <c r="P359" i="4"/>
  <c r="Q358" i="4"/>
  <c r="P358" i="4"/>
  <c r="Q357" i="4"/>
  <c r="P357" i="4"/>
  <c r="Q356" i="4"/>
  <c r="P356" i="4"/>
  <c r="Q355" i="4"/>
  <c r="P355" i="4"/>
  <c r="Q354" i="4"/>
  <c r="P354" i="4"/>
  <c r="Q353" i="4"/>
  <c r="P353" i="4"/>
  <c r="Q352" i="4"/>
  <c r="P352" i="4"/>
  <c r="Q351" i="4"/>
  <c r="P351" i="4"/>
  <c r="Q350" i="4"/>
  <c r="P350" i="4"/>
  <c r="Q349" i="4"/>
  <c r="P349" i="4"/>
  <c r="Q348" i="4"/>
  <c r="P348" i="4"/>
  <c r="Q347" i="4"/>
  <c r="P347" i="4"/>
  <c r="Q346" i="4"/>
  <c r="P346" i="4"/>
  <c r="Q345" i="4"/>
  <c r="P345" i="4"/>
  <c r="Q344" i="4"/>
  <c r="P344" i="4"/>
  <c r="Q343" i="4"/>
  <c r="P343" i="4"/>
  <c r="Q342" i="4"/>
  <c r="P342" i="4"/>
  <c r="Q341" i="4"/>
  <c r="P341" i="4"/>
  <c r="Q340" i="4"/>
  <c r="P340" i="4"/>
  <c r="Q339" i="4"/>
  <c r="P339" i="4"/>
  <c r="Q338" i="4"/>
  <c r="P338" i="4"/>
  <c r="Q337" i="4"/>
  <c r="P337" i="4"/>
  <c r="Q336" i="4"/>
  <c r="P336" i="4"/>
  <c r="Q335" i="4"/>
  <c r="P335" i="4"/>
  <c r="Q334" i="4"/>
  <c r="P334" i="4"/>
  <c r="Q333" i="4"/>
  <c r="P333" i="4"/>
  <c r="Q332" i="4"/>
  <c r="P332" i="4"/>
  <c r="Q331" i="4"/>
  <c r="P331" i="4"/>
  <c r="Q330" i="4"/>
  <c r="P330" i="4"/>
  <c r="Q329" i="4"/>
  <c r="P329" i="4"/>
  <c r="Q328" i="4"/>
  <c r="P328" i="4"/>
  <c r="Q327" i="4"/>
  <c r="P327" i="4"/>
  <c r="Q326" i="4"/>
  <c r="P326" i="4"/>
  <c r="Q325" i="4"/>
  <c r="P325" i="4"/>
  <c r="Q324" i="4"/>
  <c r="P324" i="4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Q244" i="4"/>
  <c r="P244" i="4"/>
  <c r="Q243" i="4"/>
  <c r="P243" i="4"/>
  <c r="Q242" i="4"/>
  <c r="P242" i="4"/>
  <c r="Q241" i="4"/>
  <c r="P241" i="4"/>
  <c r="Q240" i="4"/>
  <c r="P240" i="4"/>
  <c r="Q239" i="4"/>
  <c r="P239" i="4"/>
  <c r="Q238" i="4"/>
  <c r="P238" i="4"/>
  <c r="Q237" i="4"/>
  <c r="P237" i="4"/>
  <c r="Q236" i="4"/>
  <c r="P236" i="4"/>
  <c r="Q235" i="4"/>
  <c r="P235" i="4"/>
  <c r="Q234" i="4"/>
  <c r="P234" i="4"/>
  <c r="Q233" i="4"/>
  <c r="P233" i="4"/>
  <c r="Q232" i="4"/>
  <c r="P232" i="4"/>
  <c r="Q231" i="4"/>
  <c r="P231" i="4"/>
  <c r="Q230" i="4"/>
  <c r="P230" i="4"/>
  <c r="Q229" i="4"/>
  <c r="P229" i="4"/>
  <c r="Q228" i="4"/>
  <c r="P228" i="4"/>
  <c r="Q227" i="4"/>
  <c r="P227" i="4"/>
  <c r="Q226" i="4"/>
  <c r="P226" i="4"/>
  <c r="Q225" i="4"/>
  <c r="P225" i="4"/>
  <c r="Q224" i="4"/>
  <c r="P224" i="4"/>
  <c r="Q223" i="4"/>
  <c r="P223" i="4"/>
  <c r="Q222" i="4"/>
  <c r="P222" i="4"/>
  <c r="Q221" i="4"/>
  <c r="P221" i="4"/>
  <c r="Q220" i="4"/>
  <c r="P220" i="4"/>
  <c r="Q219" i="4"/>
  <c r="P219" i="4"/>
  <c r="Q218" i="4"/>
  <c r="P218" i="4"/>
  <c r="Q217" i="4"/>
  <c r="P217" i="4"/>
  <c r="Q216" i="4"/>
  <c r="P216" i="4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Q175" i="4"/>
  <c r="P175" i="4"/>
  <c r="Q174" i="4"/>
  <c r="P174" i="4"/>
  <c r="Q173" i="4"/>
  <c r="P173" i="4"/>
  <c r="Q172" i="4"/>
  <c r="P172" i="4"/>
  <c r="Q171" i="4"/>
  <c r="P171" i="4"/>
  <c r="Q170" i="4"/>
  <c r="P170" i="4"/>
  <c r="Q169" i="4"/>
  <c r="P169" i="4"/>
  <c r="Q168" i="4"/>
  <c r="P168" i="4"/>
  <c r="Q167" i="4"/>
  <c r="P167" i="4"/>
  <c r="Q166" i="4"/>
  <c r="P166" i="4"/>
  <c r="Q165" i="4"/>
  <c r="P16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Q157" i="4"/>
  <c r="P157" i="4"/>
  <c r="Q156" i="4"/>
  <c r="P156" i="4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Q133" i="4"/>
  <c r="P133" i="4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Q121" i="4"/>
  <c r="P121" i="4"/>
  <c r="Q120" i="4"/>
  <c r="P120" i="4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Q109" i="4"/>
  <c r="P109" i="4"/>
  <c r="Q108" i="4"/>
  <c r="P108" i="4"/>
  <c r="Q107" i="4"/>
  <c r="P107" i="4"/>
  <c r="Q106" i="4"/>
  <c r="P106" i="4"/>
  <c r="Q105" i="4"/>
  <c r="P105" i="4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3" i="4"/>
  <c r="P3" i="4"/>
  <c r="Q2" i="4"/>
  <c r="P2" i="4"/>
  <c r="Q4" i="4"/>
  <c r="P4" i="4"/>
  <c r="N4" i="4"/>
  <c r="N4" i="2"/>
  <c r="M4" i="2"/>
  <c r="I780" i="2" l="1"/>
  <c r="I778" i="4"/>
  <c r="H777" i="2"/>
  <c r="I781" i="2"/>
  <c r="I777" i="1"/>
  <c r="H781" i="6"/>
  <c r="I778" i="1"/>
  <c r="I781" i="4"/>
  <c r="Q775" i="1"/>
  <c r="I779" i="1"/>
  <c r="I782" i="6"/>
  <c r="P775" i="1"/>
  <c r="I780" i="1"/>
  <c r="H783" i="6"/>
  <c r="I785" i="2"/>
  <c r="I781" i="1"/>
  <c r="I784" i="6"/>
  <c r="I782" i="1"/>
  <c r="I785" i="4"/>
  <c r="I783" i="1"/>
  <c r="I777" i="6"/>
  <c r="H785" i="6"/>
  <c r="I784" i="1"/>
  <c r="H777" i="6"/>
  <c r="I785" i="1"/>
  <c r="I778" i="6"/>
  <c r="I786" i="6"/>
  <c r="I786" i="1"/>
  <c r="I779" i="6"/>
  <c r="H780" i="6"/>
  <c r="H784" i="6"/>
  <c r="I783" i="6"/>
  <c r="H779" i="6"/>
  <c r="H778" i="6"/>
  <c r="H782" i="6"/>
  <c r="H786" i="6"/>
  <c r="D780" i="6"/>
  <c r="C783" i="6"/>
  <c r="D778" i="6"/>
  <c r="H779" i="1"/>
  <c r="H783" i="1"/>
  <c r="H780" i="1"/>
  <c r="H784" i="1"/>
  <c r="H777" i="1"/>
  <c r="H781" i="1"/>
  <c r="H785" i="1"/>
  <c r="H778" i="1"/>
  <c r="H782" i="1"/>
  <c r="H786" i="1"/>
  <c r="D778" i="1"/>
  <c r="D783" i="1"/>
  <c r="D776" i="1"/>
  <c r="C778" i="1"/>
  <c r="D784" i="1"/>
  <c r="D782" i="1"/>
  <c r="C783" i="2"/>
  <c r="D777" i="4"/>
  <c r="D778" i="4"/>
  <c r="C781" i="4"/>
  <c r="D784" i="6"/>
  <c r="D779" i="1"/>
  <c r="C780" i="1"/>
  <c r="D781" i="1"/>
  <c r="C782" i="1"/>
  <c r="D785" i="1"/>
  <c r="D777" i="1"/>
  <c r="D780" i="4"/>
  <c r="C779" i="4"/>
  <c r="D786" i="4"/>
  <c r="C780" i="4"/>
  <c r="C783" i="4"/>
  <c r="D784" i="4"/>
  <c r="D782" i="4"/>
  <c r="D783" i="4"/>
  <c r="D785" i="4"/>
  <c r="D779" i="4"/>
  <c r="C778" i="2"/>
  <c r="C782" i="2"/>
  <c r="C779" i="2"/>
  <c r="C784" i="2"/>
  <c r="C780" i="2"/>
  <c r="C785" i="2"/>
  <c r="C777" i="2"/>
  <c r="C781" i="2"/>
  <c r="C786" i="2"/>
  <c r="D781" i="4"/>
  <c r="C778" i="4"/>
  <c r="C782" i="4"/>
  <c r="C784" i="4"/>
  <c r="C785" i="4"/>
  <c r="C777" i="4"/>
  <c r="C786" i="4"/>
  <c r="C776" i="1"/>
  <c r="C785" i="1"/>
  <c r="D780" i="1"/>
  <c r="C777" i="1"/>
  <c r="C781" i="1"/>
  <c r="C783" i="1"/>
  <c r="C779" i="1"/>
  <c r="C784" i="1"/>
  <c r="D782" i="6"/>
  <c r="D785" i="6"/>
  <c r="D779" i="6"/>
  <c r="D783" i="6"/>
  <c r="C777" i="6"/>
  <c r="D781" i="6"/>
  <c r="C780" i="6"/>
  <c r="C779" i="6"/>
  <c r="C781" i="6"/>
  <c r="C782" i="6"/>
  <c r="C776" i="6"/>
  <c r="C784" i="6"/>
  <c r="D777" i="6"/>
  <c r="C778" i="6"/>
  <c r="C785" i="6"/>
  <c r="P775" i="4"/>
  <c r="Q775" i="4"/>
  <c r="P775" i="6"/>
  <c r="Q77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<sst xmlns="http://schemas.openxmlformats.org/spreadsheetml/2006/main" count="17256" uniqueCount="875">
  <si>
    <t>id_subsistema</t>
  </si>
  <si>
    <t>nom_usina</t>
  </si>
  <si>
    <t>nom_tipousina</t>
  </si>
  <si>
    <t>nom_tipocombustivel</t>
  </si>
  <si>
    <t>P max</t>
  </si>
  <si>
    <t>P min</t>
  </si>
  <si>
    <t>Ramp Up</t>
  </si>
  <si>
    <t>Ramp Down</t>
  </si>
  <si>
    <t>Ind Flex Up</t>
  </si>
  <si>
    <t>Ind Flex Down</t>
  </si>
  <si>
    <t>N</t>
  </si>
  <si>
    <t>Alto Jatapu</t>
  </si>
  <si>
    <t>Aparecida</t>
  </si>
  <si>
    <t>BBF Baliza</t>
  </si>
  <si>
    <t>Biomassa</t>
  </si>
  <si>
    <t>Balbina</t>
  </si>
  <si>
    <t>Belo Monte</t>
  </si>
  <si>
    <t>Bonfim</t>
  </si>
  <si>
    <t>Coaracy Nunes</t>
  </si>
  <si>
    <t>Conj. Paulino Neves</t>
  </si>
  <si>
    <t>Cristiano Rocha</t>
  </si>
  <si>
    <t>Distrito</t>
  </si>
  <si>
    <t>Estreito</t>
  </si>
  <si>
    <t>Ferreira Gomes</t>
  </si>
  <si>
    <t>Floresta</t>
  </si>
  <si>
    <t>Geramar I</t>
  </si>
  <si>
    <t>Geramar II</t>
  </si>
  <si>
    <t>Jaguatirica II</t>
  </si>
  <si>
    <t>Jaraqui</t>
  </si>
  <si>
    <t>Manauara</t>
  </si>
  <si>
    <t>Monte Cristo</t>
  </si>
  <si>
    <t>Monte Cristo II</t>
  </si>
  <si>
    <t>Monte Cristo Sucuba</t>
  </si>
  <si>
    <t>PQU ACRAC FOTOV MMGD</t>
  </si>
  <si>
    <t>FOTOVOLTAICA</t>
  </si>
  <si>
    <t>Fotovoltaica</t>
  </si>
  <si>
    <t>PQU MAMA FOTOV MMGD</t>
  </si>
  <si>
    <t>PQU MAMA TERM - CARGA GLOBAL</t>
  </si>
  <si>
    <t>PQU MATO FOTOV MMGD</t>
  </si>
  <si>
    <t>PQU MMAM FOTOV MMGD</t>
  </si>
  <si>
    <t>PQU MMAP FOTOV MMGD</t>
  </si>
  <si>
    <t>PQU MMPA FOTOV MMGD</t>
  </si>
  <si>
    <t>PQU PA TERM - CARGA GLOBAL</t>
  </si>
  <si>
    <t>PQU PAPA FOTOV MMGD</t>
  </si>
  <si>
    <t>PQU PATR FOTOV MMGD</t>
  </si>
  <si>
    <t>PQU RRRR FOTOV MMGD</t>
  </si>
  <si>
    <t>PQU TO NORTE FOTOV - CARGA GLOBAL</t>
  </si>
  <si>
    <t>PQU TO NORTE HIDRA - CARGA GLOBAL</t>
  </si>
  <si>
    <t>PQU TO NORTE TER - CARGA GLOBAL</t>
  </si>
  <si>
    <t>Palmaplan</t>
  </si>
  <si>
    <t>Pau Rainha</t>
  </si>
  <si>
    <t>Pimental</t>
  </si>
  <si>
    <t>Ponta Negra</t>
  </si>
  <si>
    <t>Porto do Itaqui</t>
  </si>
  <si>
    <t>Santa Luz</t>
  </si>
  <si>
    <t>Santana</t>
  </si>
  <si>
    <t>Tambaqui</t>
  </si>
  <si>
    <t>NE</t>
  </si>
  <si>
    <t>Alegria I</t>
  </si>
  <si>
    <t>Alegria II</t>
  </si>
  <si>
    <t>Altos</t>
  </si>
  <si>
    <t>Apoena</t>
  </si>
  <si>
    <t>CSP</t>
  </si>
  <si>
    <t>Campina Grande</t>
  </si>
  <si>
    <t>Campo Maior</t>
  </si>
  <si>
    <t>Caucaia</t>
  </si>
  <si>
    <t>Conj. Abaiara 230 kV</t>
  </si>
  <si>
    <t>Conj. Abil I</t>
  </si>
  <si>
    <t>Conj. Abil II</t>
  </si>
  <si>
    <t>Conj. Afonso Bezerra</t>
  </si>
  <si>
    <t>Conj. Alex</t>
  </si>
  <si>
    <t>Conj. Amazonas</t>
  </si>
  <si>
    <t>Conj. Anemus</t>
  </si>
  <si>
    <t>Conj. Aracati II</t>
  </si>
  <si>
    <t>Conj. Araripe III</t>
  </si>
  <si>
    <t>Conj. Areia Branca</t>
  </si>
  <si>
    <t>Conj. Arizona</t>
  </si>
  <si>
    <t>Conj. Asa Branca</t>
  </si>
  <si>
    <t>Conj. Assu Sol</t>
  </si>
  <si>
    <t>Conj. Aventura</t>
  </si>
  <si>
    <t>Conj. BJL</t>
  </si>
  <si>
    <t>Conj. Banabuiu</t>
  </si>
  <si>
    <t>Conj. Barreiras</t>
  </si>
  <si>
    <t>Conj. Barreiras II 500 kV</t>
  </si>
  <si>
    <t>Conj. Belmonte</t>
  </si>
  <si>
    <t>Conj. Bloco Sul</t>
  </si>
  <si>
    <t>Conj. Bom Jesus</t>
  </si>
  <si>
    <t>Conj. Bom Nome</t>
  </si>
  <si>
    <t>Conj. Brisa Potiguar I</t>
  </si>
  <si>
    <t>Conj. Cacimbas</t>
  </si>
  <si>
    <t>Conj. Caju</t>
  </si>
  <si>
    <t>Conj. Calango 1</t>
  </si>
  <si>
    <t>Conj. Calango 2</t>
  </si>
  <si>
    <t>Conj. Calango 3</t>
  </si>
  <si>
    <t>Conj. Campo Formoso</t>
  </si>
  <si>
    <t>Conj. Campo Largo</t>
  </si>
  <si>
    <t>Conj. Campo Largo 2</t>
  </si>
  <si>
    <t>Conj. Campo dos Ventos</t>
  </si>
  <si>
    <t>Conj. Canudos I</t>
  </si>
  <si>
    <t>Conj. Casa Nova</t>
  </si>
  <si>
    <t>Conj. Chafariz Norte</t>
  </si>
  <si>
    <t>Conj. Chafariz Sul I</t>
  </si>
  <si>
    <t>Conj. Chafariz Sul II</t>
  </si>
  <si>
    <t>Conj. Chapada I</t>
  </si>
  <si>
    <t>Conj. Chapada II</t>
  </si>
  <si>
    <t>Conj. Chapada III</t>
  </si>
  <si>
    <t>Conj. Chapadinha</t>
  </si>
  <si>
    <t>Conj. Ciranda</t>
  </si>
  <si>
    <t>Conj. Cristal</t>
  </si>
  <si>
    <t>Conj. Cumaru</t>
  </si>
  <si>
    <t>Conj. Curral Novo do Piaui II 500 kV</t>
  </si>
  <si>
    <t>Conj. Curva dos Ventos</t>
  </si>
  <si>
    <t>Conj. Cutia</t>
  </si>
  <si>
    <t>Conj. Delfina</t>
  </si>
  <si>
    <t>Conj. Eolico Serra do Assurua</t>
  </si>
  <si>
    <t>Conj. FV SJP</t>
  </si>
  <si>
    <t>Conj. Filgueira</t>
  </si>
  <si>
    <t>Conj. Floresta</t>
  </si>
  <si>
    <t>Conj. Folha Larga</t>
  </si>
  <si>
    <t>Conj. Folha Larga Sul</t>
  </si>
  <si>
    <t>Conj. Folha de Serra</t>
  </si>
  <si>
    <t>Conj. Fotov. Acu III 230KV</t>
  </si>
  <si>
    <t>Conj. Fotov. Assu Sol 500KV</t>
  </si>
  <si>
    <t>Conj. Fotov. Simplice</t>
  </si>
  <si>
    <t>Conj. Fotovoltaico Abaiara 230 kV</t>
  </si>
  <si>
    <t>Conj. Fotovoltaico Barreiras II 500 kV</t>
  </si>
  <si>
    <t>Conj. Futura</t>
  </si>
  <si>
    <t>Conj. GPEXPAN</t>
  </si>
  <si>
    <t>Conj. Gameleira</t>
  </si>
  <si>
    <t>Conj. Gentio do Ouro I</t>
  </si>
  <si>
    <t>Conj. Horizonte</t>
  </si>
  <si>
    <t>Conj. Itarema V</t>
  </si>
  <si>
    <t>Conj. Ituverava</t>
  </si>
  <si>
    <t>Conj. Jandaia</t>
  </si>
  <si>
    <t>Conj. Juazeiro Solar</t>
  </si>
  <si>
    <t>Conj. Juazeiro Solar 2</t>
  </si>
  <si>
    <t>Conj. Kairos</t>
  </si>
  <si>
    <t>Conj. Lagoa do Barro I</t>
  </si>
  <si>
    <t>Conj. Lagoa dos Ventos</t>
  </si>
  <si>
    <t>Conj. Lagoa dos Ventos 1</t>
  </si>
  <si>
    <t>Conj. Lagoa dos Ventos 2</t>
  </si>
  <si>
    <t>Conj. Lapa</t>
  </si>
  <si>
    <t>Conj. Laranjeiras</t>
  </si>
  <si>
    <t>Conj. Lavras</t>
  </si>
  <si>
    <t>Conj. Lins</t>
  </si>
  <si>
    <t>Conj. Luzia</t>
  </si>
  <si>
    <t>Conj. Macacos</t>
  </si>
  <si>
    <t>Conj. Mangue Seco</t>
  </si>
  <si>
    <t>Conj. Marangatu</t>
  </si>
  <si>
    <t>Conj. Mauriti</t>
  </si>
  <si>
    <t>Conj. Modelo</t>
  </si>
  <si>
    <t>Conj. Monte Verde</t>
  </si>
  <si>
    <t>Conj. Monte Verde Solar</t>
  </si>
  <si>
    <t>Conj. Monte do Ronca</t>
  </si>
  <si>
    <t>Conj. Morro dos Ventos</t>
  </si>
  <si>
    <t>Conj. Morro dos Ventos II</t>
  </si>
  <si>
    <t>Conj. Mundo Novo</t>
  </si>
  <si>
    <t>Conj. Nova Olinda</t>
  </si>
  <si>
    <t>Conj. Novo Horizonte</t>
  </si>
  <si>
    <t>Conj. Oeste Serido</t>
  </si>
  <si>
    <t>Conj. Oitis</t>
  </si>
  <si>
    <t>Conj. Papagaios</t>
  </si>
  <si>
    <t>Conj. Paranatama</t>
  </si>
  <si>
    <t>Conj. Pedra Branca</t>
  </si>
  <si>
    <t>Conj. Pedra Cheirosa</t>
  </si>
  <si>
    <t>Conj. Pelourinho</t>
  </si>
  <si>
    <t>Conj. Pindai</t>
  </si>
  <si>
    <t>Conj. Pitombeira</t>
  </si>
  <si>
    <t>Conj. Planaltina</t>
  </si>
  <si>
    <t>Conj. Quina</t>
  </si>
  <si>
    <t>Conj. Rio Alto</t>
  </si>
  <si>
    <t>Conj. Rio do Vento</t>
  </si>
  <si>
    <t>Conj. Santa Clara</t>
  </si>
  <si>
    <t>Conj. Santa Luzia II 500 kV</t>
  </si>
  <si>
    <t>Conj. Santa Rosa Mundo Novo</t>
  </si>
  <si>
    <t>Conj. Santo Agostinho</t>
  </si>
  <si>
    <t>Conj. Serra Azul</t>
  </si>
  <si>
    <t>Conj. Serra de Santana 1 e 2</t>
  </si>
  <si>
    <t>Conj. Serra de Santana 3</t>
  </si>
  <si>
    <t>Conj. Serra do Mato</t>
  </si>
  <si>
    <t>Conj. Serra do Mel A</t>
  </si>
  <si>
    <t>Conj. Serra do Mel B</t>
  </si>
  <si>
    <t>Conj. Serra do Mel C</t>
  </si>
  <si>
    <t>Conj. Serra do Mel II A</t>
  </si>
  <si>
    <t>Conj. Serra do Mel II B</t>
  </si>
  <si>
    <t>Conj. Serrote</t>
  </si>
  <si>
    <t>Conj. Serrote A</t>
  </si>
  <si>
    <t>Conj. Simplice</t>
  </si>
  <si>
    <t>Conj. Sol do Futuro</t>
  </si>
  <si>
    <t>Conj. Tacaratu</t>
  </si>
  <si>
    <t>Conj. Tacaratu (Solar)</t>
  </si>
  <si>
    <t>Conj. Tacaratu II</t>
  </si>
  <si>
    <t>Conj. Tamboril I</t>
  </si>
  <si>
    <t>Conj. Tamboril II</t>
  </si>
  <si>
    <t>Conj. Tanque Novo</t>
  </si>
  <si>
    <t>Conj. Terra Santa</t>
  </si>
  <si>
    <t>Conj. Tucano</t>
  </si>
  <si>
    <t>Conj. Umari</t>
  </si>
  <si>
    <t>Conj. Umburanas</t>
  </si>
  <si>
    <t>Conj. Ventos da Bahia</t>
  </si>
  <si>
    <t>Conj. Ventos da Bahia 2</t>
  </si>
  <si>
    <t>Conj. Ventos da Bahia III</t>
  </si>
  <si>
    <t>Conjunto fotovoltaico Santa Luzia II 500kV</t>
  </si>
  <si>
    <t>Crato</t>
  </si>
  <si>
    <t>Curumim</t>
  </si>
  <si>
    <t>ERB Candeias</t>
  </si>
  <si>
    <t>Flor de Mandacaru</t>
  </si>
  <si>
    <t>Fortaleza</t>
  </si>
  <si>
    <t>Garrote</t>
  </si>
  <si>
    <t>Global I</t>
  </si>
  <si>
    <t>Global II</t>
  </si>
  <si>
    <t>Gravier</t>
  </si>
  <si>
    <t>Guarani</t>
  </si>
  <si>
    <t>Icaraizinho</t>
  </si>
  <si>
    <t>Iguatu</t>
  </si>
  <si>
    <t>Itapebi</t>
  </si>
  <si>
    <t>Juazeiro do Norte</t>
  </si>
  <si>
    <t>Luiz Gonzaga</t>
  </si>
  <si>
    <t>Malhadinha 1</t>
  </si>
  <si>
    <t>Marambaia</t>
  </si>
  <si>
    <t>Miassaba 3</t>
  </si>
  <si>
    <t>Mundo Novo VI</t>
  </si>
  <si>
    <t>PQU ALPAL FOTOV MMGD</t>
  </si>
  <si>
    <t>PQU ALPEAL HID - CARGA GLOBAL</t>
  </si>
  <si>
    <t>PQU ALPEAL TERM - CARGA GLOBAL</t>
  </si>
  <si>
    <t>PQU ALPEPB TERM - CARGA GLOBAL</t>
  </si>
  <si>
    <t>PQU ALPEPE EOL - CARGA GLOBAL</t>
  </si>
  <si>
    <t>PQU ALPEPE FOTOV - CARGA GLOBAL</t>
  </si>
  <si>
    <t>PQU ALPEPE HID - CARGA GLOBAL</t>
  </si>
  <si>
    <t>PQU ALPEPE TERM - CARGA GLOBAL</t>
  </si>
  <si>
    <t>PQU ALPPE FOTOV MMGD</t>
  </si>
  <si>
    <t>PQU BAOEBA EOL - CARGA GLOBAL</t>
  </si>
  <si>
    <t>PQU BAOEBA FOTOV - CARGA GLOBAL</t>
  </si>
  <si>
    <t>PQU BAOEBA HID - CARGA GLOBAL</t>
  </si>
  <si>
    <t>PQU BAOEBA TERM - CARGA GLOBAL</t>
  </si>
  <si>
    <t>PQU BAOETO HID - CARGA GLOBAL</t>
  </si>
  <si>
    <t>PQU BASEBA HID - CARGA GLOBAL</t>
  </si>
  <si>
    <t>PQU BASEBA TERM - CARGA GLOBAL</t>
  </si>
  <si>
    <t>PQU BASESE EOL - CARGA GLOBAL</t>
  </si>
  <si>
    <t>PQU BASESE TERM - CARGA GLOBAL</t>
  </si>
  <si>
    <t>PQU BOEBA FOTOV MMGD</t>
  </si>
  <si>
    <t>PQU BSCAL FOTOV MMGD</t>
  </si>
  <si>
    <t>PQU BSSBA FOTOV MMGD</t>
  </si>
  <si>
    <t>PQU BSSES FOTOV MMGD</t>
  </si>
  <si>
    <t>PQU CECE EOL - CARGA GLOBAL</t>
  </si>
  <si>
    <t>PQU CECE FOTOV - CARGA GLOBAL</t>
  </si>
  <si>
    <t>PQU CECE FOTOV MMGD</t>
  </si>
  <si>
    <t>PQU CEPB EOL - CARGA GLOBAL</t>
  </si>
  <si>
    <t>PQU CEPB FOTOV - CARGA GLOBAL</t>
  </si>
  <si>
    <t>PQU CEPB FOTOV MMGD</t>
  </si>
  <si>
    <t>PQU CEPB HID - CARGA GLOBAL</t>
  </si>
  <si>
    <t>PQU CEPE FOTOV MMGD</t>
  </si>
  <si>
    <t>PQU CERN EOL - CARGA GLOBAL</t>
  </si>
  <si>
    <t>PQU CERN FOTOV MMGD</t>
  </si>
  <si>
    <t>PQU PBRNPB EOL - CARGA GLOBAL</t>
  </si>
  <si>
    <t>PQU PBRNRN EOL - CARGA GLOBAL</t>
  </si>
  <si>
    <t>PQU PBRNRN FOTOV - CARGA GLOBAL</t>
  </si>
  <si>
    <t>PQU PBRNRN TERM - CARGA GLOBAL</t>
  </si>
  <si>
    <t>PQU PBRPB FOTOV MMGD</t>
  </si>
  <si>
    <t>PQU PBRRN FOTOV MMGD</t>
  </si>
  <si>
    <t>PQU PIPI EOL - CARGA GLOBAL</t>
  </si>
  <si>
    <t>PQU PIPI FOTOV - CARGA GLOBAL</t>
  </si>
  <si>
    <t>PQU PIPI FOTOV MMGD</t>
  </si>
  <si>
    <t>PQU PIPI TERM - CARGA GLOBAL</t>
  </si>
  <si>
    <t>Pau Ferro I</t>
  </si>
  <si>
    <t>Paulo Afonso I</t>
  </si>
  <si>
    <t>Paulo Afonso II</t>
  </si>
  <si>
    <t>Paulo Afonso III</t>
  </si>
  <si>
    <t>Paulo Afonso IV</t>
  </si>
  <si>
    <t>Pedra do Cavalo</t>
  </si>
  <si>
    <t>Pernambuco III</t>
  </si>
  <si>
    <t>Petrolina</t>
  </si>
  <si>
    <t>Pitombeira</t>
  </si>
  <si>
    <t>Porto de Sergipe I</t>
  </si>
  <si>
    <t>Potiguar</t>
  </si>
  <si>
    <t>Potiguar III</t>
  </si>
  <si>
    <t>Praia Formosa</t>
  </si>
  <si>
    <t>Prosperidade I</t>
  </si>
  <si>
    <t>Prosperidade II</t>
  </si>
  <si>
    <t>Prosperidade III</t>
  </si>
  <si>
    <t>Prosperidade IV</t>
  </si>
  <si>
    <t>Rei dos Ventos 1</t>
  </si>
  <si>
    <t>Rei dos Ventos 3</t>
  </si>
  <si>
    <t>Sobradinho</t>
  </si>
  <si>
    <t>Suape II</t>
  </si>
  <si>
    <t>Termobahia</t>
  </si>
  <si>
    <t>Termocabo</t>
  </si>
  <si>
    <t>Termomanaus</t>
  </si>
  <si>
    <t>Termonordeste</t>
  </si>
  <si>
    <t>Termopernambuco</t>
  </si>
  <si>
    <t>U-50</t>
  </si>
  <si>
    <t>Veracel</t>
  </si>
  <si>
    <t>S</t>
  </si>
  <si>
    <t>14 de Julho</t>
  </si>
  <si>
    <t>Arturo Andreoli</t>
  </si>
  <si>
    <t>Barra Bonita I</t>
  </si>
  <si>
    <t>Barra Grande</t>
  </si>
  <si>
    <t>Berneck</t>
  </si>
  <si>
    <t>CGVE INNOVA</t>
  </si>
  <si>
    <t>CMPC</t>
  </si>
  <si>
    <t>Campos Novos</t>
  </si>
  <si>
    <t>Canastra</t>
  </si>
  <si>
    <t>Candiota III</t>
  </si>
  <si>
    <t>Canoas</t>
  </si>
  <si>
    <t>Castro Alves</t>
  </si>
  <si>
    <t>Conj. Boca do Monte</t>
  </si>
  <si>
    <t>Conj. Bom Jardim</t>
  </si>
  <si>
    <t>Conj. Cerro Chato</t>
  </si>
  <si>
    <t>Conj. Klabin Celulose</t>
  </si>
  <si>
    <t>Conj. Lagoa dos Barros</t>
  </si>
  <si>
    <t>Conj. Lajeado Grande</t>
  </si>
  <si>
    <t>Conj. Livramento 3</t>
  </si>
  <si>
    <t>Conj. Marmeleiro 2</t>
  </si>
  <si>
    <t>Conj. Quinta 138 kV</t>
  </si>
  <si>
    <t>Conj. Quinta 69 kV</t>
  </si>
  <si>
    <t>Dona Francisca</t>
  </si>
  <si>
    <t>Energia Madeiras</t>
  </si>
  <si>
    <t>Engenheiro Ernesto Jorge Dreher</t>
  </si>
  <si>
    <t>Engenheiro Henrique Kotzian</t>
  </si>
  <si>
    <t>Figueira</t>
  </si>
  <si>
    <t>Garibaldi</t>
  </si>
  <si>
    <t>Gov. Bento Munhoz</t>
  </si>
  <si>
    <t>Gov. Jayme Canet</t>
  </si>
  <si>
    <t>Gov. Ney Braga</t>
  </si>
  <si>
    <t>Gov. Parigot de Souza</t>
  </si>
  <si>
    <t>Jorge Lacerda A</t>
  </si>
  <si>
    <t>Jorge Lacerda B</t>
  </si>
  <si>
    <t>Jorge Lacerda C</t>
  </si>
  <si>
    <t>Jorge Lacerda I e II</t>
  </si>
  <si>
    <t>Jorge Lacerda III</t>
  </si>
  <si>
    <t>Jorge Lacerda IV</t>
  </si>
  <si>
    <t>Klabin Celulose</t>
  </si>
  <si>
    <t>Machadinho</t>
  </si>
  <si>
    <t>Monjolinho</t>
  </si>
  <si>
    <t>Monte Claro</t>
  </si>
  <si>
    <t>PQU PRPR EOL - CARGA GLOBAL</t>
  </si>
  <si>
    <t>PQU PRPR FOTOV MMGD</t>
  </si>
  <si>
    <t>PQU PRPR HID - CARGA GLOBAL</t>
  </si>
  <si>
    <t>PQU PRPR TERM - CARGA GLOBAL</t>
  </si>
  <si>
    <t>PQU PRSC EOL - CARGA GLOBAL</t>
  </si>
  <si>
    <t>PQU PRSC HID - CARGA GLOBAL</t>
  </si>
  <si>
    <t>PQU RSRS EOL - CARGA GLOBAL</t>
  </si>
  <si>
    <t>PQU RSRS FOTOV MMGD</t>
  </si>
  <si>
    <t>PQU RSRS HID - CARGA GLOBAL</t>
  </si>
  <si>
    <t>PQU RSRS TERM - CARGA GLOBAL</t>
  </si>
  <si>
    <t>PQU SCRS HID - CARGA GLOBAL</t>
  </si>
  <si>
    <t>PQU SCSC EOL - CARGA GLOBAL</t>
  </si>
  <si>
    <t>PQU SCSC FOTOV - CARGA GLOBAL</t>
  </si>
  <si>
    <t>PQU SCSC FOTOV MMGD</t>
  </si>
  <si>
    <t>PQU SCSC HID - CARGA GLOBAL</t>
  </si>
  <si>
    <t>PQU SCSC TERM - CARGA GLOBAL</t>
  </si>
  <si>
    <t>Pampa Sul</t>
  </si>
  <si>
    <t>Passo Fundo</t>
  </si>
  <si>
    <t>Passo Real</t>
  </si>
  <si>
    <t>Puma II</t>
  </si>
  <si>
    <t>Quebra Queixo</t>
  </si>
  <si>
    <t>Salto Santiago</t>
  </si>
  <si>
    <t>Santa Clara (PR)</t>
  </si>
  <si>
    <t>Uruguaiana</t>
  </si>
  <si>
    <t>SE</t>
  </si>
  <si>
    <t>Alcon</t>
  </si>
  <si>
    <t>Amador Aguiar I</t>
  </si>
  <si>
    <t>Amador Aguiar II</t>
  </si>
  <si>
    <t>Amandina</t>
  </si>
  <si>
    <t>Amandina II</t>
  </si>
  <si>
    <t>Angra I</t>
  </si>
  <si>
    <t>NUCLEAR</t>
  </si>
  <si>
    <t>Nuclear</t>
  </si>
  <si>
    <t>Angra II</t>
  </si>
  <si>
    <t>Anta</t>
  </si>
  <si>
    <t>Baguari</t>
  </si>
  <si>
    <t>Baixada Fluminense</t>
  </si>
  <si>
    <t>Bariri</t>
  </si>
  <si>
    <t>Barra Bioenergia</t>
  </si>
  <si>
    <t>Barra Bonita</t>
  </si>
  <si>
    <t>Barra dos Coqueiros</t>
  </si>
  <si>
    <t>Batalha</t>
  </si>
  <si>
    <t>Belo Jardim</t>
  </si>
  <si>
    <t>Boa Vista</t>
  </si>
  <si>
    <t>Bracell</t>
  </si>
  <si>
    <t>Cachoeira Dourada</t>
  </si>
  <si>
    <t>Caconde</t>
  </si>
  <si>
    <t>Camargos</t>
  </si>
  <si>
    <t>Campos</t>
  </si>
  <si>
    <t>Cana Brava</t>
  </si>
  <si>
    <t>Canoas I</t>
  </si>
  <si>
    <t>Canoas II</t>
  </si>
  <si>
    <t>Capivara</t>
  </si>
  <si>
    <t>Caramuru Itumbiara</t>
  </si>
  <si>
    <t>Chavantes</t>
  </si>
  <si>
    <t>Cocal II</t>
  </si>
  <si>
    <t>Codora</t>
  </si>
  <si>
    <t>Conj. Alta Mogiana</t>
  </si>
  <si>
    <t>Conj. Arinos 2 500 kV</t>
  </si>
  <si>
    <t>Conj. Biopav</t>
  </si>
  <si>
    <t>Conj. Boa Hora</t>
  </si>
  <si>
    <t>Conj. Boa Sorte</t>
  </si>
  <si>
    <t>Conj. Bracell</t>
  </si>
  <si>
    <t>Conj. Cachoeira Dourada</t>
  </si>
  <si>
    <t>Conj. Castilho</t>
  </si>
  <si>
    <t>Conj. Complexo do Prata</t>
  </si>
  <si>
    <t>Conj. Da Mata</t>
  </si>
  <si>
    <t>Conj. Dourados</t>
  </si>
  <si>
    <t>Conj. Dracena</t>
  </si>
  <si>
    <t>Conj. Fazenda</t>
  </si>
  <si>
    <t>Conj. Guarani Tanabi</t>
  </si>
  <si>
    <t>Conj. Helio Valgas</t>
  </si>
  <si>
    <t>Conj. Interlagos</t>
  </si>
  <si>
    <t>Conj. Ivinhema 2</t>
  </si>
  <si>
    <t>Conj. Jaiba V</t>
  </si>
  <si>
    <t>Conj. Lar do Sol</t>
  </si>
  <si>
    <t>Conj. Paracatu</t>
  </si>
  <si>
    <t>Conj. Parecis</t>
  </si>
  <si>
    <t>Conj. Pereira Barreto</t>
  </si>
  <si>
    <t>Conj. Pirapora 2</t>
  </si>
  <si>
    <t>Conj. Rio Brilhante</t>
  </si>
  <si>
    <t>Conj. Rio Vermelho</t>
  </si>
  <si>
    <t>Conj. Sol do Cerrado</t>
  </si>
  <si>
    <t>Conj. Varzea da Palma</t>
  </si>
  <si>
    <t>Conj. Viralcool Castilho</t>
  </si>
  <si>
    <t>Conj. Votuporanga 2</t>
  </si>
  <si>
    <t>Conjunto Jaiba 4 Dist</t>
  </si>
  <si>
    <t>Conquista do Pontal</t>
  </si>
  <si>
    <t>Da Pedra</t>
  </si>
  <si>
    <t>Daia</t>
  </si>
  <si>
    <t>Dardanelos</t>
  </si>
  <si>
    <t>Decasa</t>
  </si>
  <si>
    <t>Eldorado</t>
  </si>
  <si>
    <t>Eldorado Brasil</t>
  </si>
  <si>
    <t>Eng. J.L.M. Godoy Pereira</t>
  </si>
  <si>
    <t>Espora</t>
  </si>
  <si>
    <t>Euclides da Cunha</t>
  </si>
  <si>
    <t>FS Sorriso</t>
  </si>
  <si>
    <t>Fartura</t>
  </si>
  <si>
    <t>Fontes Nova</t>
  </si>
  <si>
    <t>Funil (MG)</t>
  </si>
  <si>
    <t>Funil (RJ)</t>
  </si>
  <si>
    <t>Furnas</t>
  </si>
  <si>
    <t>GNA I</t>
  </si>
  <si>
    <t>GNA II</t>
  </si>
  <si>
    <t>Gasa</t>
  </si>
  <si>
    <t>Guilman Amorim</t>
  </si>
  <si>
    <t>Henry Borden Externa</t>
  </si>
  <si>
    <t>Ibitinga</t>
  </si>
  <si>
    <t>Igarapava</t>
  </si>
  <si>
    <t>Ilha Solteira</t>
  </si>
  <si>
    <t>Ilha dos Pombos</t>
  </si>
  <si>
    <t>Ipaussu Bioenergia</t>
  </si>
  <si>
    <t>Itaipu 50 Hz</t>
  </si>
  <si>
    <t>Itaipu 60 Hz</t>
  </si>
  <si>
    <t>Itiquira I</t>
  </si>
  <si>
    <t>Itiquira II</t>
  </si>
  <si>
    <t>Ituiutaba</t>
  </si>
  <si>
    <t>Itumbiara</t>
  </si>
  <si>
    <t>Itutinga</t>
  </si>
  <si>
    <t>Jaguara</t>
  </si>
  <si>
    <t>Jaguari</t>
  </si>
  <si>
    <t>Jauru</t>
  </si>
  <si>
    <t>Jirau</t>
  </si>
  <si>
    <t>Juiz de Fora</t>
  </si>
  <si>
    <t>Jurumirim</t>
  </si>
  <si>
    <t>Karkey 013</t>
  </si>
  <si>
    <t>Karkey 019</t>
  </si>
  <si>
    <t>LDC Bioen Rio Brilhante</t>
  </si>
  <si>
    <t>Lajari</t>
  </si>
  <si>
    <t>Lajeado</t>
  </si>
  <si>
    <t>Limoeiro</t>
  </si>
  <si>
    <t>Luiz Carlos Barreto</t>
  </si>
  <si>
    <t>Luiz Oscar Rodrigues de Melo</t>
  </si>
  <si>
    <t>Manso</t>
  </si>
  <si>
    <t>Marimbondo</t>
  </si>
  <si>
    <t>Marlim Azul</t>
  </si>
  <si>
    <t>Mascarenhas</t>
  </si>
  <si>
    <t>Mascarenhas de Moraes</t>
  </si>
  <si>
    <t>Meridiano I</t>
  </si>
  <si>
    <t>Miranda</t>
  </si>
  <si>
    <t>Norte Fluminense</t>
  </si>
  <si>
    <t>Nova Avanhandava</t>
  </si>
  <si>
    <t>Nova Piratininga</t>
  </si>
  <si>
    <t>Nova Ponte</t>
  </si>
  <si>
    <t>Ourinhos</t>
  </si>
  <si>
    <t>PIE-RP</t>
  </si>
  <si>
    <t>PQU DFDF FOTOV MMGD</t>
  </si>
  <si>
    <t>PQU DFDF HID - CARGA GLOBAL</t>
  </si>
  <si>
    <t>PQU DFGO FOTOV MMGD</t>
  </si>
  <si>
    <t>PQU DFGO HID - CARGA GLOBAL</t>
  </si>
  <si>
    <t>PQU ESES FOTOV MMGD</t>
  </si>
  <si>
    <t>PQU ESES HID - CARGA GLOBAL</t>
  </si>
  <si>
    <t>PQU ESES TERM - CARGA GLOBAL</t>
  </si>
  <si>
    <t>PQU GOGO FOTOV MMGD</t>
  </si>
  <si>
    <t>PQU GOGO HID - CARGA GLOBAL</t>
  </si>
  <si>
    <t>PQU GOGO TERM - CARGA GLOBAL</t>
  </si>
  <si>
    <t>PQU MGGO HID - CARGA GLOBAL</t>
  </si>
  <si>
    <t>PQU MGMG FOTOV - CARGA GLOBAL</t>
  </si>
  <si>
    <t>PQU MGMG FOTOV MMGD</t>
  </si>
  <si>
    <t>PQU MGMG HID - CARGA GLOBAL</t>
  </si>
  <si>
    <t>PQU MGMG TERM - CARGA GLOBAL</t>
  </si>
  <si>
    <t>PQU MSGO HID - CARGA GLOBAL</t>
  </si>
  <si>
    <t>PQU MSMS FOTOV MMGD</t>
  </si>
  <si>
    <t>PQU MSMS HID - CARGA GLOBAL</t>
  </si>
  <si>
    <t>PQU MSMS TERM - CARGA GLOBAL</t>
  </si>
  <si>
    <t>PQU MTGO HID - CARGA GLOBAL</t>
  </si>
  <si>
    <t>PQU MTGO TERM - CARGA GLOBAL</t>
  </si>
  <si>
    <t>PQU MTMS HID - CARGA GLOBAL</t>
  </si>
  <si>
    <t>PQU MTMS TERM - CARGA GLOBAL</t>
  </si>
  <si>
    <t>PQU MTMT FOTOV - CARGA GLOBAL</t>
  </si>
  <si>
    <t>PQU MTMT FOTOV MMGD</t>
  </si>
  <si>
    <t>PQU MTMT HID - CARGA GLOBAL</t>
  </si>
  <si>
    <t>PQU MTMT TERM - CARGA GLOBAL</t>
  </si>
  <si>
    <t>PQU MTPA HID - CARGA GLOBAL</t>
  </si>
  <si>
    <t>PQU PRMS FOTOV MMGD</t>
  </si>
  <si>
    <t>PQU RJES HID - CARGA GLOBAL</t>
  </si>
  <si>
    <t>PQU RJMG HID - CARGA GLOBAL</t>
  </si>
  <si>
    <t>PQU RJRJ EOL - CARGA GLOBAL</t>
  </si>
  <si>
    <t>PQU RJRJ FOTOV MMGD</t>
  </si>
  <si>
    <t>PQU RJRJ HID - CARGA GLOBAL</t>
  </si>
  <si>
    <t>PQU RJRJ TERM - CARGA GLOBAL</t>
  </si>
  <si>
    <t>PQU ROMT HID - CARGA GLOBAL</t>
  </si>
  <si>
    <t>PQU RORO FOTOV MMGD</t>
  </si>
  <si>
    <t>PQU RORO HID - CARGA GLOBAL</t>
  </si>
  <si>
    <t>PQU SPMG FOTOV MMGD</t>
  </si>
  <si>
    <t>PQU SPMG HID - CARGA GLOBAL</t>
  </si>
  <si>
    <t>PQU SPMS FOTOV MMGD</t>
  </si>
  <si>
    <t>PQU SPSP FOTOV - CARGA GLOBAL</t>
  </si>
  <si>
    <t>PQU SPSP FOTOV MMGD</t>
  </si>
  <si>
    <t>PQU SPSP HID - CARGA GLOBAL</t>
  </si>
  <si>
    <t>PQU SPSP TERM - CARGA GLOBAL</t>
  </si>
  <si>
    <t>Paraibuna</t>
  </si>
  <si>
    <t>Paranapanema</t>
  </si>
  <si>
    <t>Paranatinga II</t>
  </si>
  <si>
    <t>Peixe Angical</t>
  </si>
  <si>
    <t>Pereira Passos</t>
  </si>
  <si>
    <t>Picada</t>
  </si>
  <si>
    <t>Pioneiros</t>
  </si>
  <si>
    <t>Piratininga</t>
  </si>
  <si>
    <t>Ponte de Pedra</t>
  </si>
  <si>
    <t>Porsud I</t>
  </si>
  <si>
    <t>Porsud II</t>
  </si>
  <si>
    <t>Porto Estrela</t>
  </si>
  <si>
    <t>Porto Primavera</t>
  </si>
  <si>
    <t>Potirendaba I</t>
  </si>
  <si>
    <t>Predilecta</t>
  </si>
  <si>
    <t>Queimado</t>
  </si>
  <si>
    <t>Queixada</t>
  </si>
  <si>
    <t>Retiro Baixo</t>
  </si>
  <si>
    <t>Risoleta Neves</t>
  </si>
  <si>
    <t>Rondon II</t>
  </si>
  <si>
    <t>Rosal</t>
  </si>
  <si>
    <t>Rosana</t>
  </si>
  <si>
    <t>Sacre 2</t>
  </si>
  <si>
    <t>Salto</t>
  </si>
  <si>
    <t>Salto Grande (MG)</t>
  </si>
  <si>
    <t>Salto Grande (SP)</t>
  </si>
  <si>
    <t>Salto do Rio Verdinho</t>
  </si>
  <si>
    <t>Samuel</t>
  </si>
  <si>
    <t>Santa Branca</t>
  </si>
  <si>
    <t>Santa Clara (MG)</t>
  </si>
  <si>
    <t>Santa Cruz</t>
  </si>
  <si>
    <t>Santa Luzia I</t>
  </si>
  <si>
    <t>Serra da Mesa</t>
  </si>
  <si>
    <t>Sinop</t>
  </si>
  <si>
    <t>Sobragi</t>
  </si>
  <si>
    <t>Teles Pires</t>
  </si>
  <si>
    <t>Termo Norte II</t>
  </si>
  <si>
    <t>Termonorte 1</t>
  </si>
  <si>
    <t>Termonorte I</t>
  </si>
  <si>
    <t>Termorio</t>
  </si>
  <si>
    <t>Usi Conjunto Parecis</t>
  </si>
  <si>
    <t>Verde 8</t>
  </si>
  <si>
    <t>Viana</t>
  </si>
  <si>
    <t>Viana 1</t>
  </si>
  <si>
    <t>Viralcool Castilho</t>
  </si>
  <si>
    <t>Volta Grande</t>
  </si>
  <si>
    <t>William Arjona</t>
  </si>
  <si>
    <t>HIDROELÉTRICA</t>
  </si>
  <si>
    <t>Hidráulica</t>
  </si>
  <si>
    <t>TÉRMICA</t>
  </si>
  <si>
    <t>Gás</t>
  </si>
  <si>
    <t>Cachoeira Caldeirão</t>
  </si>
  <si>
    <t>Cantá</t>
  </si>
  <si>
    <t>EOLIELÉTRICA</t>
  </si>
  <si>
    <t>Eólica</t>
  </si>
  <si>
    <t>Curuá-Una</t>
  </si>
  <si>
    <t>Óleo Combustível</t>
  </si>
  <si>
    <t>MC2 Nova Venécia 2</t>
  </si>
  <si>
    <t>Maranhão III</t>
  </si>
  <si>
    <t>Maranhão IV</t>
  </si>
  <si>
    <t>Maranhão V</t>
  </si>
  <si>
    <t>Mauá 3</t>
  </si>
  <si>
    <t>Óleo Diesel</t>
  </si>
  <si>
    <t>Novo Paraíso</t>
  </si>
  <si>
    <t>Outras Multi-Combustível</t>
  </si>
  <si>
    <t>Multi-Combustível Diesel/Óleo</t>
  </si>
  <si>
    <t>Parnaíba IV</t>
  </si>
  <si>
    <t>Parnaíba V</t>
  </si>
  <si>
    <t>Carvão</t>
  </si>
  <si>
    <t>Santo Antônio do Jari</t>
  </si>
  <si>
    <t>Suzano Maranhão</t>
  </si>
  <si>
    <t>Resíduos Industriais</t>
  </si>
  <si>
    <t>Tucuruí</t>
  </si>
  <si>
    <t>Apolônio Sales</t>
  </si>
  <si>
    <t>Assú V</t>
  </si>
  <si>
    <t>Baixa do Sítio</t>
  </si>
  <si>
    <t>Baturité</t>
  </si>
  <si>
    <t>Boa Esperança</t>
  </si>
  <si>
    <t>Camaçari Muricy II</t>
  </si>
  <si>
    <t>Cataventos Acaraú I</t>
  </si>
  <si>
    <t>Conj. Acaraú II</t>
  </si>
  <si>
    <t>Conj. Acauã</t>
  </si>
  <si>
    <t>Conj. Araçás</t>
  </si>
  <si>
    <t>Conj. Açú III 230 kV</t>
  </si>
  <si>
    <t>Conj. BW Guirapá I</t>
  </si>
  <si>
    <t>Conj. BW Guirapá II</t>
  </si>
  <si>
    <t>Conj. Babilônia</t>
  </si>
  <si>
    <t>Conj. Babilônia Centro</t>
  </si>
  <si>
    <t>Conj. Babilônia Sul</t>
  </si>
  <si>
    <t>Conj. Baixa do Feijão</t>
  </si>
  <si>
    <t>Conj. Banabuiú</t>
  </si>
  <si>
    <t>Conj. Brotas de Macaúbas</t>
  </si>
  <si>
    <t>Conj. Brígida</t>
  </si>
  <si>
    <t>Conj. Cabeço Preto II</t>
  </si>
  <si>
    <t>Conj. Caetité</t>
  </si>
  <si>
    <t>Conj. Caetité 123</t>
  </si>
  <si>
    <t>Conj. Caetité A</t>
  </si>
  <si>
    <t>Conj. Caetité Norte</t>
  </si>
  <si>
    <t>Conj. Caetés II</t>
  </si>
  <si>
    <t>Conj. Calcário</t>
  </si>
  <si>
    <t>Conj. Carcará II</t>
  </si>
  <si>
    <t>Conj. Carnaúbas</t>
  </si>
  <si>
    <t>Conj. Cristalândia</t>
  </si>
  <si>
    <t>Conj. Eólico Campo Largo</t>
  </si>
  <si>
    <t>Conj. Eólico Igaporã III 500kV</t>
  </si>
  <si>
    <t>Conj. Eólico Mossoró II 230kV</t>
  </si>
  <si>
    <t>Conj. Eólico Pindaí II 230kV</t>
  </si>
  <si>
    <t>Conj. Eólico Umari</t>
  </si>
  <si>
    <t>Conj. Faísa</t>
  </si>
  <si>
    <t>Conj. Fotovoltaico Gilbués II 500 kV</t>
  </si>
  <si>
    <t>Conj. Gilbués II 500 kV</t>
  </si>
  <si>
    <t>Conj. Guirapá</t>
  </si>
  <si>
    <t>Conj. Icaraí</t>
  </si>
  <si>
    <t>Conj. Igaporã II</t>
  </si>
  <si>
    <t>Conj. Igaporã III 500 kV</t>
  </si>
  <si>
    <t>Conj. Jandaíra I</t>
  </si>
  <si>
    <t>Conj. Jandaíra III</t>
  </si>
  <si>
    <t>Conj. Jerusalém</t>
  </si>
  <si>
    <t>Conj. Licínio de Almeida</t>
  </si>
  <si>
    <t>Conj. Morro do Chapéu Sul</t>
  </si>
  <si>
    <t>Conj. Morro do Chapéu Sul II</t>
  </si>
  <si>
    <t>Conj. Morrão</t>
  </si>
  <si>
    <t>Conj. Mossoró II</t>
  </si>
  <si>
    <t>Conj. N. S. da Conceição</t>
  </si>
  <si>
    <t>Conj. Oeste Seridó</t>
  </si>
  <si>
    <t>Conj. Olho d'Água</t>
  </si>
  <si>
    <t>Conj. Ourolândia II</t>
  </si>
  <si>
    <t>Conj. Pindaí II 230 kV</t>
  </si>
  <si>
    <t>Conj. Renascença</t>
  </si>
  <si>
    <t>Conj. Renascença V</t>
  </si>
  <si>
    <t>Conj. Riachão</t>
  </si>
  <si>
    <t>Conj. Ribeiro Gonçalves</t>
  </si>
  <si>
    <t>Conj. Rio do Vento Expansão</t>
  </si>
  <si>
    <t>Conj. Santa Eugênia</t>
  </si>
  <si>
    <t>Conj. Santa Rosália</t>
  </si>
  <si>
    <t>Conj. Santo Inácio</t>
  </si>
  <si>
    <t>Conj. Serra da Babilônia</t>
  </si>
  <si>
    <t>Conj. Serra do Assuruá</t>
  </si>
  <si>
    <t>Conj. Serra do Seridó</t>
  </si>
  <si>
    <t>Conj. Sertão Solar Barreiras</t>
  </si>
  <si>
    <t>Conj. Sol do Sertão</t>
  </si>
  <si>
    <t>Conj. São Basílio (Eólico)</t>
  </si>
  <si>
    <t>Conj. São Basílio (Solar)</t>
  </si>
  <si>
    <t>Conj. São Clemente</t>
  </si>
  <si>
    <t>Conj. São Gonçalo</t>
  </si>
  <si>
    <t>Conj. São Gonçalo A</t>
  </si>
  <si>
    <t>Conj. São Miguel</t>
  </si>
  <si>
    <t>Conj. São Pedro</t>
  </si>
  <si>
    <t>Conj. São Roque</t>
  </si>
  <si>
    <t>Conj. Tacaratu (Eólico)</t>
  </si>
  <si>
    <t>Conj. Taíba</t>
  </si>
  <si>
    <t>Conj. Trairí</t>
  </si>
  <si>
    <t>Conj. União dos Ventos</t>
  </si>
  <si>
    <t>Conj. Ventos de São Vitor</t>
  </si>
  <si>
    <t>Conj. Ventos do Piauí II</t>
  </si>
  <si>
    <t>Conj. Ventos do Piauí III</t>
  </si>
  <si>
    <t>Conjunto Eólico Babilonia Centro</t>
  </si>
  <si>
    <t>Conjunto Eólico Curral Novo do Piaui II 230kV</t>
  </si>
  <si>
    <t>Conjunto Eólico Curral Novo do Piaui II 500kV</t>
  </si>
  <si>
    <t>Conjunto Eólico Kairos</t>
  </si>
  <si>
    <t>Conjunto Eólico Ourolândia II</t>
  </si>
  <si>
    <t>Maracanaú I</t>
  </si>
  <si>
    <t>Nazária</t>
  </si>
  <si>
    <t>PECÉM II</t>
  </si>
  <si>
    <t>Pecém</t>
  </si>
  <si>
    <t>Porto do Pecém I</t>
  </si>
  <si>
    <t>Porto do Pecém II</t>
  </si>
  <si>
    <t>Santo Inácio III</t>
  </si>
  <si>
    <t>Santo Inácio IV</t>
  </si>
  <si>
    <t>Sol do Piauí</t>
  </si>
  <si>
    <t>Sykué I</t>
  </si>
  <si>
    <t>São Fernando 4</t>
  </si>
  <si>
    <t>São Raimundo</t>
  </si>
  <si>
    <t>Termocamaçari</t>
  </si>
  <si>
    <t>Termoceará</t>
  </si>
  <si>
    <t>Termoparaíba</t>
  </si>
  <si>
    <t>Vale do Açú</t>
  </si>
  <si>
    <t>Xingó</t>
  </si>
  <si>
    <t>Araucária</t>
  </si>
  <si>
    <t>Baixo Iguaçu</t>
  </si>
  <si>
    <t>Conj. Atlântica</t>
  </si>
  <si>
    <t>Conj. Eólico Livramento 3</t>
  </si>
  <si>
    <t>Conj. Santa Vitória do Palmar</t>
  </si>
  <si>
    <t>Conj. Viamão 3</t>
  </si>
  <si>
    <t>Conj. Água Doce</t>
  </si>
  <si>
    <t>Elebrás Cidreira 1</t>
  </si>
  <si>
    <t>Foz do Chapecó</t>
  </si>
  <si>
    <t>Fundão</t>
  </si>
  <si>
    <t>Gov. José Richa</t>
  </si>
  <si>
    <t>Itaúba</t>
  </si>
  <si>
    <t>Itá</t>
  </si>
  <si>
    <t>Jacuí</t>
  </si>
  <si>
    <t>Passo São João</t>
  </si>
  <si>
    <t>Pequenas Centrais Hidroelétricas da Ceee</t>
  </si>
  <si>
    <t>Salto Osório</t>
  </si>
  <si>
    <t>Salto Pilão</t>
  </si>
  <si>
    <t>São José</t>
  </si>
  <si>
    <t>São Roque</t>
  </si>
  <si>
    <t>São Sepé</t>
  </si>
  <si>
    <t>Xangri-lá</t>
  </si>
  <si>
    <t>Aimorés</t>
  </si>
  <si>
    <t>Angélica</t>
  </si>
  <si>
    <t>Barra do Braúna</t>
  </si>
  <si>
    <t>Bocaiúva</t>
  </si>
  <si>
    <t>Caarapó</t>
  </si>
  <si>
    <t>Caçu</t>
  </si>
  <si>
    <t>Caçú I</t>
  </si>
  <si>
    <t>Colíder</t>
  </si>
  <si>
    <t>Conj. Araxá</t>
  </si>
  <si>
    <t>Conj. Bio Ipê</t>
  </si>
  <si>
    <t>Conj. Chapadão</t>
  </si>
  <si>
    <t>Conj. Edéia</t>
  </si>
  <si>
    <t>Conj. Francisco Sá</t>
  </si>
  <si>
    <t>Conj. Fíbria</t>
  </si>
  <si>
    <t>Conj. Guaimbê</t>
  </si>
  <si>
    <t>Conj. Janaúba</t>
  </si>
  <si>
    <t>Conj. Jataí</t>
  </si>
  <si>
    <t>Conj. Jaíba 138 kV</t>
  </si>
  <si>
    <t>Conj. Jaíba V</t>
  </si>
  <si>
    <t>Conj. Pedranópolis</t>
  </si>
  <si>
    <t>Conj. Quirinópolis</t>
  </si>
  <si>
    <t>Conj. Santa Cabeça</t>
  </si>
  <si>
    <t>Conj. Três Marias 3 138 kV</t>
  </si>
  <si>
    <t>Conj. Três Marias 3 138kV</t>
  </si>
  <si>
    <t>Conj. Vista Alegre - Janaúba</t>
  </si>
  <si>
    <t>Corumbá</t>
  </si>
  <si>
    <t>Corumbá III</t>
  </si>
  <si>
    <t>Corumbá IV</t>
  </si>
  <si>
    <t>Cubatão</t>
  </si>
  <si>
    <t>Cuiabá</t>
  </si>
  <si>
    <t>Do Atlântico</t>
  </si>
  <si>
    <t>Goiânia II</t>
  </si>
  <si>
    <t>Guaporé</t>
  </si>
  <si>
    <t>Henry Borden Subterrânea</t>
  </si>
  <si>
    <t>Ibirité</t>
  </si>
  <si>
    <t>Irapé</t>
  </si>
  <si>
    <t>Jupiá</t>
  </si>
  <si>
    <t>Mosquitão</t>
  </si>
  <si>
    <t>Nilo Peçanha</t>
  </si>
  <si>
    <t>Onça Pintada</t>
  </si>
  <si>
    <t>Palmeiras de Goiás</t>
  </si>
  <si>
    <t>Paulínia Verde</t>
  </si>
  <si>
    <t>Pirajú</t>
  </si>
  <si>
    <t>Porto Colômbia</t>
  </si>
  <si>
    <t>Povoação 1</t>
  </si>
  <si>
    <t>Promissão</t>
  </si>
  <si>
    <t>Quatá</t>
  </si>
  <si>
    <t>Quirinópolis</t>
  </si>
  <si>
    <t>Salto Apiacás</t>
  </si>
  <si>
    <t>Santa Vitória</t>
  </si>
  <si>
    <t>Santo Antônio</t>
  </si>
  <si>
    <t>Seropédica</t>
  </si>
  <si>
    <t>Serra do Facão</t>
  </si>
  <si>
    <t>Simplício</t>
  </si>
  <si>
    <t>Suíça</t>
  </si>
  <si>
    <t>Sá Carvalho</t>
  </si>
  <si>
    <t>São Domingos</t>
  </si>
  <si>
    <t>São Fernando Açúcar e Álcool</t>
  </si>
  <si>
    <t>São João da Boa Vista</t>
  </si>
  <si>
    <t>São Lourenço</t>
  </si>
  <si>
    <t>São Manoel</t>
  </si>
  <si>
    <t>São Salvador</t>
  </si>
  <si>
    <t>São Simão</t>
  </si>
  <si>
    <t>Taquaruçu</t>
  </si>
  <si>
    <t>Termomacaé</t>
  </si>
  <si>
    <t>Theodomiro Carneiro Santiago (Emborcação)</t>
  </si>
  <si>
    <t>Três Irmãos</t>
  </si>
  <si>
    <t>Três Lagoas</t>
  </si>
  <si>
    <t>Três Marias</t>
  </si>
  <si>
    <t>Vale do Paraná</t>
  </si>
  <si>
    <t>Vale do São Simão</t>
  </si>
  <si>
    <t>Vale do Verdão</t>
  </si>
  <si>
    <t>Xavantes Aruanã</t>
  </si>
  <si>
    <t>Ypê</t>
  </si>
  <si>
    <t>Água Vermelha</t>
  </si>
  <si>
    <t>IND F UP</t>
  </si>
  <si>
    <t>IND F DOWN</t>
  </si>
  <si>
    <t>Passo 1</t>
  </si>
  <si>
    <t>Passo 2</t>
  </si>
  <si>
    <t>Passo 4</t>
  </si>
  <si>
    <t>Passo 6</t>
  </si>
  <si>
    <t>Ind Flex Up P1</t>
  </si>
  <si>
    <t>Ind Flex Down P1</t>
  </si>
  <si>
    <t>Ind Flex Up P2</t>
  </si>
  <si>
    <t>Ind Flex Down P2</t>
  </si>
  <si>
    <t>Ind Flex Up P4</t>
  </si>
  <si>
    <t>Ind Flex Down P4</t>
  </si>
  <si>
    <t>Ind Flex Up P6</t>
  </si>
  <si>
    <t>Ind Flex Down P6</t>
  </si>
  <si>
    <t>Rótulos de Linha</t>
  </si>
  <si>
    <t>Média de Ind Flex Up P1</t>
  </si>
  <si>
    <t>IF Up P1</t>
  </si>
  <si>
    <t>IF Up P2</t>
  </si>
  <si>
    <t>IF Up P4</t>
  </si>
  <si>
    <t>IF Up P6</t>
  </si>
  <si>
    <t>(Tudo)</t>
  </si>
  <si>
    <t>Diferença</t>
  </si>
  <si>
    <t>ID Ponderado</t>
  </si>
  <si>
    <t>Tipo</t>
  </si>
  <si>
    <t>Cap (MW)</t>
  </si>
  <si>
    <t>ID UP Ponderado</t>
  </si>
  <si>
    <t>ID DN Ponderado</t>
  </si>
  <si>
    <t>Tecnologia</t>
  </si>
  <si>
    <t>IF Up H P1</t>
  </si>
  <si>
    <t>IF Dn H P1</t>
  </si>
  <si>
    <t>Média Ponderada</t>
  </si>
  <si>
    <t>Média Horária</t>
  </si>
  <si>
    <t>ID UP Ponderado Horário</t>
  </si>
  <si>
    <t>ID DN Ponderado Horário</t>
  </si>
  <si>
    <t>ID horário</t>
  </si>
  <si>
    <t>Ind Flex Up Horario P2</t>
  </si>
  <si>
    <t>Ind Flex Down Horario P2</t>
  </si>
  <si>
    <t>Ind Flex Up Horario P4</t>
  </si>
  <si>
    <t>Ind Flex Down Horario P4</t>
  </si>
  <si>
    <t>Ind Flex Up Horario P6</t>
  </si>
  <si>
    <t>Ind Flex Down Horario P6</t>
  </si>
  <si>
    <t>Ramp Up P4</t>
  </si>
  <si>
    <t>Ramp Down P4</t>
  </si>
  <si>
    <t>Ramp Up P6</t>
  </si>
  <si>
    <t>Ramp Down P6</t>
  </si>
  <si>
    <t>Ramp Up P2</t>
  </si>
  <si>
    <t>Ramp Down P2</t>
  </si>
  <si>
    <t>EOLICA</t>
  </si>
  <si>
    <t>Ramp Up P1</t>
  </si>
  <si>
    <t>Ramp Down P1</t>
  </si>
  <si>
    <t>Up</t>
  </si>
  <si>
    <t>Down</t>
  </si>
  <si>
    <t>Ind Flex P1</t>
  </si>
  <si>
    <t>Ind Flex P2</t>
  </si>
  <si>
    <t>Ind Flex P4</t>
  </si>
  <si>
    <t>Ind Flex P6</t>
  </si>
  <si>
    <t>SOLAR</t>
  </si>
  <si>
    <t>Solar</t>
  </si>
  <si>
    <t>Ind. Flexibilidade Horario</t>
  </si>
  <si>
    <t>Ind. Flexibilidade Médio</t>
  </si>
  <si>
    <t>Média</t>
  </si>
  <si>
    <t>Total</t>
  </si>
  <si>
    <t>Rampas</t>
  </si>
  <si>
    <t>Flex Up</t>
  </si>
  <si>
    <t>Flex Down</t>
  </si>
  <si>
    <t>Demanda</t>
  </si>
  <si>
    <t>DEMANDA</t>
  </si>
  <si>
    <t>SIN</t>
  </si>
  <si>
    <t>Ind. Flexibilidade Médio P4</t>
  </si>
  <si>
    <t>P4</t>
  </si>
  <si>
    <t>P2</t>
  </si>
  <si>
    <t>P1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</si>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</sst>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65" fontId="0" fillId="0" borderId="0" xfId="42" applyNumberFormat="1" applyFont="1"/>
    <xf numFmtId="43" fontId="0" fillId="0" borderId="0" xfId="0" applyNumberFormat="1"/>
    <xf numFmtId="2" fontId="0" fillId="0" borderId="0" xfId="42" applyNumberFormat="1" applyFont="1"/>
    <xf numFmtId="0" fontId="0" fillId="0" borderId="12" xfId="0" applyBorder="1"/>
    <xf numFmtId="0" fontId="0" fillId="0" borderId="15" xfId="0" applyBorder="1"/>
    <xf numFmtId="2" fontId="0" fillId="0" borderId="16" xfId="0" applyNumberFormat="1" applyBorder="1"/>
    <xf numFmtId="0" fontId="0" fillId="0" borderId="17" xfId="0" applyBorder="1"/>
    <xf numFmtId="2" fontId="0" fillId="0" borderId="18" xfId="0" applyNumberFormat="1" applyBorder="1"/>
    <xf numFmtId="2" fontId="0" fillId="0" borderId="19" xfId="0" applyNumberFormat="1" applyBorder="1"/>
    <xf numFmtId="0" fontId="0" fillId="0" borderId="11" xfId="0" applyBorder="1"/>
    <xf numFmtId="2" fontId="0" fillId="0" borderId="11" xfId="0" applyNumberFormat="1" applyBorder="1"/>
    <xf numFmtId="0" fontId="16" fillId="0" borderId="11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22" xfId="0" applyBorder="1"/>
    <xf numFmtId="2" fontId="0" fillId="0" borderId="22" xfId="0" applyNumberFormat="1" applyBorder="1"/>
    <xf numFmtId="0" fontId="0" fillId="0" borderId="23" xfId="0" applyBorder="1"/>
    <xf numFmtId="2" fontId="0" fillId="0" borderId="23" xfId="0" applyNumberFormat="1" applyBorder="1"/>
    <xf numFmtId="0" fontId="16" fillId="0" borderId="24" xfId="0" applyFont="1" applyBorder="1"/>
    <xf numFmtId="0" fontId="0" fillId="0" borderId="20" xfId="0" applyBorder="1"/>
    <xf numFmtId="0" fontId="0" fillId="0" borderId="24" xfId="0" applyBorder="1"/>
    <xf numFmtId="0" fontId="0" fillId="0" borderId="21" xfId="0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24" xfId="0" applyNumberFormat="1" applyBorder="1"/>
    <xf numFmtId="2" fontId="0" fillId="0" borderId="21" xfId="0" applyNumberFormat="1" applyBorder="1"/>
    <xf numFmtId="164" fontId="0" fillId="0" borderId="0" xfId="0" applyNumberFormat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996633"/>
      <color rgb="FFFFCC66"/>
      <color rgb="FF799FFF"/>
      <color rgb="FF4343E5"/>
      <color rgb="FFCC66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t-BR"/>
              <a:t>Índice de Flexibilidade Média Horária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 Horaria'!$A$4</c:f>
              <c:strCache>
                <c:ptCount val="1"/>
                <c:pt idx="0">
                  <c:v>Multi-Combustível Diesel/Óleo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Horaria'!$B$4:$E$4</c:f>
              <c:numCache>
                <c:formatCode>0.00</c:formatCode>
                <c:ptCount val="4"/>
                <c:pt idx="0">
                  <c:v>0.75525658036677401</c:v>
                </c:pt>
                <c:pt idx="1">
                  <c:v>0.77954824703344106</c:v>
                </c:pt>
                <c:pt idx="2">
                  <c:v>0.79554824703344096</c:v>
                </c:pt>
                <c:pt idx="3">
                  <c:v>0.79554824703344096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E3-4B2C-B886-27C0C24D8DA2}"/>
            </c:ext>
          </c:extLst>
        </c:ser>
        <c:ser>
          <c:idx val="1"/>
          <c:order val="1"/>
          <c:tx>
            <c:strRef>
              <c:f>'M Horaria'!$A$5</c:f>
              <c:strCache>
                <c:ptCount val="1"/>
                <c:pt idx="0">
                  <c:v>Óleo Diesel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Horaria'!$B$5:$E$5</c:f>
              <c:numCache>
                <c:formatCode>0.00</c:formatCode>
                <c:ptCount val="4"/>
                <c:pt idx="0">
                  <c:v>0.84313993191684611</c:v>
                </c:pt>
                <c:pt idx="1">
                  <c:v>0.94571004890660015</c:v>
                </c:pt>
                <c:pt idx="2">
                  <c:v>0.96293781051678595</c:v>
                </c:pt>
                <c:pt idx="3">
                  <c:v>0.96654106311817767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E3-4B2C-B886-27C0C24D8DA2}"/>
            </c:ext>
          </c:extLst>
        </c:ser>
        <c:ser>
          <c:idx val="2"/>
          <c:order val="2"/>
          <c:tx>
            <c:strRef>
              <c:f>'M Horaria'!$A$6</c:f>
              <c:strCache>
                <c:ptCount val="1"/>
                <c:pt idx="0">
                  <c:v>Óleo Combustível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Horaria'!$B$6:$E$6</c:f>
              <c:numCache>
                <c:formatCode>0.00</c:formatCode>
                <c:ptCount val="4"/>
                <c:pt idx="0">
                  <c:v>0.88807580234331929</c:v>
                </c:pt>
                <c:pt idx="1">
                  <c:v>0.96290028758173329</c:v>
                </c:pt>
                <c:pt idx="2">
                  <c:v>0.98577203435757021</c:v>
                </c:pt>
                <c:pt idx="3">
                  <c:v>0.98920522803824829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E3-4B2C-B886-27C0C24D8DA2}"/>
            </c:ext>
          </c:extLst>
        </c:ser>
        <c:ser>
          <c:idx val="3"/>
          <c:order val="3"/>
          <c:tx>
            <c:strRef>
              <c:f>'M Horaria'!$A$7</c:f>
              <c:strCache>
                <c:ptCount val="1"/>
                <c:pt idx="0">
                  <c:v>Gás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Horaria'!$B$7:$E$7</c:f>
              <c:numCache>
                <c:formatCode>0.00</c:formatCode>
                <c:ptCount val="4"/>
                <c:pt idx="0">
                  <c:v>0.65628639528903943</c:v>
                </c:pt>
                <c:pt idx="1">
                  <c:v>0.74606293439723614</c:v>
                </c:pt>
                <c:pt idx="2">
                  <c:v>0.81316182586223507</c:v>
                </c:pt>
                <c:pt idx="3">
                  <c:v>0.83377754341429755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E3-4B2C-B886-27C0C24D8DA2}"/>
            </c:ext>
          </c:extLst>
        </c:ser>
        <c:ser>
          <c:idx val="4"/>
          <c:order val="4"/>
          <c:tx>
            <c:strRef>
              <c:f>'M Horaria'!$A$8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Horaria'!$B$8:$E$8</c:f>
              <c:numCache>
                <c:formatCode>0.00</c:formatCode>
                <c:ptCount val="4"/>
                <c:pt idx="0">
                  <c:v>0.32825337507428082</c:v>
                </c:pt>
                <c:pt idx="1">
                  <c:v>0.41129710814102499</c:v>
                </c:pt>
                <c:pt idx="2">
                  <c:v>0.50926761919653052</c:v>
                </c:pt>
                <c:pt idx="3">
                  <c:v>0.5460596920673062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E3-4B2C-B886-27C0C24D8DA2}"/>
            </c:ext>
          </c:extLst>
        </c:ser>
        <c:ser>
          <c:idx val="5"/>
          <c:order val="5"/>
          <c:tx>
            <c:strRef>
              <c:f>'M Horaria'!$A$9</c:f>
              <c:strCache>
                <c:ptCount val="1"/>
                <c:pt idx="0">
                  <c:v>Outras Multi-Combustível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Horaria'!$B$9:$E$9</c:f>
              <c:numCache>
                <c:formatCode>0.00</c:formatCode>
                <c:ptCount val="4"/>
                <c:pt idx="0">
                  <c:v>0.76431971135507237</c:v>
                </c:pt>
                <c:pt idx="1">
                  <c:v>0.8165299390708145</c:v>
                </c:pt>
                <c:pt idx="2">
                  <c:v>0.81568664663334522</c:v>
                </c:pt>
                <c:pt idx="3">
                  <c:v>0.8148434533950808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E3-4B2C-B886-27C0C24D8DA2}"/>
            </c:ext>
          </c:extLst>
        </c:ser>
        <c:ser>
          <c:idx val="6"/>
          <c:order val="6"/>
          <c:tx>
            <c:strRef>
              <c:f>'M Horaria'!$A$10</c:f>
              <c:strCache>
                <c:ptCount val="1"/>
                <c:pt idx="0">
                  <c:v>Biomassa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Horaria'!$B$10:$E$10</c:f>
              <c:numCache>
                <c:formatCode>0.00</c:formatCode>
                <c:ptCount val="4"/>
                <c:pt idx="0">
                  <c:v>0.62063493572849215</c:v>
                </c:pt>
                <c:pt idx="1">
                  <c:v>0.6644790277364232</c:v>
                </c:pt>
                <c:pt idx="2">
                  <c:v>0.6862553493509892</c:v>
                </c:pt>
                <c:pt idx="3">
                  <c:v>0.70230901214777053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E3-4B2C-B886-27C0C24D8DA2}"/>
            </c:ext>
          </c:extLst>
        </c:ser>
        <c:ser>
          <c:idx val="7"/>
          <c:order val="7"/>
          <c:tx>
            <c:strRef>
              <c:f>'M Horaria'!$A$11</c:f>
              <c:strCache>
                <c:ptCount val="1"/>
                <c:pt idx="0">
                  <c:v>Hidráulica</c:v>
                </c:pt>
              </c:strCache>
            </c:strRef>
          </c:tx>
          <c:spPr>
            <a:ln w="28575" cap="rnd">
              <a:solidFill>
                <a:srgbClr val="799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99FFF"/>
              </a:solidFill>
              <a:ln w="9525">
                <a:solidFill>
                  <a:srgbClr val="799FFF"/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Horaria'!$B$11:$E$11</c:f>
              <c:numCache>
                <c:formatCode>0.00</c:formatCode>
                <c:ptCount val="4"/>
                <c:pt idx="0">
                  <c:v>0.52208527492176771</c:v>
                </c:pt>
                <c:pt idx="1">
                  <c:v>0.59552646345794258</c:v>
                </c:pt>
                <c:pt idx="2">
                  <c:v>0.63811975178500724</c:v>
                </c:pt>
                <c:pt idx="3">
                  <c:v>0.65479323447184812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E3-4B2C-B886-27C0C24D8DA2}"/>
            </c:ext>
          </c:extLst>
        </c:ser>
        <c:ser>
          <c:idx val="8"/>
          <c:order val="8"/>
          <c:tx>
            <c:strRef>
              <c:f>'M Horaria'!$A$12</c:f>
              <c:strCache>
                <c:ptCount val="1"/>
                <c:pt idx="0">
                  <c:v>Resíduos Industriais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Horaria'!$B$12:$E$12</c:f>
              <c:numCache>
                <c:formatCode>0.00</c:formatCode>
                <c:ptCount val="4"/>
                <c:pt idx="0">
                  <c:v>0.42755732211599456</c:v>
                </c:pt>
                <c:pt idx="1">
                  <c:v>0.49057321430314743</c:v>
                </c:pt>
                <c:pt idx="2">
                  <c:v>0.56183714772661064</c:v>
                </c:pt>
                <c:pt idx="3">
                  <c:v>0.56593194760349386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E3-4B2C-B886-27C0C24D8DA2}"/>
            </c:ext>
          </c:extLst>
        </c:ser>
        <c:ser>
          <c:idx val="9"/>
          <c:order val="9"/>
          <c:tx>
            <c:strRef>
              <c:f>'M Horaria'!$A$13</c:f>
              <c:strCache>
                <c:ptCount val="1"/>
                <c:pt idx="0">
                  <c:v>Carvão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Horaria'!$B$13:$E$13</c:f>
              <c:numCache>
                <c:formatCode>0.00</c:formatCode>
                <c:ptCount val="4"/>
                <c:pt idx="0">
                  <c:v>0.47380984625577555</c:v>
                </c:pt>
                <c:pt idx="1">
                  <c:v>0.57351411343316672</c:v>
                </c:pt>
                <c:pt idx="2">
                  <c:v>0.71399974330946003</c:v>
                </c:pt>
                <c:pt idx="3">
                  <c:v>0.76126779244325093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E3-4B2C-B886-27C0C24D8DA2}"/>
            </c:ext>
          </c:extLst>
        </c:ser>
        <c:ser>
          <c:idx val="10"/>
          <c:order val="10"/>
          <c:tx>
            <c:strRef>
              <c:f>'M Horaria'!$A$14</c:f>
              <c:strCache>
                <c:ptCount val="1"/>
                <c:pt idx="0">
                  <c:v>Eólica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Horaria'!$B$14:$E$14</c:f>
              <c:numCache>
                <c:formatCode>0.00</c:formatCode>
                <c:ptCount val="4"/>
                <c:pt idx="0">
                  <c:v>0.54679021565190999</c:v>
                </c:pt>
                <c:pt idx="1">
                  <c:v>0.61720642588386798</c:v>
                </c:pt>
                <c:pt idx="2">
                  <c:v>0.64038451868286095</c:v>
                </c:pt>
                <c:pt idx="3">
                  <c:v>0.64848233188234095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E-4513-B111-6ED5364177D2}"/>
            </c:ext>
          </c:extLst>
        </c:ser>
        <c:ser>
          <c:idx val="11"/>
          <c:order val="11"/>
          <c:tx>
            <c:strRef>
              <c:f>'M Horaria'!$A$15</c:f>
              <c:strCache>
                <c:ptCount val="1"/>
                <c:pt idx="0">
                  <c:v>Solar</c:v>
                </c:pt>
              </c:strCache>
            </c:strRef>
          </c:tx>
          <c:spPr>
            <a:ln w="28575" cap="rnd">
              <a:solidFill>
                <a:srgbClr val="FFCC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C66"/>
              </a:solidFill>
              <a:ln w="9525">
                <a:solidFill>
                  <a:srgbClr val="FFCC66"/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Horaria'!$B$15:$E$15</c:f>
              <c:numCache>
                <c:formatCode>0.00</c:formatCode>
                <c:ptCount val="4"/>
                <c:pt idx="0">
                  <c:v>0.77587261547083097</c:v>
                </c:pt>
                <c:pt idx="1">
                  <c:v>0.85682243530369695</c:v>
                </c:pt>
                <c:pt idx="2">
                  <c:v>0.93890202319021099</c:v>
                </c:pt>
                <c:pt idx="3">
                  <c:v>0.98943568989233399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DE-4513-B111-6ED5364177D2}"/>
            </c:ext>
          </c:extLst>
        </c:ser>
        <c:ser>
          <c:idx val="12"/>
          <c:order val="12"/>
          <c:tx>
            <c:strRef>
              <c:f>'M Horaria'!$A$16</c:f>
              <c:strCache>
                <c:ptCount val="1"/>
                <c:pt idx="0">
                  <c:v>Demanda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96633"/>
              </a:solidFill>
              <a:ln w="9525">
                <a:solidFill>
                  <a:srgbClr val="996633"/>
                </a:solidFill>
              </a:ln>
              <a:effectLst/>
            </c:spPr>
          </c:marker>
          <c:cat>
            <c:strRef>
              <c:f>'M Horaria'!$B$3:$E$3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Horaria'!$B$16:$E$16</c:f>
              <c:numCache>
                <c:formatCode>0.00</c:formatCode>
                <c:ptCount val="4"/>
                <c:pt idx="0">
                  <c:v>0.32978166299461398</c:v>
                </c:pt>
                <c:pt idx="1">
                  <c:v>0.35159815717039</c:v>
                </c:pt>
                <c:pt idx="2">
                  <c:v>0.390576165325628</c:v>
                </c:pt>
                <c:pt idx="3">
                  <c:v>0.410232469023804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DE-4513-B111-6ED536417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345200"/>
        <c:axId val="1309346160"/>
      </c:lineChart>
      <c:catAx>
        <c:axId val="13093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6160"/>
        <c:crosses val="autoZero"/>
        <c:auto val="1"/>
        <c:lblAlgn val="ctr"/>
        <c:lblOffset val="100"/>
        <c:noMultiLvlLbl val="0"/>
      </c:catAx>
      <c:valAx>
        <c:axId val="130934616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36684042966856"/>
          <c:y val="0.13831543784299691"/>
          <c:w val="0.30005908549625743"/>
          <c:h val="0.80568613415301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t-BR"/>
              <a:t>Índice de Flexibilidade Histórico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 Ponderada'!$A$4</c:f>
              <c:strCache>
                <c:ptCount val="1"/>
                <c:pt idx="0">
                  <c:v>Multi-Combustível Diesel/Óleo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Ponderada'!$B$4:$E$4</c:f>
              <c:numCache>
                <c:formatCode>0.00</c:formatCode>
                <c:ptCount val="4"/>
                <c:pt idx="0">
                  <c:v>0.95970833333333305</c:v>
                </c:pt>
                <c:pt idx="1">
                  <c:v>0.98399999999999999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F-4379-9990-572738D9F2AE}"/>
            </c:ext>
          </c:extLst>
        </c:ser>
        <c:ser>
          <c:idx val="1"/>
          <c:order val="1"/>
          <c:tx>
            <c:strRef>
              <c:f>'M Ponderada'!$A$5</c:f>
              <c:strCache>
                <c:ptCount val="1"/>
                <c:pt idx="0">
                  <c:v>Óleo Diesel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Ponderada'!$B$5:$E$5</c:f>
              <c:numCache>
                <c:formatCode>0.00</c:formatCode>
                <c:ptCount val="4"/>
                <c:pt idx="0">
                  <c:v>0.86418825437717617</c:v>
                </c:pt>
                <c:pt idx="1">
                  <c:v>0.96675837136692955</c:v>
                </c:pt>
                <c:pt idx="2">
                  <c:v>0.98398613297711601</c:v>
                </c:pt>
                <c:pt idx="3">
                  <c:v>0.98758938557850773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F-4379-9990-572738D9F2AE}"/>
            </c:ext>
          </c:extLst>
        </c:ser>
        <c:ser>
          <c:idx val="2"/>
          <c:order val="2"/>
          <c:tx>
            <c:strRef>
              <c:f>'M Ponderada'!$A$6</c:f>
              <c:strCache>
                <c:ptCount val="1"/>
                <c:pt idx="0">
                  <c:v>Óleo Combustível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Ponderada'!$B$6:$E$6</c:f>
              <c:numCache>
                <c:formatCode>0.00</c:formatCode>
                <c:ptCount val="4"/>
                <c:pt idx="0">
                  <c:v>0.8963840822332193</c:v>
                </c:pt>
                <c:pt idx="1">
                  <c:v>0.97120856747163298</c:v>
                </c:pt>
                <c:pt idx="2">
                  <c:v>0.99408031424747001</c:v>
                </c:pt>
                <c:pt idx="3">
                  <c:v>0.99751350792814775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F-4379-9990-572738D9F2AE}"/>
            </c:ext>
          </c:extLst>
        </c:ser>
        <c:ser>
          <c:idx val="3"/>
          <c:order val="3"/>
          <c:tx>
            <c:strRef>
              <c:f>'M Ponderada'!$A$7</c:f>
              <c:strCache>
                <c:ptCount val="1"/>
                <c:pt idx="0">
                  <c:v>Gás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Ponderada'!$B$7:$E$7</c:f>
              <c:numCache>
                <c:formatCode>0.00</c:formatCode>
                <c:ptCount val="4"/>
                <c:pt idx="0">
                  <c:v>0.76318376521934084</c:v>
                </c:pt>
                <c:pt idx="1">
                  <c:v>0.852960304327538</c:v>
                </c:pt>
                <c:pt idx="2">
                  <c:v>0.92005919579253659</c:v>
                </c:pt>
                <c:pt idx="3">
                  <c:v>0.94067491334459918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9F-4379-9990-572738D9F2AE}"/>
            </c:ext>
          </c:extLst>
        </c:ser>
        <c:ser>
          <c:idx val="4"/>
          <c:order val="4"/>
          <c:tx>
            <c:strRef>
              <c:f>'M Ponderada'!$A$8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Ponderada'!$B$8:$E$8</c:f>
              <c:numCache>
                <c:formatCode>0.00</c:formatCode>
                <c:ptCount val="4"/>
                <c:pt idx="0">
                  <c:v>0.76575322242737121</c:v>
                </c:pt>
                <c:pt idx="1">
                  <c:v>0.84879695549411527</c:v>
                </c:pt>
                <c:pt idx="2">
                  <c:v>0.94676746654962052</c:v>
                </c:pt>
                <c:pt idx="3">
                  <c:v>0.9835595394203962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9F-4379-9990-572738D9F2AE}"/>
            </c:ext>
          </c:extLst>
        </c:ser>
        <c:ser>
          <c:idx val="5"/>
          <c:order val="5"/>
          <c:tx>
            <c:strRef>
              <c:f>'M Ponderada'!$A$9</c:f>
              <c:strCache>
                <c:ptCount val="1"/>
                <c:pt idx="0">
                  <c:v>Outras Multi-Combustível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Ponderada'!$B$9:$E$9</c:f>
              <c:numCache>
                <c:formatCode>0.00</c:formatCode>
                <c:ptCount val="4"/>
                <c:pt idx="0">
                  <c:v>0.89713121852533206</c:v>
                </c:pt>
                <c:pt idx="1">
                  <c:v>0.94934144624107386</c:v>
                </c:pt>
                <c:pt idx="2">
                  <c:v>0.94849815380360458</c:v>
                </c:pt>
                <c:pt idx="3">
                  <c:v>0.94765496056533971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9F-4379-9990-572738D9F2AE}"/>
            </c:ext>
          </c:extLst>
        </c:ser>
        <c:ser>
          <c:idx val="6"/>
          <c:order val="6"/>
          <c:tx>
            <c:strRef>
              <c:f>'M Ponderada'!$A$10</c:f>
              <c:strCache>
                <c:ptCount val="1"/>
                <c:pt idx="0">
                  <c:v>Biomassa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Ponderada'!$B$10:$E$10</c:f>
              <c:numCache>
                <c:formatCode>0.00</c:formatCode>
                <c:ptCount val="4"/>
                <c:pt idx="0">
                  <c:v>0.77699053814390373</c:v>
                </c:pt>
                <c:pt idx="1">
                  <c:v>0.82083463015183511</c:v>
                </c:pt>
                <c:pt idx="2">
                  <c:v>0.84261095176640088</c:v>
                </c:pt>
                <c:pt idx="3">
                  <c:v>0.8586646145631821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9F-4379-9990-572738D9F2AE}"/>
            </c:ext>
          </c:extLst>
        </c:ser>
        <c:ser>
          <c:idx val="7"/>
          <c:order val="7"/>
          <c:tx>
            <c:strRef>
              <c:f>'M Ponderada'!$A$11</c:f>
              <c:strCache>
                <c:ptCount val="1"/>
                <c:pt idx="0">
                  <c:v>Hidráulica</c:v>
                </c:pt>
              </c:strCache>
            </c:strRef>
          </c:tx>
          <c:spPr>
            <a:ln w="28575" cap="rnd">
              <a:solidFill>
                <a:srgbClr val="799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99FFF"/>
              </a:solidFill>
              <a:ln w="9525">
                <a:solidFill>
                  <a:srgbClr val="799FFF"/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Ponderada'!$B$11:$E$11</c:f>
              <c:numCache>
                <c:formatCode>0.00</c:formatCode>
                <c:ptCount val="4"/>
                <c:pt idx="0">
                  <c:v>0.72140697770770157</c:v>
                </c:pt>
                <c:pt idx="1">
                  <c:v>0.79484816624387677</c:v>
                </c:pt>
                <c:pt idx="2">
                  <c:v>0.84488029483894</c:v>
                </c:pt>
                <c:pt idx="3">
                  <c:v>0.86167982708800406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9F-4379-9990-572738D9F2AE}"/>
            </c:ext>
          </c:extLst>
        </c:ser>
        <c:ser>
          <c:idx val="8"/>
          <c:order val="8"/>
          <c:tx>
            <c:strRef>
              <c:f>'M Ponderada'!$A$12</c:f>
              <c:strCache>
                <c:ptCount val="1"/>
                <c:pt idx="0">
                  <c:v>Resíduos Industriais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Ponderada'!$B$12:$E$12</c:f>
              <c:numCache>
                <c:formatCode>0.00</c:formatCode>
                <c:ptCount val="4"/>
                <c:pt idx="0">
                  <c:v>0.72656749796428799</c:v>
                </c:pt>
                <c:pt idx="1">
                  <c:v>0.78958339015144097</c:v>
                </c:pt>
                <c:pt idx="2">
                  <c:v>0.86084732357490401</c:v>
                </c:pt>
                <c:pt idx="3">
                  <c:v>0.86494212345178745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9F-4379-9990-572738D9F2AE}"/>
            </c:ext>
          </c:extLst>
        </c:ser>
        <c:ser>
          <c:idx val="9"/>
          <c:order val="9"/>
          <c:tx>
            <c:strRef>
              <c:f>'M Ponderada'!$A$13</c:f>
              <c:strCache>
                <c:ptCount val="1"/>
                <c:pt idx="0">
                  <c:v>Carvão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'M Ponderada'!$B$3:$E$3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Ponderada'!$B$13:$E$13</c:f>
              <c:numCache>
                <c:formatCode>0.00</c:formatCode>
                <c:ptCount val="4"/>
                <c:pt idx="0">
                  <c:v>0.65068567272743094</c:v>
                </c:pt>
                <c:pt idx="1">
                  <c:v>0.75038993990482217</c:v>
                </c:pt>
                <c:pt idx="2">
                  <c:v>0.89087556978111515</c:v>
                </c:pt>
                <c:pt idx="3">
                  <c:v>0.93814361891490639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9F-4379-9990-572738D9F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345200"/>
        <c:axId val="1309346160"/>
      </c:lineChart>
      <c:catAx>
        <c:axId val="13093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6160"/>
        <c:crosses val="autoZero"/>
        <c:auto val="1"/>
        <c:lblAlgn val="ctr"/>
        <c:lblOffset val="100"/>
        <c:noMultiLvlLbl val="0"/>
      </c:catAx>
      <c:valAx>
        <c:axId val="130934616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pt-BR"/>
              <a:t>Índice de Flexibilidade Histórico sem média ponderada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 Historico'!$A$4</c:f>
              <c:strCache>
                <c:ptCount val="1"/>
                <c:pt idx="0">
                  <c:v>Multi-Combustível Diesel/Óleo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strRef>
              <c:f>'M Historico'!$B$3:$E$3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Historico'!$B$4:$E$4</c:f>
              <c:numCache>
                <c:formatCode>0.00</c:formatCode>
                <c:ptCount val="4"/>
                <c:pt idx="0">
                  <c:v>0.95970833333333305</c:v>
                </c:pt>
                <c:pt idx="1">
                  <c:v>0.98399999999999999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7E-432C-B446-2EB6901619CA}"/>
            </c:ext>
          </c:extLst>
        </c:ser>
        <c:ser>
          <c:idx val="1"/>
          <c:order val="1"/>
          <c:tx>
            <c:strRef>
              <c:f>'M Historico'!$A$5</c:f>
              <c:strCache>
                <c:ptCount val="1"/>
                <c:pt idx="0">
                  <c:v>Óleo Diesel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'M Historico'!$B$3:$E$3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Historico'!$B$5:$E$5</c:f>
              <c:numCache>
                <c:formatCode>0.00</c:formatCode>
                <c:ptCount val="4"/>
                <c:pt idx="0">
                  <c:v>0.91817708197751424</c:v>
                </c:pt>
                <c:pt idx="1">
                  <c:v>0.98135499754810307</c:v>
                </c:pt>
                <c:pt idx="2">
                  <c:v>0.99285365155833483</c:v>
                </c:pt>
                <c:pt idx="3">
                  <c:v>0.99515386907252801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7E-432C-B446-2EB6901619CA}"/>
            </c:ext>
          </c:extLst>
        </c:ser>
        <c:ser>
          <c:idx val="2"/>
          <c:order val="2"/>
          <c:tx>
            <c:strRef>
              <c:f>'M Historico'!$A$6</c:f>
              <c:strCache>
                <c:ptCount val="1"/>
                <c:pt idx="0">
                  <c:v>Óleo Combustível</c:v>
                </c:pt>
              </c:strCache>
            </c:strRef>
          </c:tx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cat>
            <c:strRef>
              <c:f>'M Historico'!$B$3:$E$3</c:f>
              <c:strCache>
                <c:ptCount val="4"/>
                <c:pt idx="0">
                  <c:v>IF Up P1</c:v>
                </c:pt>
                <c:pt idx="1">
                  <c:v>IF Up P2</c:v>
                </c:pt>
                <c:pt idx="2">
                  <c:v>IF Up P4</c:v>
                </c:pt>
                <c:pt idx="3">
                  <c:v>IF Up P6</c:v>
                </c:pt>
              </c:strCache>
            </c:strRef>
          </c:cat>
          <c:val>
            <c:numRef>
              <c:f>'M Historico'!$B$6:$E$6</c:f>
              <c:numCache>
                <c:formatCode>0.00</c:formatCode>
                <c:ptCount val="4"/>
                <c:pt idx="0">
                  <c:v>0.85657664484397067</c:v>
                </c:pt>
                <c:pt idx="1">
                  <c:v>0.94843567074934931</c:v>
                </c:pt>
                <c:pt idx="2">
                  <c:v>0.97978024109026474</c:v>
                </c:pt>
                <c:pt idx="3">
                  <c:v>0.9868737852362035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7E-432C-B446-2EB6901619CA}"/>
            </c:ext>
          </c:extLst>
        </c:ser>
        <c:ser>
          <c:idx val="3"/>
          <c:order val="3"/>
          <c:tx>
            <c:strRef>
              <c:f>'M Historico'!$A$7</c:f>
              <c:strCache>
                <c:ptCount val="1"/>
                <c:pt idx="0">
                  <c:v>Gás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'M Historico'!$B$7:$E$7</c:f>
              <c:numCache>
                <c:formatCode>0.00</c:formatCode>
                <c:ptCount val="4"/>
                <c:pt idx="0">
                  <c:v>0.83486047440995559</c:v>
                </c:pt>
                <c:pt idx="1">
                  <c:v>0.90198523967938005</c:v>
                </c:pt>
                <c:pt idx="2">
                  <c:v>0.93760603661060737</c:v>
                </c:pt>
                <c:pt idx="3">
                  <c:v>0.94989446126854393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5-469D-8A31-F890FC38C043}"/>
            </c:ext>
          </c:extLst>
        </c:ser>
        <c:ser>
          <c:idx val="4"/>
          <c:order val="4"/>
          <c:tx>
            <c:strRef>
              <c:f>'M Historico'!$A$8</c:f>
              <c:strCache>
                <c:ptCount val="1"/>
                <c:pt idx="0">
                  <c:v>Nuclear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val>
            <c:numRef>
              <c:f>'M Historico'!$B$8:$E$8</c:f>
              <c:numCache>
                <c:formatCode>0.00</c:formatCode>
                <c:ptCount val="4"/>
                <c:pt idx="0">
                  <c:v>0.825622321902859</c:v>
                </c:pt>
                <c:pt idx="1">
                  <c:v>0.88692501930784995</c:v>
                </c:pt>
                <c:pt idx="2">
                  <c:v>0.95927135002341957</c:v>
                </c:pt>
                <c:pt idx="3">
                  <c:v>0.98643117565754401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E5-469D-8A31-F890FC38C043}"/>
            </c:ext>
          </c:extLst>
        </c:ser>
        <c:ser>
          <c:idx val="5"/>
          <c:order val="5"/>
          <c:tx>
            <c:strRef>
              <c:f>'M Historico'!$A$9</c:f>
              <c:strCache>
                <c:ptCount val="1"/>
                <c:pt idx="0">
                  <c:v>Outras Multi-Combustível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val>
            <c:numRef>
              <c:f>'M Historico'!$B$9:$E$9</c:f>
              <c:numCache>
                <c:formatCode>0.00</c:formatCode>
                <c:ptCount val="4"/>
                <c:pt idx="0">
                  <c:v>0.82302752288936543</c:v>
                </c:pt>
                <c:pt idx="1">
                  <c:v>0.86802075964992909</c:v>
                </c:pt>
                <c:pt idx="2">
                  <c:v>0.86777624933548492</c:v>
                </c:pt>
                <c:pt idx="3">
                  <c:v>0.86767328055156223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E5-469D-8A31-F890FC38C043}"/>
            </c:ext>
          </c:extLst>
        </c:ser>
        <c:ser>
          <c:idx val="6"/>
          <c:order val="6"/>
          <c:tx>
            <c:strRef>
              <c:f>'M Historico'!$A$10</c:f>
              <c:strCache>
                <c:ptCount val="1"/>
                <c:pt idx="0">
                  <c:v>Biomassa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'M Historico'!$B$10:$E$10</c:f>
              <c:numCache>
                <c:formatCode>0.00</c:formatCode>
                <c:ptCount val="4"/>
                <c:pt idx="0">
                  <c:v>0.80922417505119792</c:v>
                </c:pt>
                <c:pt idx="1">
                  <c:v>0.86695152310970669</c:v>
                </c:pt>
                <c:pt idx="2">
                  <c:v>0.89127593270559846</c:v>
                </c:pt>
                <c:pt idx="3">
                  <c:v>0.90497343641873873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E5-469D-8A31-F890FC38C043}"/>
            </c:ext>
          </c:extLst>
        </c:ser>
        <c:ser>
          <c:idx val="7"/>
          <c:order val="7"/>
          <c:tx>
            <c:strRef>
              <c:f>'M Historico'!$A$11</c:f>
              <c:strCache>
                <c:ptCount val="1"/>
                <c:pt idx="0">
                  <c:v>Hidráulica</c:v>
                </c:pt>
              </c:strCache>
            </c:strRef>
          </c:tx>
          <c:spPr>
            <a:ln w="28575" cap="rnd">
              <a:solidFill>
                <a:srgbClr val="799F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99FFF"/>
              </a:solidFill>
              <a:ln w="9525">
                <a:solidFill>
                  <a:srgbClr val="799FFF"/>
                </a:solidFill>
              </a:ln>
              <a:effectLst/>
            </c:spPr>
          </c:marker>
          <c:val>
            <c:numRef>
              <c:f>'M Historico'!$B$11:$E$11</c:f>
              <c:numCache>
                <c:formatCode>0.00</c:formatCode>
                <c:ptCount val="4"/>
                <c:pt idx="0">
                  <c:v>0.80471803095682293</c:v>
                </c:pt>
                <c:pt idx="1">
                  <c:v>0.86534927732154354</c:v>
                </c:pt>
                <c:pt idx="2">
                  <c:v>0.88672067604243987</c:v>
                </c:pt>
                <c:pt idx="3">
                  <c:v>0.89308496443457897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E5-469D-8A31-F890FC38C043}"/>
            </c:ext>
          </c:extLst>
        </c:ser>
        <c:ser>
          <c:idx val="8"/>
          <c:order val="8"/>
          <c:tx>
            <c:strRef>
              <c:f>'M Historico'!$A$12</c:f>
              <c:strCache>
                <c:ptCount val="1"/>
                <c:pt idx="0">
                  <c:v>Resíduos Industriais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'M Historico'!$B$12:$E$12</c:f>
              <c:numCache>
                <c:formatCode>0.00</c:formatCode>
                <c:ptCount val="4"/>
                <c:pt idx="0">
                  <c:v>0.73713494565806315</c:v>
                </c:pt>
                <c:pt idx="1">
                  <c:v>0.79687029211369897</c:v>
                </c:pt>
                <c:pt idx="2">
                  <c:v>0.83893379691359948</c:v>
                </c:pt>
                <c:pt idx="3">
                  <c:v>0.84632253333238872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E5-469D-8A31-F890FC38C043}"/>
            </c:ext>
          </c:extLst>
        </c:ser>
        <c:ser>
          <c:idx val="9"/>
          <c:order val="9"/>
          <c:tx>
            <c:strRef>
              <c:f>'M Historico'!$A$13</c:f>
              <c:strCache>
                <c:ptCount val="1"/>
                <c:pt idx="0">
                  <c:v>Carvão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'M Historico'!$B$13:$E$13</c:f>
              <c:numCache>
                <c:formatCode>0.00</c:formatCode>
                <c:ptCount val="4"/>
                <c:pt idx="0">
                  <c:v>0.64289295366965749</c:v>
                </c:pt>
                <c:pt idx="1">
                  <c:v>0.73265598656307729</c:v>
                </c:pt>
                <c:pt idx="2">
                  <c:v>0.85690606239882827</c:v>
                </c:pt>
                <c:pt idx="3">
                  <c:v>0.90075517898288748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E5-469D-8A31-F890FC38C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345200"/>
        <c:axId val="1309346160"/>
      </c:lineChart>
      <c:catAx>
        <c:axId val="130934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6160"/>
        <c:crosses val="autoZero"/>
        <c:auto val="1"/>
        <c:lblAlgn val="ctr"/>
        <c:lblOffset val="100"/>
        <c:noMultiLvlLbl val="0"/>
      </c:catAx>
      <c:valAx>
        <c:axId val="130934616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3093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j-lt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7620</xdr:rowOff>
    </xdr:from>
    <xdr:to>
      <xdr:col>16</xdr:col>
      <xdr:colOff>495300</xdr:colOff>
      <xdr:row>20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FBA637-8438-49E1-A0DA-65D6CF938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7620</xdr:rowOff>
    </xdr:from>
    <xdr:to>
      <xdr:col>16</xdr:col>
      <xdr:colOff>495300</xdr:colOff>
      <xdr:row>20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C2E254-7619-4793-9AF9-3C73B23BD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304800</xdr:colOff>
      <xdr:row>24</xdr:row>
      <xdr:rowOff>121920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8624A64-EE7F-8953-A172-9AF21C516B33}"/>
            </a:ext>
          </a:extLst>
        </xdr:cNvPr>
        <xdr:cNvSpPr>
          <a:spLocks noChangeAspect="1" noChangeArrowheads="1"/>
        </xdr:cNvSpPr>
      </xdr:nvSpPr>
      <xdr:spPr bwMode="auto">
        <a:xfrm>
          <a:off x="578358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11430</xdr:rowOff>
    </xdr:from>
    <xdr:to>
      <xdr:col>16</xdr:col>
      <xdr:colOff>502920</xdr:colOff>
      <xdr:row>20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4AC628-7B5F-F465-771A-57D76F772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 Costa" refreshedDate="45855.647636805559" createdVersion="8" refreshedVersion="8" minRefreshableVersion="3" recordCount="772" xr:uid="{225A8B63-8BFC-4202-B63C-F4A9827E15D9}">
  <cacheSource type="worksheet">
    <worksheetSource ref="A2:L774" sheet="Analise"/>
  </cacheSource>
  <cacheFields count="12">
    <cacheField name="id_subsistema" numFmtId="0">
      <sharedItems/>
    </cacheField>
    <cacheField name="nom_usina" numFmtId="0">
      <sharedItems/>
    </cacheField>
    <cacheField name="nom_tipousina" numFmtId="0">
      <sharedItems/>
    </cacheField>
    <cacheField name="nom_tipocombustivel" numFmtId="0">
      <sharedItems count="12">
        <s v="Hidráulica"/>
        <s v="Gás"/>
        <s v="Biomassa"/>
        <s v="Eólica"/>
        <s v="Óleo Combustível"/>
        <s v="Óleo Diesel"/>
        <s v="Fotovoltaica"/>
        <s v="Outras Multi-Combustível"/>
        <s v="Multi-Combustível Diesel/Óleo"/>
        <s v="Carvão"/>
        <s v="Resíduos Industriais"/>
        <s v="Nuclear"/>
      </sharedItems>
    </cacheField>
    <cacheField name="Ind Flex Up P1" numFmtId="164">
      <sharedItems containsSemiMixedTypes="0" containsString="0" containsNumber="1" minValue="0" maxValue="1" count="669">
        <n v="0"/>
        <n v="0.75390999374956502"/>
        <n v="0.75936446497690002"/>
        <n v="0.84816004254709798"/>
        <n v="0.644303466225988"/>
        <n v="0.88337412745897903"/>
        <n v="0.768040419866728"/>
        <n v="0.95594549187978295"/>
        <n v="0.86906237370335404"/>
        <n v="0.88998927784861404"/>
        <n v="0.78841900274077903"/>
        <n v="0.80899056517358203"/>
        <n v="0.88699754901960703"/>
        <n v="0.81795421901419896"/>
        <n v="0.74112239330993601"/>
        <n v="0.89832128898011898"/>
        <n v="0.93491892225168005"/>
        <n v="0.92156639061719503"/>
        <n v="0.72275575103629397"/>
        <n v="0.831732384737494"/>
        <n v="0.83300242204286701"/>
        <n v="0.85002773005803001"/>
        <n v="0.81402059533264004"/>
        <n v="0.82075643568937495"/>
        <n v="0.76584258934374805"/>
        <n v="0.73873759404689499"/>
        <n v="0.82492312307807603"/>
        <n v="0.96234398138354105"/>
        <n v="0.90276013995075799"/>
        <n v="1"/>
        <n v="0.65181853133410195"/>
        <n v="0.68852461801102405"/>
        <n v="0.99925686471221997"/>
        <n v="0.66813043986611198"/>
        <n v="0.66620595135775496"/>
        <n v="0.73692192497080999"/>
        <n v="0.99683150524509201"/>
        <n v="0.65209816322936298"/>
        <n v="0.62691335633978995"/>
        <n v="0.71840008760642804"/>
        <n v="0.86099999999999999"/>
        <n v="0.92353012048192695"/>
        <n v="0.93467741935483795"/>
        <n v="0.95970833333333305"/>
        <n v="0.940381346930104"/>
        <n v="0.710425567551903"/>
        <n v="0.90894194756554303"/>
        <n v="0.72003474983575899"/>
        <n v="0.89280441531562604"/>
        <n v="0.74580372575379295"/>
        <n v="0.91655826054636602"/>
        <n v="0.97975134886444404"/>
        <n v="0.71453528121369203"/>
        <n v="0.75518400543895603"/>
        <n v="0.56268905620592102"/>
        <n v="0.80397032702956805"/>
        <n v="0.80804471989306104"/>
        <n v="0.88405990173106896"/>
        <n v="0.86808376207238902"/>
        <n v="0.80609279048930205"/>
        <n v="0.53912699955213395"/>
        <n v="0.87385381384300198"/>
        <n v="0.93489321564793504"/>
        <n v="0.87852968942317999"/>
        <n v="0.86351233786776305"/>
        <n v="0.86155873517106596"/>
        <n v="0.828741607706314"/>
        <n v="0.85879975397592401"/>
        <n v="0.95552407513981696"/>
        <n v="0.75176834873482001"/>
        <n v="0.86796338226108605"/>
        <n v="0.87565609853227599"/>
        <n v="0.88666900338824595"/>
        <n v="0.93963582953220204"/>
        <n v="0.778950480977885"/>
        <n v="0.86700364973354205"/>
        <n v="0.920208750553694"/>
        <n v="0.84214035159695499"/>
        <n v="0.85313205915572499"/>
        <n v="0.75848942118075302"/>
        <n v="0.75699605627201805"/>
        <n v="0.84528181228017396"/>
        <n v="0.89441089356464198"/>
        <n v="0.90633125489107103"/>
        <n v="0.91318541664237596"/>
        <n v="0.896846767496288"/>
        <n v="0.87952412989850304"/>
        <n v="0.81182205331907398"/>
        <n v="0.88230883922671499"/>
        <n v="0.76858880863370904"/>
        <n v="0.93621354166666604"/>
        <n v="0.84684003426307597"/>
        <n v="0.90522743571355402"/>
        <n v="0.87353544133205097"/>
        <n v="0.770989068618811"/>
        <n v="0.91907879432388395"/>
        <n v="0.86096192788056303"/>
        <n v="0.82662478944413198"/>
        <n v="0.958596805381979"/>
        <n v="0.88879374999999905"/>
        <n v="0.82587153858287998"/>
        <n v="0.90636040356303005"/>
        <n v="0.94536821294923301"/>
        <n v="0.89494654893270098"/>
        <n v="0.93588114258048904"/>
        <n v="0.93505135730007305"/>
        <n v="0.89771642558190701"/>
        <n v="0.76704200493572094"/>
        <n v="0.82837860637759397"/>
        <n v="0.76651775897786001"/>
        <n v="0.83827354433313495"/>
        <n v="0.79164753730899895"/>
        <n v="0.83557505289279299"/>
        <n v="0.74722038834951399"/>
        <n v="0.93775221371581396"/>
        <n v="0.70852600908878305"/>
        <n v="0.91891836693012996"/>
        <n v="0.93570169947369597"/>
        <n v="0.75883113961075399"/>
        <n v="0.82097355844220599"/>
        <n v="0.81312109951116995"/>
        <n v="0.86243033943692504"/>
        <n v="0.81455621301775105"/>
        <n v="0.81603611327204995"/>
        <n v="0.80115881519666798"/>
        <n v="0.82385522051760796"/>
        <n v="0.89472549548004598"/>
        <n v="0.90942146183674599"/>
        <n v="0.91898804527822497"/>
        <n v="0.96372787808366001"/>
        <n v="0.84182086847281001"/>
        <n v="0.78158974891864796"/>
        <n v="0.93503411733313002"/>
        <n v="0.75433217234766903"/>
        <n v="0.83819270088902098"/>
        <n v="0.75294515459871603"/>
        <n v="0.82182639237330601"/>
        <n v="0.79034686694967504"/>
        <n v="0.76918303220738404"/>
        <n v="0.76700051435836203"/>
        <n v="0.72798059417724403"/>
        <n v="0.84953659973107198"/>
        <n v="0.94166205015103799"/>
        <n v="0.90791642936362804"/>
        <n v="0.89017640738612203"/>
        <n v="0.82073814224603903"/>
        <n v="0.931864826490993"/>
        <n v="0.81759245616620002"/>
        <n v="0.90938497057021195"/>
        <n v="0.748487631437045"/>
        <n v="0.74142661874145699"/>
        <n v="0.83978859327607402"/>
        <n v="0.93356586147112597"/>
        <n v="0.959935726031792"/>
        <n v="0.88104143038027805"/>
        <n v="0.82212814228128095"/>
        <n v="0.90110070002026699"/>
        <n v="0.93449399645337194"/>
        <n v="0.91770465157416503"/>
        <n v="0.96975881032824396"/>
        <n v="0.94866672457222201"/>
        <n v="0.88214164279245699"/>
        <n v="0.90286298568507095"/>
        <n v="0.93442549419003496"/>
        <n v="0.90699556120373204"/>
        <n v="0.94178334561532795"/>
        <n v="0.83186033214001498"/>
        <n v="0.83392015869080005"/>
        <n v="0.78591629631390003"/>
        <n v="0.78569500000000003"/>
        <n v="0.94157255970924103"/>
        <n v="0.86177005435004606"/>
        <n v="0.92324792195179495"/>
        <n v="0.96677643956608095"/>
        <n v="0.94969230769230695"/>
        <n v="0.96283229207419596"/>
        <n v="0.96323674867512699"/>
        <n v="0.92321772208547703"/>
        <n v="0.78790850955313996"/>
        <n v="0.88702111416919405"/>
        <n v="0.92508080902017398"/>
        <n v="0.86600633085865797"/>
        <n v="0.82452444784884404"/>
        <n v="0.81310660396776302"/>
        <n v="0.87045669216964106"/>
        <n v="0.73814183207529505"/>
        <n v="0.88241412448580103"/>
        <n v="0.80948434008688497"/>
        <n v="0.740339952664818"/>
        <n v="0.75566318223648499"/>
        <n v="0.911762628670303"/>
        <n v="0.821402458371845"/>
        <n v="0.76621153454249002"/>
        <n v="0.90553769340239598"/>
        <n v="0.94999177209193297"/>
        <n v="0.76767443697485904"/>
        <n v="0.78078414869062696"/>
        <n v="0.90830309983387003"/>
        <n v="0.89878406754691598"/>
        <n v="0.82564011616741495"/>
        <n v="0.91577609998662601"/>
        <n v="0.80054685619922406"/>
        <n v="0.76390368729130498"/>
        <n v="0.80874406418863598"/>
        <n v="0.82782032585495802"/>
        <n v="0.90639476967416799"/>
        <n v="0.89497690889887505"/>
        <n v="0.88081309661474205"/>
        <n v="0.79744596280295699"/>
        <n v="0.76159003527056601"/>
        <n v="0.80601757220097503"/>
        <n v="0.94533300040858903"/>
        <n v="0.78461644049765999"/>
        <n v="0.86785830321244295"/>
        <n v="0.701281033459484"/>
        <n v="0.77261669587849402"/>
        <n v="0.88296980038237705"/>
        <n v="0.81762376404826398"/>
        <n v="0.87311015118790403"/>
        <n v="0.88966512618954996"/>
        <n v="0.84133308806949603"/>
        <n v="0.97956785671354696"/>
        <n v="0.81997703788748499"/>
        <n v="0.82730277271079"/>
        <n v="0.81557344475605398"/>
        <n v="0.81156911483300698"/>
        <n v="0.85445052658621401"/>
        <n v="0.99567669499626299"/>
        <n v="0.82395504286141896"/>
        <n v="0.92627274030589501"/>
        <n v="0.91870711902813595"/>
        <n v="0.84044719342289298"/>
        <n v="0.93091622480394098"/>
        <n v="0.89974540175515805"/>
        <n v="0.90458567605136997"/>
        <n v="0.93166771241264401"/>
        <n v="0.77642877804867905"/>
        <n v="0.87537143351700597"/>
        <n v="0.92962543821883203"/>
        <n v="0.80940563484666395"/>
        <n v="0.86204711310908799"/>
        <n v="0.86656769913871501"/>
        <n v="0.84878775417156505"/>
        <n v="0.87806572596759802"/>
        <n v="0.76375036858446199"/>
        <n v="0.88915326861823096"/>
        <n v="0.90899249238567004"/>
        <n v="0.86987425545996"/>
        <n v="0.90046159308793905"/>
        <n v="0.82121357007802098"/>
        <n v="0.85612348750424005"/>
        <n v="0.88425994108983796"/>
        <n v="0.87786615157368397"/>
        <n v="0.89978816267645501"/>
        <n v="0.77308080475657603"/>
        <n v="0.93904397959862296"/>
        <n v="0.86401850960987703"/>
        <n v="0.82417315175097206"/>
        <n v="0.83942923977982997"/>
        <n v="0.79417255924935504"/>
        <n v="0.95666213703332803"/>
        <n v="0.64369031753212602"/>
        <n v="0.684117029279665"/>
        <n v="0.82158447569877102"/>
        <n v="0.83407635450096496"/>
        <n v="0.87604451986820697"/>
        <n v="0.714731813384333"/>
        <n v="0.81454715585384596"/>
        <n v="0.80433375357336001"/>
        <n v="0.79346634159844098"/>
        <n v="0.83130966947569496"/>
        <n v="0.86386748484989795"/>
        <n v="0.74128243265575899"/>
        <n v="0.97893003722439598"/>
        <n v="0.69385026737967903"/>
        <n v="0.81021410872741895"/>
        <n v="0.77541822953064099"/>
        <n v="0.72314640327506596"/>
        <n v="0.81127903452456396"/>
        <n v="0.72623284132263499"/>
        <n v="0.75661599721038097"/>
        <n v="0.948697761511618"/>
        <n v="0.85909752649679605"/>
        <n v="0.94802322068280898"/>
        <n v="0.59843599571306605"/>
        <n v="0.93210662092719199"/>
        <n v="0.62772739066508998"/>
        <n v="0.99673362730687498"/>
        <n v="0.69178082191780799"/>
        <n v="0.85870000000000002"/>
        <n v="0.86709574468085104"/>
        <n v="0.93537999999999999"/>
        <n v="0.76865625000000004"/>
        <n v="0.81603225806451596"/>
        <n v="0.69423677138690998"/>
        <n v="0.74916791044776099"/>
        <n v="0.85812142857142804"/>
        <n v="0.91928205128205098"/>
        <n v="0.74975000000000003"/>
        <n v="0.83823529411764697"/>
        <n v="0.84248837209302296"/>
        <n v="0.75306329113923998"/>
        <n v="0.65754999999999997"/>
        <n v="0.84615384615384603"/>
        <n v="0.68372790561255503"/>
        <n v="0.95508632594264498"/>
        <n v="0.65925480519372504"/>
        <n v="0.85006781133963505"/>
        <n v="0.72545296167247297"/>
        <n v="0.70130210435018903"/>
        <n v="0.78427659574468001"/>
        <n v="0.86238532110091703"/>
        <n v="0.81083333333333296"/>
        <n v="0.72669444444444398"/>
        <n v="0.76227941176470504"/>
        <n v="0.81455555555555503"/>
        <n v="0.73756517298305202"/>
        <n v="0.62956841982403"/>
        <n v="0.72575757575757505"/>
        <n v="0.86885245901639296"/>
        <n v="0.734567603328386"/>
        <n v="0.85860000000000003"/>
        <n v="0.93738012719135899"/>
        <n v="0.79666319627007798"/>
        <n v="0.885198772465977"/>
        <n v="0.65543779009023895"/>
        <n v="0.96535475349939504"/>
        <n v="0.86084998635412502"/>
        <n v="0.929541433048372"/>
        <n v="0.70272896892999104"/>
        <n v="0.61531719439944899"/>
        <n v="0.67814474166859096"/>
        <n v="0.93642412772554295"/>
        <n v="0.95044567062818297"/>
        <n v="0.93024223869373701"/>
        <n v="0.89532473102905896"/>
        <n v="0.84648102988714302"/>
        <n v="0.84971420463758696"/>
        <n v="0.70218791648156298"/>
        <n v="0.68695422069330503"/>
        <n v="0.89309975269639696"/>
        <n v="0.84304486192382699"/>
        <n v="0.803912370470236"/>
        <n v="0.90804761904761899"/>
        <n v="0.69315992292870898"/>
        <n v="0.81753943400603102"/>
        <n v="0.87022587679811103"/>
        <n v="0.87034385368936595"/>
        <n v="0.77365185666450098"/>
        <n v="0.74665991520839303"/>
        <n v="0.79955140668346802"/>
        <n v="0.68270704508218305"/>
        <n v="0.96138786847056701"/>
        <n v="0.94640353133478805"/>
        <n v="0.42684017253111201"/>
        <n v="0.84298812993105399"/>
        <n v="0.66506791299225598"/>
        <n v="0.861166789745753"/>
        <n v="0.94379705063421604"/>
        <n v="0.96663423043106"/>
        <n v="0.76367514856010899"/>
        <n v="0.80650821502631997"/>
        <n v="0.92135289416340105"/>
        <n v="0.80833933532256397"/>
        <n v="0.62641022901106802"/>
        <n v="0.82760423500037705"/>
        <n v="0.98912402186063797"/>
        <n v="0.86259622437881001"/>
        <n v="0.72411848608484997"/>
        <n v="0.90204202752011198"/>
        <n v="0.88528471607645198"/>
        <n v="0.80264801791537299"/>
        <n v="0.79063994283934502"/>
        <n v="0.87612483430202903"/>
        <n v="0.68699632752288797"/>
        <n v="0.80339410951513901"/>
        <n v="0.88955226111127705"/>
        <n v="0.89979559102556494"/>
        <n v="0.86708317733682705"/>
        <n v="0.89848284443049997"/>
        <n v="0.92208276797829003"/>
        <n v="0.86650216497842802"/>
        <n v="0.98323115614228196"/>
        <n v="0.90094280326838405"/>
        <n v="0.86302395209580796"/>
        <n v="0.607004414773339"/>
        <n v="0.90421410592332496"/>
        <n v="0.97145447437806098"/>
        <n v="0.86794501297013404"/>
        <n v="0.87065659770875203"/>
        <n v="0.65566333777430297"/>
        <n v="0.81716873024449099"/>
        <n v="0.88836655481157301"/>
        <n v="0.93863668553885204"/>
        <n v="0.95132607649747403"/>
        <n v="0.81408475338391695"/>
        <n v="0.93507903741198395"/>
        <n v="0.53955563589751998"/>
        <n v="0.63255963050083697"/>
        <n v="0.64827015183182202"/>
        <n v="0.56007318033874398"/>
        <n v="0.68558470704533903"/>
        <n v="0.73277617904483505"/>
        <n v="0.832515522334076"/>
        <n v="0.79600002100967204"/>
        <n v="0.98206234071750598"/>
        <n v="0.88700725495080301"/>
        <n v="0.678125075349016"/>
        <n v="0.77155788177339901"/>
        <n v="0.78935174418604603"/>
        <n v="0.97018430439952397"/>
        <n v="0.87393981481481398"/>
        <n v="0.74209999999999998"/>
        <n v="0.69823369570531801"/>
        <n v="0.78685012285012201"/>
        <n v="0.70249999999999901"/>
        <n v="0.68960294117647003"/>
        <n v="0.69987879810339004"/>
        <n v="0.70183009708737798"/>
        <n v="0.82116071428571402"/>
        <n v="0.64321565377055201"/>
        <n v="0.98037695283243298"/>
        <n v="0.98256399919370996"/>
        <n v="0.90854875896801701"/>
        <n v="0.99234082122057399"/>
        <n v="0.77821620431768201"/>
        <n v="0.93313095231896304"/>
        <n v="0.90293951711048503"/>
        <n v="0.96233187556729105"/>
        <n v="0.94545953631103996"/>
        <n v="0.88064989005619299"/>
        <n v="0.75"/>
        <n v="0.92137290664897997"/>
        <n v="0.75878946751894005"/>
        <n v="0.839114659222163"/>
        <n v="0.79862833760944196"/>
        <n v="0.75596855083063397"/>
        <n v="0.99443384248334599"/>
        <n v="0.65681080132237202"/>
        <n v="0.88037906137184097"/>
        <n v="0.71985359690844197"/>
        <n v="0.98628269994369999"/>
        <n v="0.85284971886181604"/>
        <n v="0.77232652418624703"/>
        <n v="0.80977011913533803"/>
        <n v="0.65379050178285303"/>
        <n v="0.78410915816637305"/>
        <n v="0.81864683301343499"/>
        <n v="0.5"/>
        <n v="0.89259135861146499"/>
        <n v="0.77631635350432204"/>
        <n v="0.71615880457075798"/>
        <n v="0.83960939228819198"/>
        <n v="0.75341659542306305"/>
        <n v="0.801496128003644"/>
        <n v="0.80557572975498504"/>
        <n v="0.88760441760785902"/>
        <n v="0.72386462648465999"/>
        <n v="0.73447658202900801"/>
        <n v="0.77781173594132003"/>
        <n v="0.68236298525708705"/>
        <n v="0.94108001997095103"/>
        <n v="0.85350702880274598"/>
        <n v="0.90952749644262099"/>
        <n v="0.802233221203005"/>
        <n v="0.87937352031611205"/>
        <n v="0.82702658937072904"/>
        <n v="0.75982863296552305"/>
        <n v="0.838296882270823"/>
        <n v="0.56195290405740705"/>
        <n v="0.76966754876360299"/>
        <n v="0.96423486834227001"/>
        <n v="0.73792751129275103"/>
        <n v="0.87600204372874702"/>
        <n v="0.916187417387473"/>
        <n v="0.71059440854003397"/>
        <n v="0.84909479208832905"/>
        <n v="0.77311938787828105"/>
        <n v="0.91035318926727105"/>
        <n v="0.71116518861935596"/>
        <n v="0.78238557378753004"/>
        <n v="0.88959134025676601"/>
        <n v="0.83789005323010801"/>
        <n v="0.60502234573149805"/>
        <n v="0.897541502978076"/>
        <n v="0.81011261110460098"/>
        <n v="0.86091399523856305"/>
        <n v="0.86417527775619596"/>
        <n v="0.72942332200509696"/>
        <n v="0.87486328837039695"/>
        <n v="0.82547035626035403"/>
        <n v="0.89801153095068298"/>
        <n v="0.797325951906104"/>
        <n v="0.66116625587335098"/>
        <n v="0.63700554965167"/>
        <n v="0.83430000000000004"/>
        <n v="0.91168202239443197"/>
        <n v="0.83654655125700506"/>
        <n v="0.86777042890683098"/>
        <n v="0.88886216021169095"/>
        <n v="0.90759050265351504"/>
        <n v="0.73964978379072599"/>
        <n v="0.82165446911549"/>
        <n v="0.87115477322770996"/>
        <n v="0.99110937499999996"/>
        <n v="0.96801595565491605"/>
        <n v="0.74319066147859902"/>
        <n v="0.60340758800488403"/>
        <n v="0.79137144718625296"/>
        <n v="0.77508874015808304"/>
        <n v="0.64189217856599101"/>
        <n v="0.70893236299982099"/>
        <n v="0.94342577343841905"/>
        <n v="0.85157800099206304"/>
        <n v="0.78441971044158698"/>
        <n v="0.66346944474610903"/>
        <n v="0.68391353874364402"/>
        <n v="0.67246929920585896"/>
        <n v="0.84206273042007396"/>
        <n v="0.77644888932595002"/>
        <n v="0.796381619363558"/>
        <n v="0.72874605637175704"/>
        <n v="0.81294005845848105"/>
        <n v="0.95571945944915004"/>
        <n v="0.93270694113485397"/>
        <n v="0.90506099695015196"/>
        <n v="0.82176800100704905"/>
        <n v="0.83894410903897998"/>
        <n v="0.67299981585562496"/>
        <n v="0.86481172313955601"/>
        <n v="0.75813802742722802"/>
        <n v="0.64627817149424904"/>
        <n v="0.639928517041638"/>
        <n v="0.47299059532704602"/>
        <n v="0.87142225569819198"/>
        <n v="0.795402597402597"/>
        <n v="0.723948275862069"/>
        <n v="0.78907057211911302"/>
        <n v="0.62403921568627396"/>
        <n v="0.88435897498719795"/>
        <n v="0.74348419820522804"/>
        <n v="0.78986621363346698"/>
        <n v="0.67019169551135005"/>
        <n v="0.964768883878241"/>
        <n v="0.59240900532717"/>
        <n v="0.71388291884146904"/>
        <n v="0.87801061018466797"/>
        <n v="0.87206144409033204"/>
        <n v="0.981235873598021"/>
        <n v="0.77581627490121396"/>
        <n v="0.83011347198559904"/>
        <n v="0.80052724891298899"/>
        <n v="0.76605225423502699"/>
        <n v="0.74906534325889096"/>
        <n v="0.803039409506767"/>
        <n v="0.76733224798102395"/>
        <n v="0.85228032223996497"/>
        <n v="0.70406234917441002"/>
        <n v="0.87374990395792496"/>
        <n v="0.43976211227616102"/>
        <n v="0.65970821325648399"/>
        <n v="0.87890119078595297"/>
        <n v="0.84433764239088704"/>
        <n v="0.84142774982589796"/>
        <n v="0.84739196108048698"/>
        <n v="0.92410894978690905"/>
        <n v="0.73014407247079205"/>
        <n v="0.829059829059829"/>
        <n v="0.63727753654210695"/>
        <n v="0.97509868989595205"/>
        <n v="0.62384953981592595"/>
        <n v="0.98067632850241504"/>
        <n v="0.75932633587786202"/>
        <n v="0.652472158740523"/>
        <n v="0.68495390070921902"/>
        <n v="0.99939209282985597"/>
        <n v="0.72807608695652104"/>
        <n v="0.85135135135135098"/>
        <n v="0.65806114800573101"/>
        <n v="0.67049853157121797"/>
        <n v="0.82290165876777199"/>
        <n v="0.703595011005135"/>
        <n v="0.66789690557046399"/>
        <n v="0.66207673267326705"/>
        <n v="0.70714634146341404"/>
        <n v="0.63254081632653003"/>
        <n v="0.91019831299353904"/>
        <n v="0.96199999999999997"/>
        <n v="0.64510326342962598"/>
        <n v="0.61718095238095205"/>
        <n v="0.71896666666666598"/>
        <n v="0.91774193548387095"/>
        <n v="0.64646990997383402"/>
        <n v="0.88855555555555499"/>
        <n v="0.84837931034482705"/>
        <n v="0.76099999999999901"/>
        <n v="0.78153962931485199"/>
        <n v="0.68594105691056895"/>
        <n v="0.67391304347825998"/>
        <n v="0.66649999999999998"/>
        <n v="0.63233590023420905"/>
        <n v="0.74387195902688796"/>
        <n v="0.73076656421159603"/>
        <n v="0.82499999999999996"/>
        <n v="0.62559304532261595"/>
        <n v="0.88500000000000001"/>
        <n v="0.68833194295154598"/>
        <n v="0.91123655913978496"/>
        <n v="0.82737684911242604"/>
        <n v="0.94234395295892204"/>
        <n v="0.95062374955866702"/>
        <n v="0.99995170068027195"/>
        <n v="0.93416888402096099"/>
        <n v="0.76156307440942195"/>
        <n v="0.95471356625747505"/>
        <n v="0.73123975761271298"/>
        <n v="0.72852260852373796"/>
        <n v="0.92462834019275397"/>
        <n v="0.94406474094205295"/>
        <n v="0.84566898996817197"/>
        <n v="0.80194617822801895"/>
        <n v="0.55517939486237"/>
        <n v="0.96357421744866201"/>
        <n v="0.82206539922765398"/>
        <n v="0.76642400818034195"/>
        <n v="0.71639144495305296"/>
        <n v="0.66085518788889797"/>
        <n v="0.76455351420636597"/>
        <n v="0.80020714285714201"/>
        <n v="0.78347427310420903"/>
        <n v="0.94723175872408805"/>
        <n v="0.79010496249912598"/>
        <n v="0.74370953084175795"/>
        <n v="0.74872610077958202"/>
        <n v="0.843950634729974"/>
        <n v="0.68518126376418698"/>
        <n v="0.94674608676027205"/>
        <n v="0.69690384416287698"/>
        <n v="0.71678107795826795"/>
        <n v="0.94776906662830496"/>
        <n v="0.67089327441156099"/>
        <n v="0.87385627118644005"/>
        <n v="0.81305789350395896"/>
        <n v="0.82694839722489499"/>
        <n v="0.97321780228436305"/>
        <n v="0.77663836751122695"/>
        <n v="0.912274992720982"/>
        <n v="0.69315256564269701"/>
        <n v="0.82639298601868705"/>
        <n v="0.85882251418462596"/>
        <n v="0.73027588527209997"/>
        <n v="0.87877737045477"/>
        <n v="0.79802604627711804"/>
        <n v="0.94831195275911195"/>
        <n v="0.56426824249434004"/>
        <n v="0.87934321644320301"/>
        <n v="0.82923982602111701"/>
        <n v="0.78126400424641296"/>
        <n v="0.594801218659474"/>
        <n v="0.81583837522613301"/>
        <n v="0.67586743819304496"/>
        <n v="0.59820820617158299"/>
        <n v="0.69377761870018295"/>
        <n v="0.77419520021848198"/>
        <n v="0.93391339538648299"/>
        <n v="0.86537301912733"/>
        <n v="0.88825494381020798"/>
        <n v="0.88403579809506205"/>
        <n v="0.73626513994760601"/>
      </sharedItems>
    </cacheField>
    <cacheField name="Ind Flex Down P1" numFmtId="164">
      <sharedItems containsSemiMixedTypes="0" containsString="0" containsNumber="1" minValue="0" maxValue="1"/>
    </cacheField>
    <cacheField name="Ind Flex Up P2" numFmtId="164">
      <sharedItems containsSemiMixedTypes="0" containsString="0" containsNumber="1" minValue="0" maxValue="1"/>
    </cacheField>
    <cacheField name="Ind Flex Down P2" numFmtId="164">
      <sharedItems containsSemiMixedTypes="0" containsString="0" containsNumber="1" minValue="0" maxValue="1"/>
    </cacheField>
    <cacheField name="Ind Flex Up P4" numFmtId="2">
      <sharedItems containsSemiMixedTypes="0" containsString="0" containsNumber="1" minValue="0" maxValue="1"/>
    </cacheField>
    <cacheField name="Ind Flex Down P4" numFmtId="2">
      <sharedItems containsSemiMixedTypes="0" containsString="0" containsNumber="1" minValue="0" maxValue="1"/>
    </cacheField>
    <cacheField name="Ind Flex Up P6" numFmtId="2">
      <sharedItems containsSemiMixedTypes="0" containsString="0" containsNumber="1" minValue="0" maxValue="1"/>
    </cacheField>
    <cacheField name="Ind Flex Down P6" numFmtId="2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Veiga Velasco Costa" refreshedDate="45855.679830439818" createdVersion="8" refreshedVersion="8" minRefreshableVersion="3" recordCount="367" xr:uid="{A15DDFFC-870A-4676-873C-827A28CB9DE6}">
  <cacheSource type="worksheet">
    <worksheetSource ref="A2:L369" sheet="Analise (2)"/>
  </cacheSource>
  <cacheFields count="12">
    <cacheField name="id_subsistema" numFmtId="0">
      <sharedItems count="4">
        <s v="N"/>
        <s v="NE"/>
        <s v="S"/>
        <s v="SE"/>
      </sharedItems>
    </cacheField>
    <cacheField name="nom_usina" numFmtId="0">
      <sharedItems/>
    </cacheField>
    <cacheField name="nom_tipousina" numFmtId="0">
      <sharedItems/>
    </cacheField>
    <cacheField name="nom_tipocombustivel" numFmtId="0">
      <sharedItems count="12">
        <s v="Gás"/>
        <s v="Biomassa"/>
        <s v="Hidráulica"/>
        <s v="Óleo Combustível"/>
        <s v="Óleo Diesel"/>
        <s v="Outras Multi-Combustível"/>
        <s v="Multi-Combustível Diesel/Óleo"/>
        <s v="Carvão"/>
        <s v="Resíduos Industriais"/>
        <s v="Nuclear"/>
        <s v="Eólica" u="1"/>
        <s v="Fotovoltaica" u="1"/>
      </sharedItems>
    </cacheField>
    <cacheField name="Ind Flex Up P1" numFmtId="164">
      <sharedItems containsSemiMixedTypes="0" containsString="0" containsNumber="1" minValue="0.42684017253111201" maxValue="1"/>
    </cacheField>
    <cacheField name="Ind Flex Down P1" numFmtId="164">
      <sharedItems containsSemiMixedTypes="0" containsString="0" containsNumber="1" minValue="0.403752607930357" maxValue="1"/>
    </cacheField>
    <cacheField name="Ind Flex Up P2" numFmtId="164">
      <sharedItems containsSemiMixedTypes="0" containsString="0" containsNumber="1" minValue="0.46950519015296899" maxValue="1"/>
    </cacheField>
    <cacheField name="Ind Flex Down P2" numFmtId="164">
      <sharedItems containsSemiMixedTypes="0" containsString="0" containsNumber="1" minValue="0.45336753626597998" maxValue="1"/>
    </cacheField>
    <cacheField name="Ind Flex Up P4" numFmtId="2">
      <sharedItems containsSemiMixedTypes="0" containsString="0" containsNumber="1" minValue="0.48517278808262099" maxValue="1"/>
    </cacheField>
    <cacheField name="Ind Flex Down P4" numFmtId="2">
      <sharedItems containsSemiMixedTypes="0" containsString="0" containsNumber="1" minValue="0.45474706049053298" maxValue="1"/>
    </cacheField>
    <cacheField name="Ind Flex Up P6" numFmtId="2">
      <sharedItems containsSemiMixedTypes="0" containsString="0" containsNumber="1" minValue="0.48536394308660502" maxValue="1"/>
    </cacheField>
    <cacheField name="Ind Flex Down P6" numFmtId="2">
      <sharedItems containsSemiMixedTypes="0" containsString="0" containsNumber="1" minValue="0.455156105464092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2">
  <r>
    <s v="N"/>
    <s v="Alto Jatapu"/>
    <s v="HIDROELÉTRICA"/>
    <x v="0"/>
    <x v="0"/>
    <n v="0"/>
    <n v="0"/>
    <n v="0"/>
    <n v="0"/>
    <n v="0"/>
    <n v="0"/>
    <n v="0"/>
  </r>
  <r>
    <s v="N"/>
    <s v="Aparecida"/>
    <s v="TÉRMICA"/>
    <x v="1"/>
    <x v="1"/>
    <n v="0.88878394332939703"/>
    <n v="0.81008403361344505"/>
    <n v="0.90802139037433105"/>
    <n v="0.86471282727967202"/>
    <n v="0.90858740190290999"/>
    <n v="0.91163969720119398"/>
    <n v="0.90731995277449795"/>
  </r>
  <r>
    <s v="N"/>
    <s v="BBF Baliza"/>
    <s v="TÉRMICA"/>
    <x v="2"/>
    <x v="2"/>
    <n v="0.77865526282931696"/>
    <n v="0.80977650143588398"/>
    <n v="0.76176801098763802"/>
    <n v="0.76298539143463595"/>
    <n v="1"/>
    <n v="0.79482457235609905"/>
    <n v="0.96753652141340996"/>
  </r>
  <r>
    <s v="N"/>
    <s v="Balbina"/>
    <s v="HIDROELÉTRICA"/>
    <x v="0"/>
    <x v="3"/>
    <n v="0.81427373330333197"/>
    <n v="0.89179536482091304"/>
    <n v="0.853795487552928"/>
    <n v="0.87631681224047198"/>
    <n v="0.85550350809008502"/>
    <n v="0.87738662630147002"/>
    <n v="0.859003416041074"/>
  </r>
  <r>
    <s v="N"/>
    <s v="Belo Monte"/>
    <s v="HIDROELÉTRICA"/>
    <x v="0"/>
    <x v="4"/>
    <n v="0.66310677105589499"/>
    <n v="0.77210175459750796"/>
    <n v="0.77581541505426399"/>
    <n v="0.87297676854123496"/>
    <n v="0.87899986601252"/>
    <n v="0.93352766230339301"/>
    <n v="0.90122099168794201"/>
  </r>
  <r>
    <s v="N"/>
    <s v="Bonfim"/>
    <s v="TÉRMICA"/>
    <x v="2"/>
    <x v="5"/>
    <n v="0.93491070619164096"/>
    <n v="0.97479829571208398"/>
    <n v="0.985359441573746"/>
    <n v="0.97860574743903495"/>
    <n v="0.985359441573746"/>
    <n v="0.97189738011059701"/>
    <n v="0.985359441573746"/>
  </r>
  <r>
    <s v="N"/>
    <s v="Cachoeira Caldeirão"/>
    <s v="HIDROELÉTRICA"/>
    <x v="0"/>
    <x v="6"/>
    <n v="0.85243577727105202"/>
    <n v="0.84708019156069703"/>
    <n v="0.86445495199324696"/>
    <n v="0.86070580884032999"/>
    <n v="0.86450857779705104"/>
    <n v="0.888975933671875"/>
    <n v="0.86570932949092705"/>
  </r>
  <r>
    <s v="N"/>
    <s v="Cantá"/>
    <s v="TÉRMICA"/>
    <x v="2"/>
    <x v="7"/>
    <n v="0.93195818555161403"/>
    <n v="0.979839462385663"/>
    <n v="0.98305954825462005"/>
    <n v="0.98441291767780403"/>
    <n v="0.98445958558894897"/>
    <n v="0.985859622923277"/>
    <n v="0.98445958558894897"/>
  </r>
  <r>
    <s v="N"/>
    <s v="Coaracy Nunes"/>
    <s v="HIDROELÉTRICA"/>
    <x v="0"/>
    <x v="8"/>
    <n v="0.86814630203421705"/>
    <n v="0.98101845614980399"/>
    <n v="0.97027482150073996"/>
    <n v="0.97494274552067794"/>
    <n v="0.98577394584399802"/>
    <n v="0.97812205307827005"/>
    <n v="0.98579415330728803"/>
  </r>
  <r>
    <s v="N"/>
    <s v="Conj. Paulino Neves"/>
    <s v="EOLIELÉTRICA"/>
    <x v="3"/>
    <x v="9"/>
    <n v="0.88193800471388195"/>
    <n v="0.962008809551408"/>
    <n v="0.94935715389668096"/>
    <n v="0.99042613307059202"/>
    <n v="0.98316815424442605"/>
    <n v="0.98559633514933698"/>
    <n v="0.98981274873459302"/>
  </r>
  <r>
    <s v="N"/>
    <s v="Cristiano Rocha"/>
    <s v="TÉRMICA"/>
    <x v="1"/>
    <x v="10"/>
    <n v="0.91141751214117395"/>
    <n v="0.92073375967687598"/>
    <n v="0.93228590662114696"/>
    <n v="0.93252031543011005"/>
    <n v="0.93238808481992597"/>
    <n v="0.93241813723133105"/>
    <n v="0.93243616867817403"/>
  </r>
  <r>
    <s v="N"/>
    <s v="Curuá-Una"/>
    <s v="HIDROELÉTRICA"/>
    <x v="0"/>
    <x v="11"/>
    <n v="0.80068929193001703"/>
    <n v="0.96766510946230599"/>
    <n v="0.96719565814784203"/>
    <n v="0.96836356141797197"/>
    <n v="0.96623385545479501"/>
    <n v="0.96720710817990296"/>
    <n v="0.96297059631766901"/>
  </r>
  <r>
    <s v="N"/>
    <s v="Distrito"/>
    <s v="TÉRMICA"/>
    <x v="4"/>
    <x v="12"/>
    <n v="0.90952205882352899"/>
    <n v="0.97844362745098001"/>
    <n v="0.99007352941176396"/>
    <n v="0.99431372549019603"/>
    <n v="0.99599264705882296"/>
    <n v="0.99803921568627396"/>
    <n v="1"/>
  </r>
  <r>
    <s v="N"/>
    <s v="Estreito"/>
    <s v="HIDROELÉTRICA"/>
    <x v="0"/>
    <x v="13"/>
    <n v="0.74799412737950199"/>
    <n v="0.90448400938164697"/>
    <n v="0.86989372920492303"/>
    <n v="0.92378820385083904"/>
    <n v="0.91100934528463096"/>
    <n v="0.99175105907165295"/>
    <n v="0.91631243068307799"/>
  </r>
  <r>
    <s v="N"/>
    <s v="Ferreira Gomes"/>
    <s v="HIDROELÉTRICA"/>
    <x v="0"/>
    <x v="14"/>
    <n v="0.91739611917693298"/>
    <n v="0.92834401387520404"/>
    <n v="0.97532550545969698"/>
    <n v="0.98479345976272004"/>
    <n v="0.97963911439715301"/>
    <n v="0.98636704150347199"/>
    <n v="0.98100912799550499"/>
  </r>
  <r>
    <s v="N"/>
    <s v="Floresta"/>
    <s v="TÉRMICA"/>
    <x v="4"/>
    <x v="15"/>
    <n v="0.88691898883671205"/>
    <n v="0.938405083935551"/>
    <n v="0.95981778815060503"/>
    <n v="0.98213030396760603"/>
    <n v="0.99031296572280103"/>
    <n v="0.99273120940303095"/>
    <n v="0.99841127014031406"/>
  </r>
  <r>
    <s v="N"/>
    <s v="Geramar I"/>
    <s v="TÉRMICA"/>
    <x v="4"/>
    <x v="16"/>
    <n v="0.98872310253406404"/>
    <n v="0.99620815093408899"/>
    <n v="0.99814106911646805"/>
    <n v="0.99906899315617403"/>
    <n v="1"/>
    <n v="1"/>
    <n v="1"/>
  </r>
  <r>
    <s v="N"/>
    <s v="Geramar II"/>
    <s v="TÉRMICA"/>
    <x v="4"/>
    <x v="17"/>
    <n v="0.97882764276772904"/>
    <n v="0.99701854238479504"/>
    <n v="0.99805758190529603"/>
    <n v="1"/>
    <n v="0.99969167966750705"/>
    <n v="1"/>
    <n v="0.99969167966750705"/>
  </r>
  <r>
    <s v="N"/>
    <s v="Jaguatirica II"/>
    <s v="TÉRMICA"/>
    <x v="1"/>
    <x v="18"/>
    <n v="0.92478562161819999"/>
    <n v="0.78625842483308495"/>
    <n v="0.98549583900262605"/>
    <n v="0.89755719393728395"/>
    <n v="0.99341043571812804"/>
    <n v="0.979602411163497"/>
    <n v="0.99563332595006804"/>
  </r>
  <r>
    <s v="N"/>
    <s v="Jaraqui"/>
    <s v="TÉRMICA"/>
    <x v="1"/>
    <x v="19"/>
    <n v="0.84971553711921899"/>
    <n v="0.86429208718120998"/>
    <n v="0.87130806576828101"/>
    <n v="0.86990023521777904"/>
    <n v="0.87104156286571699"/>
    <n v="0.87020149936850399"/>
    <n v="0.86937881649537097"/>
  </r>
  <r>
    <s v="N"/>
    <s v="MC2 Nova Venécia 2"/>
    <s v="TÉRMICA"/>
    <x v="1"/>
    <x v="20"/>
    <n v="0.88456384246850905"/>
    <n v="0.86998982590143203"/>
    <n v="0.95779077801483603"/>
    <n v="0.94928895199192098"/>
    <n v="0.96824580318434095"/>
    <n v="0.95476702073541997"/>
    <n v="0.97299687943693203"/>
  </r>
  <r>
    <s v="N"/>
    <s v="Manauara"/>
    <s v="TÉRMICA"/>
    <x v="1"/>
    <x v="21"/>
    <n v="0.97476564719250003"/>
    <n v="0.97862756503036696"/>
    <n v="0.99528589013486202"/>
    <n v="0.99147807972729796"/>
    <n v="0.99548879299849802"/>
    <n v="0.98984132996063601"/>
    <n v="0.99548202956970999"/>
  </r>
  <r>
    <s v="N"/>
    <s v="Maranhão III"/>
    <s v="TÉRMICA"/>
    <x v="1"/>
    <x v="22"/>
    <n v="0.95344668275398603"/>
    <n v="0.87089735170138605"/>
    <n v="0.99200279491722099"/>
    <n v="0.93440344553729604"/>
    <n v="0.99600139745861005"/>
    <n v="0.96883686388905799"/>
    <n v="0.99777303897611302"/>
  </r>
  <r>
    <s v="N"/>
    <s v="Maranhão IV"/>
    <s v="TÉRMICA"/>
    <x v="1"/>
    <x v="23"/>
    <n v="0.82401693435047396"/>
    <n v="0.91579961018605804"/>
    <n v="0.98612516844704801"/>
    <n v="0.96668507776036205"/>
    <n v="0.98612516844704801"/>
    <n v="0.97475896890163805"/>
    <n v="0.98612516844704801"/>
  </r>
  <r>
    <s v="N"/>
    <s v="Maranhão V"/>
    <s v="TÉRMICA"/>
    <x v="1"/>
    <x v="24"/>
    <n v="0.80893696326164299"/>
    <n v="0.95287918965090701"/>
    <n v="0.98065584897412095"/>
    <n v="0.96144399514526802"/>
    <n v="0.98256265422689504"/>
    <n v="0.98506479686628201"/>
    <n v="0.98256265422689504"/>
  </r>
  <r>
    <s v="N"/>
    <s v="Mauá 3"/>
    <s v="TÉRMICA"/>
    <x v="1"/>
    <x v="25"/>
    <n v="0.85371446898226899"/>
    <n v="0.78376793966978198"/>
    <n v="0.975973241872928"/>
    <n v="0.82249081219012499"/>
    <n v="0.98601542605675097"/>
    <n v="0.82292982914266299"/>
    <n v="0.98891241217470205"/>
  </r>
  <r>
    <s v="N"/>
    <s v="Monte Cristo"/>
    <s v="TÉRMICA"/>
    <x v="4"/>
    <x v="26"/>
    <n v="0.70597014925373103"/>
    <n v="0.86914422860571505"/>
    <n v="0.76589664741618502"/>
    <n v="0.90134253356333904"/>
    <n v="0.83510837770944202"/>
    <n v="0.96077401935048301"/>
    <n v="0.96132903322582997"/>
  </r>
  <r>
    <s v="N"/>
    <s v="Monte Cristo II"/>
    <s v="TÉRMICA"/>
    <x v="4"/>
    <x v="27"/>
    <n v="0.92430011987871097"/>
    <n v="0.99457019956279502"/>
    <n v="0.99457019956279502"/>
    <n v="0.995363514561737"/>
    <n v="0.99783160566955698"/>
    <n v="0.998536774557506"/>
    <n v="0.999999999999999"/>
  </r>
  <r>
    <s v="N"/>
    <s v="Monte Cristo Sucuba"/>
    <s v="TÉRMICA"/>
    <x v="5"/>
    <x v="28"/>
    <n v="0.90610340806012701"/>
    <n v="0.97484773875858399"/>
    <n v="0.99543864195930998"/>
    <n v="0.99460930413373005"/>
    <n v="1"/>
    <n v="0.99909291175327097"/>
    <n v="1"/>
  </r>
  <r>
    <s v="N"/>
    <s v="Novo Paraíso"/>
    <s v="TÉRMICA"/>
    <x v="4"/>
    <x v="29"/>
    <n v="1"/>
    <n v="1"/>
    <n v="1"/>
    <n v="1"/>
    <n v="1"/>
    <n v="1"/>
    <n v="1"/>
  </r>
  <r>
    <s v="N"/>
    <s v="PQU ACRAC FOTOV MMGD"/>
    <s v="FOTOVOLTAICA"/>
    <x v="6"/>
    <x v="30"/>
    <n v="0.64880430603613903"/>
    <n v="0.750222991157247"/>
    <n v="0.75329873125720803"/>
    <n v="0.920392156862745"/>
    <n v="0.914986543637062"/>
    <n v="0.98149942329873097"/>
    <n v="0.99207612456747396"/>
  </r>
  <r>
    <s v="N"/>
    <s v="PQU MAMA FOTOV MMGD"/>
    <s v="FOTOVOLTAICA"/>
    <x v="6"/>
    <x v="31"/>
    <n v="0.757892457044819"/>
    <n v="0.74655721553605803"/>
    <n v="0.84512863197411203"/>
    <n v="0.91217608439004905"/>
    <n v="0.925517458106489"/>
    <n v="0.994985518817044"/>
    <n v="0.98919219629859201"/>
  </r>
  <r>
    <s v="N"/>
    <s v="PQU MAMA TERM - CARGA GLOBAL"/>
    <s v="TÉRMICA"/>
    <x v="7"/>
    <x v="32"/>
    <n v="0.99925686471221997"/>
    <n v="0.99925686471221997"/>
    <n v="0.99925686471221997"/>
    <n v="0.99925686471221997"/>
    <n v="0.99925686471221997"/>
    <n v="0.99925686471221997"/>
    <n v="0.99925686471221997"/>
  </r>
  <r>
    <s v="N"/>
    <s v="PQU MATO FOTOV MMGD"/>
    <s v="FOTOVOLTAICA"/>
    <x v="6"/>
    <x v="33"/>
    <n v="0.733986638424454"/>
    <n v="0.749006854809106"/>
    <n v="0.81148459231423897"/>
    <n v="0.93476375244377596"/>
    <n v="0.91379282216379198"/>
    <n v="0.99936645358116805"/>
    <n v="0.99050632050922904"/>
  </r>
  <r>
    <s v="N"/>
    <s v="PQU MMAM FOTOV MMGD"/>
    <s v="FOTOVOLTAICA"/>
    <x v="6"/>
    <x v="34"/>
    <n v="0.66028537248251995"/>
    <n v="0.79233838184394501"/>
    <n v="0.78455945550419304"/>
    <n v="0.94738553741085696"/>
    <n v="0.92962089711723805"/>
    <n v="0.99560675044716496"/>
    <n v="0.99574322283909"/>
  </r>
  <r>
    <s v="N"/>
    <s v="PQU MMAP FOTOV MMGD"/>
    <s v="FOTOVOLTAICA"/>
    <x v="6"/>
    <x v="35"/>
    <n v="0.69232575257627205"/>
    <n v="0.78401822427534396"/>
    <n v="0.77726661251840201"/>
    <n v="0.92222320929996404"/>
    <n v="0.91986268338494304"/>
    <n v="0.99577389715213904"/>
    <n v="1"/>
  </r>
  <r>
    <s v="N"/>
    <s v="PQU MMPA FOTOV MMGD"/>
    <s v="FOTOVOLTAICA"/>
    <x v="6"/>
    <x v="36"/>
    <n v="0.99622926499755904"/>
    <n v="0.99789754589792501"/>
    <n v="0.99622926499755904"/>
    <n v="0.99989226471421599"/>
    <n v="0.99622926499755904"/>
    <n v="1"/>
    <n v="0.99829993719032795"/>
  </r>
  <r>
    <s v="N"/>
    <s v="PQU PA TERM - CARGA GLOBAL"/>
    <s v="TÉRMICA"/>
    <x v="7"/>
    <x v="29"/>
    <n v="1"/>
    <n v="1"/>
    <n v="1"/>
    <n v="1"/>
    <n v="1"/>
    <n v="1"/>
    <n v="1"/>
  </r>
  <r>
    <s v="N"/>
    <s v="PQU PAPA FOTOV MMGD"/>
    <s v="FOTOVOLTAICA"/>
    <x v="6"/>
    <x v="37"/>
    <n v="0.746227363624406"/>
    <n v="0.74454419596976096"/>
    <n v="0.83021185618837201"/>
    <n v="0.93048350384230305"/>
    <n v="0.93082403875521302"/>
    <n v="0.99842662838110396"/>
    <n v="0.99519684144114795"/>
  </r>
  <r>
    <s v="N"/>
    <s v="PQU PATR FOTOV MMGD"/>
    <s v="FOTOVOLTAICA"/>
    <x v="6"/>
    <x v="38"/>
    <n v="0.61734972333476001"/>
    <n v="0.73969957261727803"/>
    <n v="0.72037498845478898"/>
    <n v="0.92818458903246903"/>
    <n v="0.89798651519349704"/>
    <n v="0.99835008438499695"/>
    <n v="0.99474797853850205"/>
  </r>
  <r>
    <s v="N"/>
    <s v="PQU RRRR FOTOV MMGD"/>
    <s v="FOTOVOLTAICA"/>
    <x v="6"/>
    <x v="39"/>
    <n v="0.70845538916417905"/>
    <n v="0.83618966791688298"/>
    <n v="0.80790237358666095"/>
    <n v="0.92040134694883202"/>
    <n v="0.91468639636433302"/>
    <n v="0.99767979850521504"/>
    <n v="1"/>
  </r>
  <r>
    <s v="N"/>
    <s v="PQU TO NORTE FOTOV - CARGA GLOBAL"/>
    <s v="FOTOVOLTAICA"/>
    <x v="6"/>
    <x v="40"/>
    <n v="0.875"/>
    <n v="0.9375"/>
    <n v="1"/>
    <n v="1"/>
    <n v="1"/>
    <n v="1"/>
    <n v="1"/>
  </r>
  <r>
    <s v="N"/>
    <s v="PQU TO NORTE HIDRA - CARGA GLOBAL"/>
    <s v="HIDROELÉTRICA"/>
    <x v="0"/>
    <x v="41"/>
    <n v="0.91750602409638504"/>
    <n v="0.92353012048192695"/>
    <n v="0.92353012048192695"/>
    <n v="0.91750602409638504"/>
    <n v="0.92353012048192695"/>
    <n v="0.92353012048192695"/>
    <n v="0.92955421686746897"/>
  </r>
  <r>
    <s v="N"/>
    <s v="PQU TO NORTE TER - CARGA GLOBAL"/>
    <s v="TÉRMICA"/>
    <x v="7"/>
    <x v="42"/>
    <n v="0.99958064516128997"/>
    <n v="0.98345161290322503"/>
    <n v="0.99958064516128997"/>
    <n v="0.98345161290322503"/>
    <n v="0.99151612903225805"/>
    <n v="0.98345161290322503"/>
    <n v="0.98345161290322503"/>
  </r>
  <r>
    <s v="N"/>
    <s v="Palmaplan"/>
    <s v="TÉRMICA"/>
    <x v="8"/>
    <x v="43"/>
    <n v="0.96329166666666599"/>
    <n v="0.98399999999999999"/>
    <n v="1"/>
    <n v="1"/>
    <n v="1"/>
    <n v="1"/>
    <n v="1"/>
  </r>
  <r>
    <s v="N"/>
    <s v="Parnaíba IV"/>
    <s v="TÉRMICA"/>
    <x v="1"/>
    <x v="44"/>
    <n v="0.95760746406061803"/>
    <n v="0.99571560087812405"/>
    <n v="0.99571560087812405"/>
    <n v="0.99571560087812405"/>
    <n v="0.99571560087812405"/>
    <n v="0.99571560087812405"/>
    <n v="0.99726471213086798"/>
  </r>
  <r>
    <s v="N"/>
    <s v="Parnaíba V"/>
    <s v="TÉRMICA"/>
    <x v="1"/>
    <x v="45"/>
    <n v="0.96198817971302697"/>
    <n v="0.85155649730281502"/>
    <n v="0.99892458252798799"/>
    <n v="0.90218087750875298"/>
    <n v="0.99892458252798799"/>
    <n v="0.99292138684986397"/>
    <n v="0.99892458252798799"/>
  </r>
  <r>
    <s v="N"/>
    <s v="Pau Rainha"/>
    <s v="TÉRMICA"/>
    <x v="2"/>
    <x v="46"/>
    <n v="0.95795880149812696"/>
    <n v="0.98787453183520602"/>
    <n v="0.98707865168539299"/>
    <n v="0.99049625468164704"/>
    <n v="0.98707865168539299"/>
    <n v="0.992041198501872"/>
    <n v="0.98721910112359501"/>
  </r>
  <r>
    <s v="N"/>
    <s v="Pimental"/>
    <s v="HIDROELÉTRICA"/>
    <x v="0"/>
    <x v="47"/>
    <n v="0.988025569655267"/>
    <n v="0.86416012586010105"/>
    <n v="0.99845484250198802"/>
    <n v="0.92203978078213"/>
    <n v="0.99873578022889897"/>
    <n v="0.99892811451886099"/>
    <n v="0.99894972511323898"/>
  </r>
  <r>
    <s v="N"/>
    <s v="Ponta Negra"/>
    <s v="TÉRMICA"/>
    <x v="1"/>
    <x v="48"/>
    <n v="0.91207312866505597"/>
    <n v="0.94129699896515995"/>
    <n v="0.94451190065539803"/>
    <n v="0.94467057606071003"/>
    <n v="0.94476026215936504"/>
    <n v="0.94449810279406698"/>
    <n v="0.94456709210072398"/>
  </r>
  <r>
    <s v="N"/>
    <s v="Porto do Itaqui"/>
    <s v="TÉRMICA"/>
    <x v="9"/>
    <x v="49"/>
    <n v="0.97243545776290097"/>
    <n v="0.89824000658454195"/>
    <n v="0.99124255809487205"/>
    <n v="0.99583939202721605"/>
    <n v="0.997696781804713"/>
    <n v="0.99603967187028397"/>
    <n v="0.99820571209086595"/>
  </r>
  <r>
    <s v="N"/>
    <s v="Santa Luz"/>
    <s v="TÉRMICA"/>
    <x v="2"/>
    <x v="50"/>
    <n v="0.92129715666233003"/>
    <n v="0.98332094406244097"/>
    <n v="0.987316483924921"/>
    <n v="0.98805984017840498"/>
    <n v="0.987316483924921"/>
    <n v="0.98917487455863196"/>
    <n v="0.987316483924921"/>
  </r>
  <r>
    <s v="N"/>
    <s v="Santana"/>
    <s v="TÉRMICA"/>
    <x v="4"/>
    <x v="0"/>
    <n v="0"/>
    <n v="0"/>
    <n v="0"/>
    <n v="0"/>
    <n v="0"/>
    <n v="0"/>
    <n v="0"/>
  </r>
  <r>
    <s v="N"/>
    <s v="Santo Antônio do Jari"/>
    <s v="HIDROELÉTRICA"/>
    <x v="0"/>
    <x v="51"/>
    <n v="0.96911858505165405"/>
    <n v="0.979770954452298"/>
    <n v="0.98482919611861597"/>
    <n v="0.98639502906855103"/>
    <n v="0.98518078966079703"/>
    <n v="0.98572190388556602"/>
    <n v="0.985889204901919"/>
  </r>
  <r>
    <s v="N"/>
    <s v="Suzano Maranhão"/>
    <s v="TÉRMICA"/>
    <x v="10"/>
    <x v="52"/>
    <n v="0.92563744426688099"/>
    <n v="0.75316782222445899"/>
    <n v="0.95799515965991699"/>
    <n v="0.94471148804805005"/>
    <n v="0.97429250921719801"/>
    <n v="0.98859751775280702"/>
    <n v="0.97125366485887898"/>
  </r>
  <r>
    <s v="N"/>
    <s v="Tambaqui"/>
    <s v="TÉRMICA"/>
    <x v="1"/>
    <x v="53"/>
    <n v="0.87448222896496097"/>
    <n v="0.89092500031475397"/>
    <n v="0.89835320482959102"/>
    <n v="0.90218691376987603"/>
    <n v="0.89911491054679105"/>
    <n v="0.90387399750714403"/>
    <n v="0.89911491054679105"/>
  </r>
  <r>
    <s v="N"/>
    <s v="Tucuruí"/>
    <s v="HIDROELÉTRICA"/>
    <x v="0"/>
    <x v="54"/>
    <n v="0.62998786880684099"/>
    <n v="0.64016724805116498"/>
    <n v="0.69194730732965704"/>
    <n v="0.71592276612267902"/>
    <n v="0.74265670635749903"/>
    <n v="0.74479345375651196"/>
    <n v="0.74292146126416003"/>
  </r>
  <r>
    <s v="NE"/>
    <s v="Alegria I"/>
    <s v="EOLIELÉTRICA"/>
    <x v="3"/>
    <x v="55"/>
    <n v="0.78486051614251295"/>
    <n v="0.89045031867098501"/>
    <n v="0.84913802110542203"/>
    <n v="0.94020478528889295"/>
    <n v="0.89055480096123696"/>
    <n v="0.95057987671089705"/>
    <n v="0.933883606728659"/>
  </r>
  <r>
    <s v="NE"/>
    <s v="Alegria II"/>
    <s v="EOLIELÉTRICA"/>
    <x v="3"/>
    <x v="56"/>
    <n v="0.81554866934013803"/>
    <n v="0.93075707862437695"/>
    <n v="0.87156398104265398"/>
    <n v="0.98307206221898102"/>
    <n v="0.89956252278527105"/>
    <n v="0.99526673957953504"/>
    <n v="0.92094422165512202"/>
  </r>
  <r>
    <s v="NE"/>
    <s v="Altos"/>
    <s v="TÉRMICA"/>
    <x v="5"/>
    <x v="0"/>
    <n v="0"/>
    <n v="0"/>
    <n v="0"/>
    <n v="0"/>
    <n v="0"/>
    <n v="0"/>
    <n v="0"/>
  </r>
  <r>
    <s v="NE"/>
    <s v="Apoena"/>
    <s v="TÉRMICA"/>
    <x v="4"/>
    <x v="0"/>
    <n v="0"/>
    <n v="0"/>
    <n v="0"/>
    <n v="0"/>
    <n v="0"/>
    <n v="0"/>
    <n v="0"/>
  </r>
  <r>
    <s v="NE"/>
    <s v="Apolônio Sales"/>
    <s v="HIDROELÉTRICA"/>
    <x v="0"/>
    <x v="57"/>
    <n v="0.83801103370451901"/>
    <n v="0.98474049635997396"/>
    <n v="0.91241409304986298"/>
    <n v="1"/>
    <n v="0.98705224553127102"/>
    <n v="1"/>
    <n v="1"/>
  </r>
  <r>
    <s v="NE"/>
    <s v="Assú V"/>
    <s v="FOTOVOLTAICA"/>
    <x v="6"/>
    <x v="58"/>
    <n v="0.87726028221560304"/>
    <n v="0.94163131449890103"/>
    <n v="0.95795348557330595"/>
    <n v="0.98376808977946195"/>
    <n v="0.98743869783674798"/>
    <n v="0.99165087101723903"/>
    <n v="1"/>
  </r>
  <r>
    <s v="NE"/>
    <s v="Baixa do Sítio"/>
    <s v="EOLIELÉTRICA"/>
    <x v="3"/>
    <x v="59"/>
    <n v="0.83221879848772895"/>
    <n v="0.88362944994427295"/>
    <n v="0.83221879848772895"/>
    <n v="0.940197556764789"/>
    <n v="0.85503398238597805"/>
    <n v="0.95026115081186202"/>
    <n v="0.89410826285539402"/>
  </r>
  <r>
    <s v="NE"/>
    <s v="Baturité"/>
    <s v="TÉRMICA"/>
    <x v="5"/>
    <x v="0"/>
    <n v="0"/>
    <n v="0"/>
    <n v="0"/>
    <n v="0"/>
    <n v="0"/>
    <n v="0"/>
    <n v="0"/>
  </r>
  <r>
    <s v="NE"/>
    <s v="Boa Esperança"/>
    <s v="HIDROELÉTRICA"/>
    <x v="0"/>
    <x v="60"/>
    <n v="0.53360261621274396"/>
    <n v="0.59192447122250402"/>
    <n v="0.57942436559375998"/>
    <n v="0.59194559697141202"/>
    <n v="0.59142167839849902"/>
    <n v="0.592120940687347"/>
    <n v="0.59121887120898398"/>
  </r>
  <r>
    <s v="NE"/>
    <s v="CSP"/>
    <s v="TÉRMICA"/>
    <x v="10"/>
    <x v="61"/>
    <n v="0.79454938580787204"/>
    <n v="0.88208850119267801"/>
    <n v="0.88208850119267801"/>
    <n v="0.88225959225775696"/>
    <n v="0.88225959225775696"/>
    <n v="0.88225959225775696"/>
    <n v="0.88309025177661904"/>
  </r>
  <r>
    <s v="NE"/>
    <s v="Camaçari Muricy II"/>
    <s v="TÉRMICA"/>
    <x v="4"/>
    <x v="62"/>
    <n v="0.78787367638351402"/>
    <n v="0.99420982333420505"/>
    <n v="0.99985197526954195"/>
    <n v="1"/>
    <n v="0.99985197526954195"/>
    <n v="1"/>
    <n v="1"/>
  </r>
  <r>
    <s v="NE"/>
    <s v="Campina Grande"/>
    <s v="TÉRMICA"/>
    <x v="4"/>
    <x v="63"/>
    <n v="0.86699210114360103"/>
    <n v="0.95781998733314999"/>
    <n v="0.99813880955510603"/>
    <n v="1"/>
    <n v="0.99925910877956103"/>
    <n v="1"/>
    <n v="0.99969527861094798"/>
  </r>
  <r>
    <s v="NE"/>
    <s v="Campo Maior"/>
    <s v="TÉRMICA"/>
    <x v="5"/>
    <x v="0"/>
    <n v="0"/>
    <n v="0"/>
    <n v="0"/>
    <n v="0"/>
    <n v="0"/>
    <n v="0"/>
    <n v="0"/>
  </r>
  <r>
    <s v="NE"/>
    <s v="Cataventos Acaraú I"/>
    <s v="EOLIELÉTRICA"/>
    <x v="3"/>
    <x v="64"/>
    <n v="0.89627491300221396"/>
    <n v="0.92197880417589295"/>
    <n v="0.90916640303701302"/>
    <n v="0.92711958241062897"/>
    <n v="0.84741774754824395"/>
    <n v="0.91930955393862701"/>
    <n v="0.82189180639038195"/>
  </r>
  <r>
    <s v="NE"/>
    <s v="Caucaia"/>
    <s v="TÉRMICA"/>
    <x v="5"/>
    <x v="0"/>
    <n v="0"/>
    <n v="0"/>
    <n v="0"/>
    <n v="0"/>
    <n v="0"/>
    <n v="0"/>
    <n v="0"/>
  </r>
  <r>
    <s v="NE"/>
    <s v="Conj. Abaiara 230 kV"/>
    <s v="FOTOVOLTAICA"/>
    <x v="6"/>
    <x v="65"/>
    <n v="0.91356367456519205"/>
    <n v="0.96993358849440603"/>
    <n v="0.98517874586080001"/>
    <n v="0.99908154300774599"/>
    <n v="0.999616029685513"/>
    <n v="0.999382575734304"/>
    <n v="1"/>
  </r>
  <r>
    <s v="NE"/>
    <s v="Conj. Abil I"/>
    <s v="EOLIELÉTRICA"/>
    <x v="3"/>
    <x v="66"/>
    <n v="0.86502828706857005"/>
    <n v="0.91486078870185294"/>
    <n v="0.90883501758385299"/>
    <n v="0.95886907326837201"/>
    <n v="0.939575485467257"/>
    <n v="0.93872061828442699"/>
    <n v="0.939575485467257"/>
  </r>
  <r>
    <s v="NE"/>
    <s v="Conj. Abil II"/>
    <s v="EOLIELÉTRICA"/>
    <x v="3"/>
    <x v="67"/>
    <n v="0.89331634595671106"/>
    <n v="0.972498023020824"/>
    <n v="0.984081656562106"/>
    <n v="0.98014234250065901"/>
    <n v="0.98009840963008499"/>
    <n v="0.98014234250065901"/>
    <n v="0.98014234250065901"/>
  </r>
  <r>
    <s v="NE"/>
    <s v="Conj. Acaraú II"/>
    <s v="EOLIELÉTRICA"/>
    <x v="3"/>
    <x v="68"/>
    <n v="0.83168798972951397"/>
    <n v="0.98411468708958605"/>
    <n v="0.93718919237977105"/>
    <n v="0.99279147667743906"/>
    <n v="0.93600867678958699"/>
    <n v="0.99257013000427896"/>
    <n v="0.95217436215267004"/>
  </r>
  <r>
    <s v="NE"/>
    <s v="Conj. Acauã"/>
    <s v="EOLIELÉTRICA"/>
    <x v="3"/>
    <x v="69"/>
    <n v="0.75136678116986799"/>
    <n v="0.88872224103730202"/>
    <n v="0.86236876481687497"/>
    <n v="0.93098359862596103"/>
    <n v="0.933310755237312"/>
    <n v="0.94329188639992201"/>
    <n v="0.93638782718080205"/>
  </r>
  <r>
    <s v="NE"/>
    <s v="Conj. Afonso Bezerra"/>
    <s v="EOLIELÉTRICA"/>
    <x v="3"/>
    <x v="70"/>
    <n v="0.93106196647928297"/>
    <n v="0.97717247033104304"/>
    <n v="0.97345734436810305"/>
    <n v="0.97707162190297703"/>
    <n v="0.97632664480533005"/>
    <n v="0.98836664584634604"/>
    <n v="0.97691872267332902"/>
  </r>
  <r>
    <s v="NE"/>
    <s v="Conj. Alex"/>
    <s v="FOTOVOLTAICA"/>
    <x v="6"/>
    <x v="71"/>
    <n v="0.92766143701274695"/>
    <n v="0.97275329977648695"/>
    <n v="0.97418658132751601"/>
    <n v="0.99921429622108704"/>
    <n v="0.99888602272441895"/>
    <n v="1"/>
    <n v="0.99888602272441895"/>
  </r>
  <r>
    <s v="NE"/>
    <s v="Conj. Amazonas"/>
    <s v="EOLIELÉTRICA"/>
    <x v="3"/>
    <x v="72"/>
    <n v="0.87581785255286804"/>
    <n v="0.95919917213292605"/>
    <n v="0.92658521522874804"/>
    <n v="0.97024852703086095"/>
    <n v="0.97787834026004306"/>
    <n v="0.97198020463004697"/>
    <n v="0.97740265050990605"/>
  </r>
  <r>
    <s v="NE"/>
    <s v="Conj. Anemus"/>
    <s v="EOLIELÉTRICA"/>
    <x v="3"/>
    <x v="73"/>
    <n v="0.89193717432059405"/>
    <n v="0.93963582953220204"/>
    <n v="0.89193717432059405"/>
    <n v="0.95908064301846696"/>
    <n v="0.92288502133061701"/>
    <n v="0.964841385825841"/>
    <n v="0.93044668821870902"/>
  </r>
  <r>
    <s v="NE"/>
    <s v="Conj. Aracati II"/>
    <s v="EOLIELÉTRICA"/>
    <x v="3"/>
    <x v="74"/>
    <n v="0.74531541370775001"/>
    <n v="0.82778273248854195"/>
    <n v="0.82749180882977103"/>
    <n v="0.90267411304053302"/>
    <n v="0.82778273248854195"/>
    <n v="0.93205978719649696"/>
    <n v="0.97814734091006605"/>
  </r>
  <r>
    <s v="NE"/>
    <s v="Conj. Araripe III"/>
    <s v="EOLIELÉTRICA"/>
    <x v="3"/>
    <x v="75"/>
    <n v="0.77831842350704294"/>
    <n v="0.94298528410641502"/>
    <n v="0.92207204100177198"/>
    <n v="0.96436636487138905"/>
    <n v="0.93980788666332704"/>
    <n v="0.99171537476495597"/>
    <n v="0.91739216491877296"/>
  </r>
  <r>
    <s v="NE"/>
    <s v="Conj. Araçás"/>
    <s v="EOLIELÉTRICA"/>
    <x v="3"/>
    <x v="76"/>
    <n v="0.90339204052730404"/>
    <n v="0.99218277215245099"/>
    <n v="1"/>
    <n v="0.99377990729129595"/>
    <n v="1"/>
    <n v="1"/>
    <n v="1"/>
  </r>
  <r>
    <s v="NE"/>
    <s v="Conj. Areia Branca"/>
    <s v="EOLIELÉTRICA"/>
    <x v="3"/>
    <x v="77"/>
    <n v="0.820816837268456"/>
    <n v="0.91960860735604799"/>
    <n v="0.92052144659377599"/>
    <n v="0.98315862889495098"/>
    <n v="0.92052144659377599"/>
    <n v="0.99178444686044798"/>
    <n v="0.92052144659377599"/>
  </r>
  <r>
    <s v="NE"/>
    <s v="Conj. Arizona"/>
    <s v="EOLIELÉTRICA"/>
    <x v="3"/>
    <x v="78"/>
    <n v="0.88005612028801306"/>
    <n v="0.85795434491034805"/>
    <n v="0.91381653254270701"/>
    <n v="0.87498897006917897"/>
    <n v="0.97633859240434795"/>
    <n v="0.95307426231822601"/>
    <n v="0.97064273612875895"/>
  </r>
  <r>
    <s v="NE"/>
    <s v="Conj. Asa Branca"/>
    <s v="EOLIELÉTRICA"/>
    <x v="3"/>
    <x v="79"/>
    <n v="0.75294177134725504"/>
    <n v="0.84902880010401804"/>
    <n v="0.91182992985979106"/>
    <n v="0.88420003322811003"/>
    <n v="0.94220836914986605"/>
    <n v="0.91862724560630404"/>
    <n v="0.93231578263036596"/>
  </r>
  <r>
    <s v="NE"/>
    <s v="Conj. Assu Sol"/>
    <s v="FOTOVOLTAICA"/>
    <x v="6"/>
    <x v="80"/>
    <n v="0.82552132568908698"/>
    <n v="0.94491429514849501"/>
    <n v="0.93497775162235996"/>
    <n v="0.988010374587586"/>
    <n v="0.99476610577499103"/>
    <n v="0.988010374587586"/>
    <n v="1"/>
  </r>
  <r>
    <s v="NE"/>
    <s v="Conj. Aventura"/>
    <s v="EOLIELÉTRICA"/>
    <x v="3"/>
    <x v="81"/>
    <n v="0.82364083831523005"/>
    <n v="0.93157440871258701"/>
    <n v="0.98982627147383395"/>
    <n v="0.97443487360353398"/>
    <n v="0.98982627147383395"/>
    <n v="0.96871336246572404"/>
    <n v="0.98982627147383395"/>
  </r>
  <r>
    <s v="NE"/>
    <s v="Conj. Açú III 230 kV"/>
    <s v="FOTOVOLTAICA"/>
    <x v="6"/>
    <x v="82"/>
    <n v="0.84840784796435698"/>
    <n v="0.96041285306675594"/>
    <n v="0.93549368818574097"/>
    <n v="0.997371868699782"/>
    <n v="0.99055999674170503"/>
    <n v="1"/>
    <n v="0.99787871451230803"/>
  </r>
  <r>
    <s v="NE"/>
    <s v="Conj. BJL"/>
    <s v="FOTOVOLTAICA"/>
    <x v="6"/>
    <x v="83"/>
    <n v="0.92744805998030899"/>
    <n v="0.98463888117537102"/>
    <n v="0.97243329210107798"/>
    <n v="0.99115189458006203"/>
    <n v="0.99060914346300399"/>
    <n v="0.99762704162774796"/>
    <n v="0.99659202786963796"/>
  </r>
  <r>
    <s v="NE"/>
    <s v="Conj. BW Guirapá I"/>
    <s v="EOLIELÉTRICA"/>
    <x v="3"/>
    <x v="84"/>
    <n v="0.95095547342279796"/>
    <n v="0.98410847742191199"/>
    <n v="0.99980179318868101"/>
    <n v="0.98850400494351098"/>
    <n v="1"/>
    <n v="0.98864391563385301"/>
    <n v="0.99960358637736202"/>
  </r>
  <r>
    <s v="NE"/>
    <s v="Conj. BW Guirapá II"/>
    <s v="EOLIELÉTRICA"/>
    <x v="3"/>
    <x v="85"/>
    <n v="0.94164129149155695"/>
    <n v="0.97282759141354402"/>
    <n v="0.999005964214711"/>
    <n v="0.97918816216624205"/>
    <n v="1"/>
    <n v="0.98714044844854898"/>
    <n v="0.99763444648564303"/>
  </r>
  <r>
    <s v="NE"/>
    <s v="Conj. Babilônia"/>
    <s v="EOLIELÉTRICA"/>
    <x v="3"/>
    <x v="86"/>
    <n v="0.88779651453002495"/>
    <n v="0.96423739971496902"/>
    <n v="0.98053620389058904"/>
    <n v="0.991434627543749"/>
    <n v="0.98613552676317195"/>
    <n v="0.99131164500003599"/>
    <n v="0.990291613313945"/>
  </r>
  <r>
    <s v="NE"/>
    <s v="Conj. Babilônia Centro"/>
    <s v="EOLIELÉTRICA"/>
    <x v="3"/>
    <x v="87"/>
    <n v="0.74419090405622101"/>
    <n v="0.89567976090443802"/>
    <n v="0.80154543197616601"/>
    <n v="0.95279199450003804"/>
    <n v="0.82851887747307296"/>
    <n v="0.88781772782827895"/>
    <n v="0.86147329272018902"/>
  </r>
  <r>
    <s v="NE"/>
    <s v="Conj. Babilônia Sul"/>
    <s v="EOLIELÉTRICA"/>
    <x v="3"/>
    <x v="88"/>
    <n v="0.95749394283390599"/>
    <n v="0.92490102392933504"/>
    <n v="0.96048158000259698"/>
    <n v="0.93528433382468301"/>
    <n v="0.99691070409966998"/>
    <n v="0.973036433359877"/>
    <n v="0.99691070409966998"/>
  </r>
  <r>
    <s v="NE"/>
    <s v="Conj. Baixa do Feijão"/>
    <s v="EOLIELÉTRICA"/>
    <x v="3"/>
    <x v="89"/>
    <n v="0.74207390224354897"/>
    <n v="0.81675270176766002"/>
    <n v="0.83819261574915205"/>
    <n v="0.86269146335999802"/>
    <n v="0.92015909441626398"/>
    <n v="0.87672920597151605"/>
    <n v="0.86935441317755702"/>
  </r>
  <r>
    <s v="NE"/>
    <s v="Conj. Banabuiu"/>
    <s v="FOTOVOLTAICA"/>
    <x v="6"/>
    <x v="90"/>
    <n v="0.81528472222222204"/>
    <n v="0.97010069444444402"/>
    <n v="1"/>
    <n v="0.99797222222222204"/>
    <n v="1"/>
    <n v="0.99797222222222204"/>
    <n v="1"/>
  </r>
  <r>
    <s v="NE"/>
    <s v="Conj. Banabuiú"/>
    <s v="FOTOVOLTAICA"/>
    <x v="6"/>
    <x v="91"/>
    <n v="0.81977978835412302"/>
    <n v="0.96041231686207296"/>
    <n v="0.96200724521298397"/>
    <n v="0.99682575798133299"/>
    <n v="0.99939771936399102"/>
    <n v="0.99960294091403801"/>
    <n v="0.999999999999999"/>
  </r>
  <r>
    <s v="NE"/>
    <s v="Conj. Barreiras"/>
    <s v="HIDROELÉTRICA"/>
    <x v="0"/>
    <x v="0"/>
    <n v="0"/>
    <n v="0"/>
    <n v="0"/>
    <n v="0"/>
    <n v="0"/>
    <n v="0"/>
    <n v="0"/>
  </r>
  <r>
    <s v="NE"/>
    <s v="Conj. Barreiras II 500 kV"/>
    <s v="FOTOVOLTAICA"/>
    <x v="6"/>
    <x v="92"/>
    <n v="0.79849784858108797"/>
    <n v="0.94322431103370497"/>
    <n v="0.88687634463681997"/>
    <n v="0.945374449339207"/>
    <n v="0.94528480688453997"/>
    <n v="1"/>
    <n v="0.99677543284499504"/>
  </r>
  <r>
    <s v="NE"/>
    <s v="Conj. Belmonte"/>
    <s v="FOTOVOLTAICA"/>
    <x v="6"/>
    <x v="93"/>
    <n v="0.85932883814239702"/>
    <n v="0.96292455190760196"/>
    <n v="0.95229566416007005"/>
    <n v="0.99887949464220605"/>
    <n v="0.99368741741623001"/>
    <n v="1"/>
    <n v="0.99949187661051997"/>
  </r>
  <r>
    <s v="NE"/>
    <s v="Conj. Bloco Sul"/>
    <s v="EOLIELÉTRICA"/>
    <x v="3"/>
    <x v="94"/>
    <n v="0.676681726152351"/>
    <n v="0.79868075466507304"/>
    <n v="0.84982569111003103"/>
    <n v="0.78978476828308897"/>
    <n v="0.93678239974552102"/>
    <n v="0.77648270021879895"/>
    <n v="1"/>
  </r>
  <r>
    <s v="NE"/>
    <s v="Conj. Bom Jesus"/>
    <s v="FOTOVOLTAICA"/>
    <x v="6"/>
    <x v="95"/>
    <n v="0.92976305207537102"/>
    <n v="0.99318733176032603"/>
    <n v="0.97160280482536299"/>
    <n v="0.99827190854408299"/>
    <n v="0.99017147984447096"/>
    <n v="0.999867069888006"/>
    <n v="0.99420923199627798"/>
  </r>
  <r>
    <s v="NE"/>
    <s v="Conj. Bom Nome"/>
    <s v="FOTOVOLTAICA"/>
    <x v="6"/>
    <x v="96"/>
    <n v="0.95029997358723095"/>
    <n v="0.96750600576049905"/>
    <n v="0.97393940156212599"/>
    <n v="0.994352698504534"/>
    <n v="0.98080672142075498"/>
    <n v="1"/>
    <n v="0.98080672142075498"/>
  </r>
  <r>
    <s v="NE"/>
    <s v="Conj. Brisa Potiguar I"/>
    <s v="EOLIELÉTRICA"/>
    <x v="3"/>
    <x v="97"/>
    <n v="0.75745016844469404"/>
    <n v="0.87766002245929198"/>
    <n v="0.84173568220101003"/>
    <n v="0.91545480067377805"/>
    <n v="0.91263335204940998"/>
    <n v="0.90592363840539003"/>
    <n v="0.91658478382930897"/>
  </r>
  <r>
    <s v="NE"/>
    <s v="Conj. Brotas de Macaúbas"/>
    <s v="EOLIELÉTRICA"/>
    <x v="3"/>
    <x v="98"/>
    <n v="0.97151082178408599"/>
    <n v="0.99456579184619998"/>
    <n v="0.99250464767802604"/>
    <n v="0.99456579184619998"/>
    <n v="0.99421449578133803"/>
    <n v="0.992420709680227"/>
    <n v="0.99476475598913106"/>
  </r>
  <r>
    <s v="NE"/>
    <s v="Conj. Brígida"/>
    <s v="FOTOVOLTAICA"/>
    <x v="6"/>
    <x v="99"/>
    <n v="0.97187500000000004"/>
    <n v="1"/>
    <n v="0.98124999999999996"/>
    <n v="1"/>
    <n v="0.99583750000000004"/>
    <n v="1"/>
    <n v="1"/>
  </r>
  <r>
    <s v="NE"/>
    <s v="Conj. Cabeço Preto II"/>
    <s v="EOLIELÉTRICA"/>
    <x v="3"/>
    <x v="100"/>
    <n v="0.77391622330890597"/>
    <n v="0.97732780749429904"/>
    <n v="0.86505671633229597"/>
    <n v="0.97068461130311301"/>
    <n v="0.94409031591929204"/>
    <n v="0.95433654080564401"/>
    <n v="0.91912365737885904"/>
  </r>
  <r>
    <s v="NE"/>
    <s v="Conj. Cacimbas"/>
    <s v="EOLIELÉTRICA"/>
    <x v="3"/>
    <x v="101"/>
    <n v="0.96529056769874"/>
    <n v="0.92554238917654097"/>
    <n v="0.98555559416663696"/>
    <n v="0.95611078291691198"/>
    <n v="0.99913125065156105"/>
    <n v="0.98384126211905298"/>
    <n v="1"/>
  </r>
  <r>
    <s v="NE"/>
    <s v="Conj. Caetité"/>
    <s v="EOLIELÉTRICA"/>
    <x v="3"/>
    <x v="102"/>
    <n v="0.96106933559274099"/>
    <n v="0.99141248323095299"/>
    <n v="0.99202146437901495"/>
    <n v="0.99385723363694101"/>
    <n v="0.99526936383534503"/>
    <n v="0.99460742780484301"/>
    <n v="0.99554296406128595"/>
  </r>
  <r>
    <s v="NE"/>
    <s v="Conj. Caetité 123"/>
    <s v="EOLIELÉTRICA"/>
    <x v="3"/>
    <x v="103"/>
    <n v="0.94312714579338297"/>
    <n v="0.96345118212403402"/>
    <n v="0.98047973911745401"/>
    <n v="0.966637577650449"/>
    <n v="1"/>
    <n v="0.98773094190999999"/>
    <n v="0.99187612672094005"/>
  </r>
  <r>
    <s v="NE"/>
    <s v="Conj. Caetité A"/>
    <s v="EOLIELÉTRICA"/>
    <x v="3"/>
    <x v="104"/>
    <n v="0.93828169127733396"/>
    <n v="0.97792100379246305"/>
    <n v="0.99936456063906998"/>
    <n v="0.97807229887839897"/>
    <n v="1"/>
    <n v="0.98012991204712296"/>
    <n v="1"/>
  </r>
  <r>
    <s v="NE"/>
    <s v="Conj. Caetité Norte"/>
    <s v="EOLIELÉTRICA"/>
    <x v="3"/>
    <x v="105"/>
    <n v="0.928196729902525"/>
    <n v="0.97291426475212195"/>
    <n v="0.98676763441987203"/>
    <n v="0.99674824441882404"/>
    <n v="0.98687506550675996"/>
    <n v="0.99091028194109598"/>
    <n v="0.99947856618802999"/>
  </r>
  <r>
    <s v="NE"/>
    <s v="Conj. Caetés II"/>
    <s v="EOLIELÉTRICA"/>
    <x v="3"/>
    <x v="106"/>
    <n v="0.91236225409072103"/>
    <n v="0.97285748981908704"/>
    <n v="0.95601732873191803"/>
    <n v="0.98513671510954703"/>
    <n v="0.97455760334826302"/>
    <n v="0.98513671510954703"/>
    <n v="0.97747773190169795"/>
  </r>
  <r>
    <s v="NE"/>
    <s v="Conj. Caju"/>
    <s v="EOLIELÉTRICA"/>
    <x v="3"/>
    <x v="107"/>
    <n v="0.76534460260262605"/>
    <n v="0.89861078094189095"/>
    <n v="0.84202357721769605"/>
    <n v="0.90033383671074996"/>
    <n v="0.882828787259477"/>
    <n v="0.91483914440660996"/>
    <n v="0.93576636218888798"/>
  </r>
  <r>
    <s v="NE"/>
    <s v="Conj. Calango 1"/>
    <s v="EOLIELÉTRICA"/>
    <x v="3"/>
    <x v="108"/>
    <n v="0.90787076092458197"/>
    <n v="0.94519149654125101"/>
    <n v="0.97865699341994195"/>
    <n v="0.94519149654125101"/>
    <n v="0.97865699341994195"/>
    <n v="0.94289691243462104"/>
    <n v="0.99243293403070598"/>
  </r>
  <r>
    <s v="NE"/>
    <s v="Conj. Calango 2"/>
    <s v="EOLIELÉTRICA"/>
    <x v="3"/>
    <x v="109"/>
    <n v="0.85528371543972104"/>
    <n v="0.88243429351788605"/>
    <n v="0.90271042855324202"/>
    <n v="0.89979399817144401"/>
    <n v="0.930179267883389"/>
    <n v="0.91262860647864097"/>
    <n v="0.93294524749152197"/>
  </r>
  <r>
    <s v="NE"/>
    <s v="Conj. Calango 3"/>
    <s v="EOLIELÉTRICA"/>
    <x v="3"/>
    <x v="110"/>
    <n v="0.87611058175169299"/>
    <n v="0.93991269861708404"/>
    <n v="0.94528855811078705"/>
    <n v="0.965588061085215"/>
    <n v="0.94617058535706"/>
    <n v="0.96721047616594902"/>
    <n v="0.946260719528211"/>
  </r>
  <r>
    <s v="NE"/>
    <s v="Conj. Calcário"/>
    <s v="FOTOVOLTAICA"/>
    <x v="6"/>
    <x v="111"/>
    <n v="0.78217107857169799"/>
    <n v="0.81868879730802602"/>
    <n v="0.87914746979361902"/>
    <n v="0.83370961905121899"/>
    <n v="0.99628935471500402"/>
    <n v="0.92472305191122495"/>
    <n v="1"/>
  </r>
  <r>
    <s v="NE"/>
    <s v="Conj. Campo Formoso"/>
    <s v="EOLIELÉTRICA"/>
    <x v="3"/>
    <x v="112"/>
    <n v="0.880974446835882"/>
    <n v="0.91170104444214095"/>
    <n v="0.92068519794404002"/>
    <n v="0.93472693904677095"/>
    <n v="0.95844790898171395"/>
    <n v="0.96843199541494096"/>
    <n v="0.99719835864667605"/>
  </r>
  <r>
    <s v="NE"/>
    <s v="Conj. Campo Largo"/>
    <s v="EOLIELÉTRICA"/>
    <x v="3"/>
    <x v="113"/>
    <n v="0.89902912621359199"/>
    <n v="0.74323300970873696"/>
    <n v="0.89902912621359199"/>
    <n v="0.81650485436893205"/>
    <n v="0.92912621359223302"/>
    <n v="0.87864077669902896"/>
    <n v="0.92912621359223302"/>
  </r>
  <r>
    <s v="NE"/>
    <s v="Conj. Campo Largo 2"/>
    <s v="EOLIELÉTRICA"/>
    <x v="3"/>
    <x v="114"/>
    <n v="0.93775221371581396"/>
    <n v="0.92593996448830795"/>
    <n v="0.96530692247382699"/>
    <n v="0.95363447170594395"/>
    <n v="0.97944674399298903"/>
    <n v="0.98573911589724605"/>
    <n v="0.98520009915602003"/>
  </r>
  <r>
    <s v="NE"/>
    <s v="Conj. Campo dos Ventos"/>
    <s v="EOLIELÉTRICA"/>
    <x v="3"/>
    <x v="115"/>
    <n v="0.64959431181256799"/>
    <n v="0.75189729788289394"/>
    <n v="0.71248310820442295"/>
    <n v="0.73400767471961004"/>
    <n v="0.74096395846756402"/>
    <n v="0.78996869672313397"/>
    <n v="0.73638820624811097"/>
  </r>
  <r>
    <s v="NE"/>
    <s v="Conj. Canudos I"/>
    <s v="EOLIELÉTRICA"/>
    <x v="3"/>
    <x v="116"/>
    <n v="0.96411065498437498"/>
    <n v="0.96309968751914699"/>
    <n v="0.99625227212384804"/>
    <n v="0.99827420705430603"/>
    <n v="0.999382186549026"/>
    <n v="0.99827420705430603"/>
    <n v="0.999382186549026"/>
  </r>
  <r>
    <s v="NE"/>
    <s v="Conj. Carcará II"/>
    <s v="EOLIELÉTRICA"/>
    <x v="3"/>
    <x v="117"/>
    <n v="0.90138183672996197"/>
    <n v="0.97787554195358295"/>
    <n v="1"/>
    <n v="0.98942176160997897"/>
    <n v="1"/>
    <n v="0.99114326122742302"/>
    <n v="1"/>
  </r>
  <r>
    <s v="NE"/>
    <s v="Conj. Carnaúbas"/>
    <s v="EOLIELÉTRICA"/>
    <x v="3"/>
    <x v="118"/>
    <n v="0.82044286946413103"/>
    <n v="0.85624085948925599"/>
    <n v="0.84046761915475998"/>
    <n v="0.88311864851689303"/>
    <n v="0.88924982187722601"/>
    <n v="0.91970412869839102"/>
    <n v="0.93817264784190202"/>
  </r>
  <r>
    <s v="NE"/>
    <s v="Conj. Casa Nova"/>
    <s v="EOLIELÉTRICA"/>
    <x v="3"/>
    <x v="119"/>
    <n v="0.89719113041091103"/>
    <n v="0.892037584696589"/>
    <n v="0.89719113041091103"/>
    <n v="0.95386765494952497"/>
    <n v="0.90412283657145698"/>
    <n v="0.93985450280138205"/>
    <n v="0.955433683974095"/>
  </r>
  <r>
    <s v="NE"/>
    <s v="Conj. Chafariz Norte"/>
    <s v="EOLIELÉTRICA"/>
    <x v="3"/>
    <x v="120"/>
    <n v="0.856845217010478"/>
    <n v="0.89721708776381603"/>
    <n v="0.89524953467852497"/>
    <n v="0.92522976254113798"/>
    <n v="0.92058942866895499"/>
    <n v="0.95246636482491598"/>
    <n v="0.95836902408078795"/>
  </r>
  <r>
    <s v="NE"/>
    <s v="Conj. Chafariz Sul I"/>
    <s v="EOLIELÉTRICA"/>
    <x v="3"/>
    <x v="121"/>
    <n v="0.82665195049576601"/>
    <n v="0.89726423970471103"/>
    <n v="0.92449880581891797"/>
    <n v="0.93676268365057502"/>
    <n v="0.92812477382934"/>
    <n v="0.950774408337555"/>
    <n v="0.94785409278425103"/>
  </r>
  <r>
    <s v="NE"/>
    <s v="Conj. Chafariz Sul II"/>
    <s v="EOLIELÉTRICA"/>
    <x v="3"/>
    <x v="122"/>
    <n v="0.85228106508875701"/>
    <n v="0.849837278106508"/>
    <n v="0.95148224852070995"/>
    <n v="0.89235798816568002"/>
    <n v="0.98180473372780996"/>
    <n v="0.93287278106508797"/>
    <n v="0.99189053254437798"/>
  </r>
  <r>
    <s v="NE"/>
    <s v="Conj. Chapada I"/>
    <s v="EOLIELÉTRICA"/>
    <x v="3"/>
    <x v="123"/>
    <n v="0.81778515143336405"/>
    <n v="0.86490598589126799"/>
    <n v="0.876866125814321"/>
    <n v="0.91680293817242697"/>
    <n v="0.91642455321468397"/>
    <n v="0.96507480379549204"/>
    <n v="0.93883129322981895"/>
  </r>
  <r>
    <s v="NE"/>
    <s v="Conj. Chapada II"/>
    <s v="EOLIELÉTRICA"/>
    <x v="3"/>
    <x v="124"/>
    <n v="0.75198106274430399"/>
    <n v="0.87710221644708097"/>
    <n v="0.88739096166750098"/>
    <n v="0.97496511838447497"/>
    <n v="0.95428378191268404"/>
    <n v="0.981965405958099"/>
    <n v="0.95418259860047505"/>
  </r>
  <r>
    <s v="NE"/>
    <s v="Conj. Chapada III"/>
    <s v="EOLIELÉTRICA"/>
    <x v="3"/>
    <x v="125"/>
    <n v="0.897100011669973"/>
    <n v="0.88178541612431205"/>
    <n v="0.957388888390172"/>
    <n v="0.94773871827787104"/>
    <n v="0.979721177410522"/>
    <n v="0.96307800030521395"/>
    <n v="0.97963140838622198"/>
  </r>
  <r>
    <s v="NE"/>
    <s v="Conj. Chapadinha"/>
    <s v="EOLIELÉTRICA"/>
    <x v="3"/>
    <x v="126"/>
    <n v="0.87795879369901197"/>
    <n v="0.91804306817903403"/>
    <n v="0.87795879369901197"/>
    <n v="0.96047183909453904"/>
    <n v="0.91336877434527997"/>
    <n v="0.99415223302873601"/>
    <n v="0.95048384330826297"/>
  </r>
  <r>
    <s v="NE"/>
    <s v="Conj. Ciranda"/>
    <s v="FOTOVOLTAICA"/>
    <x v="6"/>
    <x v="127"/>
    <n v="0.89520255655799896"/>
    <n v="0.94502620861669095"/>
    <n v="0.96337613749293605"/>
    <n v="0.96659132095325295"/>
    <n v="0.96525458407217601"/>
    <n v="0.96750131530232397"/>
    <n v="1"/>
  </r>
  <r>
    <s v="NE"/>
    <s v="Conj. Cristal"/>
    <s v="EOLIELÉTRICA"/>
    <x v="3"/>
    <x v="128"/>
    <n v="0.94185967379715496"/>
    <n v="0.94203547852913805"/>
    <n v="0.99407935031644801"/>
    <n v="0.99414740376108701"/>
    <n v="0.99903023841390104"/>
    <n v="0.99414740376108701"/>
    <n v="0.99917201642356401"/>
  </r>
  <r>
    <s v="NE"/>
    <s v="Conj. Cristalândia"/>
    <s v="EOLIELÉTRICA"/>
    <x v="3"/>
    <x v="129"/>
    <n v="0.95245463889881998"/>
    <n v="0.99340252949588803"/>
    <n v="0.97749821237039602"/>
    <n v="0.99866486414014999"/>
    <n v="0.96444292992491898"/>
    <n v="0.99866486414014999"/>
    <n v="0.97514636217375705"/>
  </r>
  <r>
    <s v="NE"/>
    <s v="Conj. Cumaru"/>
    <s v="EOLIELÉTRICA"/>
    <x v="3"/>
    <x v="130"/>
    <n v="0.83989785095713199"/>
    <n v="0.925494012130198"/>
    <n v="0.93534851152780696"/>
    <n v="0.93781728501848305"/>
    <n v="0.92759723209045097"/>
    <n v="0.950240956411603"/>
    <n v="0.91489553406855895"/>
  </r>
  <r>
    <s v="NE"/>
    <s v="Conj. Curral Novo do Piaui II 500 kV"/>
    <s v="EOLIELÉTRICA"/>
    <x v="3"/>
    <x v="131"/>
    <n v="0.83771286061283001"/>
    <n v="0.89915829945315395"/>
    <n v="0.92294694775308395"/>
    <n v="0.90169660678642705"/>
    <n v="0.95626750836721297"/>
    <n v="0.92491156515602202"/>
    <n v="0.94729196704205398"/>
  </r>
  <r>
    <s v="NE"/>
    <s v="Conj. Curva dos Ventos"/>
    <s v="EOLIELÉTRICA"/>
    <x v="3"/>
    <x v="132"/>
    <n v="0.97148629588685997"/>
    <n v="0.99557808866694597"/>
    <n v="0.99717912552891297"/>
    <n v="0.99959974078450797"/>
    <n v="0.99919948156901595"/>
    <n v="0.99957115084054404"/>
    <n v="0.99959974078450797"/>
  </r>
  <r>
    <s v="NE"/>
    <s v="Conj. Cutia"/>
    <s v="EOLIELÉTRICA"/>
    <x v="3"/>
    <x v="133"/>
    <n v="0.76229796892732704"/>
    <n v="0.849673228192384"/>
    <n v="0.85996947520838996"/>
    <n v="0.877188588424059"/>
    <n v="0.98112746057214395"/>
    <n v="0.90902242398152799"/>
    <n v="0.93603490783860999"/>
  </r>
  <r>
    <s v="NE"/>
    <s v="Conj. Delfina"/>
    <s v="EOLIELÉTRICA"/>
    <x v="3"/>
    <x v="134"/>
    <n v="0.81081579531975001"/>
    <n v="0.89376595396873904"/>
    <n v="0.901080154415555"/>
    <n v="0.90230407792871903"/>
    <n v="0.90733809210443495"/>
    <n v="0.90931020173780297"/>
    <n v="0.91113979972922698"/>
  </r>
  <r>
    <s v="NE"/>
    <s v="Conj. Eolico Serra do Assurua"/>
    <s v="EOLIELÉTRICA"/>
    <x v="3"/>
    <x v="135"/>
    <n v="0.88980987020996205"/>
    <n v="0.81354420710341102"/>
    <n v="0.92924182855380799"/>
    <n v="0.93768483867350605"/>
    <n v="0.93566300142965197"/>
    <n v="0.94733587026602695"/>
    <n v="0.94791403862865398"/>
  </r>
  <r>
    <s v="NE"/>
    <s v="Conj. Eólico Campo Largo"/>
    <s v="EOLIELÉTRICA"/>
    <x v="3"/>
    <x v="136"/>
    <n v="0.73826567589738601"/>
    <n v="0.86797123264760001"/>
    <n v="0.89669478093963695"/>
    <n v="0.90340795960464804"/>
    <n v="0.94822274787151795"/>
    <n v="0.92562858895021405"/>
    <n v="0.93899362052899404"/>
  </r>
  <r>
    <s v="NE"/>
    <s v="Conj. Eólico Igaporã III 500kV"/>
    <s v="EOLIELÉTRICA"/>
    <x v="3"/>
    <x v="137"/>
    <n v="0.90114957125406603"/>
    <n v="0.86928993868146998"/>
    <n v="0.93828537909848397"/>
    <n v="0.94056819418743798"/>
    <n v="0.97938209789194797"/>
    <n v="0.96436087224701506"/>
    <n v="0.97935790912279397"/>
  </r>
  <r>
    <s v="NE"/>
    <s v="Conj. Eólico Mossoró II 230kV"/>
    <s v="EOLIELÉTRICA"/>
    <x v="3"/>
    <x v="138"/>
    <n v="0.79316836868290097"/>
    <n v="0.85338439382037101"/>
    <n v="0.84372741555380903"/>
    <n v="0.94946190102120898"/>
    <n v="0.86764336213668403"/>
    <n v="0.96061927206074804"/>
    <n v="0.90493584708038699"/>
  </r>
  <r>
    <s v="NE"/>
    <s v="Conj. Eólico Pindaí II 230kV"/>
    <s v="EOLIELÉTRICA"/>
    <x v="3"/>
    <x v="139"/>
    <n v="0.89501266486155995"/>
    <n v="0.82663696974990497"/>
    <n v="0.95272270261352199"/>
    <n v="0.90769693617103797"/>
    <n v="0.96274298580176798"/>
    <n v="0.94662804126512701"/>
    <n v="0.96371832571500604"/>
  </r>
  <r>
    <s v="NE"/>
    <s v="Conj. Eólico Umari"/>
    <s v="EOLIELÉTRICA"/>
    <x v="3"/>
    <x v="140"/>
    <n v="0.79538153521844102"/>
    <n v="0.80081042508232803"/>
    <n v="0.81994644234987901"/>
    <n v="0.86349859549853403"/>
    <n v="0.87583147999656996"/>
    <n v="0.917005814686496"/>
    <n v="0.94016874189953104"/>
  </r>
  <r>
    <s v="NE"/>
    <s v="Conj. FV SJP"/>
    <s v="FOTOVOLTAICA"/>
    <x v="6"/>
    <x v="141"/>
    <n v="0.87543200684543299"/>
    <n v="0.95977474524097905"/>
    <n v="0.91317356951559603"/>
    <n v="0.98812328447442399"/>
    <n v="0.98591741029259705"/>
    <n v="0.99847200151132898"/>
    <n v="0.99933045884405503"/>
  </r>
  <r>
    <s v="NE"/>
    <s v="Conj. Faísa"/>
    <s v="EOLIELÉTRICA"/>
    <x v="3"/>
    <x v="142"/>
    <n v="0.75308609714542496"/>
    <n v="0.96039029590994096"/>
    <n v="0.83293265461843102"/>
    <n v="0.97032015971401897"/>
    <n v="0.93689048928097296"/>
    <n v="0.95009982126245096"/>
    <n v="0.99038371084236598"/>
  </r>
  <r>
    <s v="NE"/>
    <s v="Conj. Filgueira"/>
    <s v="EOLIELÉTRICA"/>
    <x v="3"/>
    <x v="143"/>
    <n v="0.91853511585384096"/>
    <n v="0.99497167351098503"/>
    <n v="0.98689337849584802"/>
    <n v="0.99553370702317001"/>
    <n v="0.99903330235904197"/>
    <n v="0.99766194058931101"/>
    <n v="0.99903330235904197"/>
  </r>
  <r>
    <s v="NE"/>
    <s v="Conj. Floresta"/>
    <s v="FOTOVOLTAICA"/>
    <x v="6"/>
    <x v="144"/>
    <n v="0.913026910871792"/>
    <n v="0.97891107168736402"/>
    <n v="0.93608980285350196"/>
    <n v="0.96933484920416702"/>
    <n v="0.96689238149971202"/>
    <n v="0.99366582544164295"/>
    <n v="1"/>
  </r>
  <r>
    <s v="NE"/>
    <s v="Conj. Folha Larga"/>
    <s v="EOLIELÉTRICA"/>
    <x v="6"/>
    <x v="145"/>
    <n v="0.83307625863770896"/>
    <n v="0.91341577351572401"/>
    <n v="0.96886164386781304"/>
    <n v="0.96976654679640795"/>
    <n v="0.96886164386781304"/>
    <n v="0.98562144502420901"/>
    <n v="0.96886164386781304"/>
  </r>
  <r>
    <s v="NE"/>
    <s v="Conj. Folha Larga Sul"/>
    <s v="EOLIELÉTRICA"/>
    <x v="3"/>
    <x v="146"/>
    <n v="0.91646871992947898"/>
    <n v="0.931864826490993"/>
    <n v="0.93426373907367599"/>
    <n v="0.97243101023491096"/>
    <n v="0.95881474204119499"/>
    <n v="0.97243101023491096"/>
    <n v="0.96990088083494197"/>
  </r>
  <r>
    <s v="NE"/>
    <s v="Conj. Folha de Serra"/>
    <s v="EOLIELÉTRICA"/>
    <x v="3"/>
    <x v="147"/>
    <n v="0.89007170571189997"/>
    <n v="0.950260301556898"/>
    <n v="0.90920141446883695"/>
    <n v="0.98800402730710601"/>
    <n v="0.92120966553705597"/>
    <n v="0.99532193900103105"/>
    <n v="0.92035017926427898"/>
  </r>
  <r>
    <s v="NE"/>
    <s v="Conj. Fotov. Acu III 230KV"/>
    <s v="FOTOVOLTAICA"/>
    <x v="6"/>
    <x v="148"/>
    <n v="0.98868145957276499"/>
    <n v="0.96635529657040597"/>
    <n v="0.99220444148978204"/>
    <n v="0.99260920000271302"/>
    <n v="0.99387887544969999"/>
    <n v="0.999954775585147"/>
    <n v="0.999686820927145"/>
  </r>
  <r>
    <s v="NE"/>
    <s v="Conj. Fotov. Assu Sol 500KV"/>
    <s v="FOTOVOLTAICA"/>
    <x v="6"/>
    <x v="149"/>
    <n v="0.77612732542464202"/>
    <n v="0.95325559449986497"/>
    <n v="0.96545775478565599"/>
    <n v="1"/>
    <n v="0.995254364383931"/>
    <n v="0.999999999999999"/>
    <n v="0.99709532555945002"/>
  </r>
  <r>
    <s v="NE"/>
    <s v="Conj. Fotov. Simplice"/>
    <s v="FOTOVOLTAICA"/>
    <x v="6"/>
    <x v="150"/>
    <n v="0.78152179415784895"/>
    <n v="0.90768997114362304"/>
    <n v="0.91530400445501903"/>
    <n v="0.91820482964612904"/>
    <n v="0.94995696856173695"/>
    <n v="0.99563104338581399"/>
    <n v="0.98532374829139802"/>
  </r>
  <r>
    <s v="NE"/>
    <s v="Conj. Fotovoltaico Abaiara 230 kV"/>
    <s v="FOTOVOLTAICA"/>
    <x v="6"/>
    <x v="151"/>
    <n v="0.87565722691271997"/>
    <n v="0.98020569302868299"/>
    <n v="0.96961408243524905"/>
    <n v="0.99427110876079605"/>
    <n v="0.99840745941148901"/>
    <n v="0.99544423980500396"/>
    <n v="1"/>
  </r>
  <r>
    <s v="NE"/>
    <s v="Conj. Fotovoltaico Barreiras II 500 kV"/>
    <s v="FOTOVOLTAICA"/>
    <x v="6"/>
    <x v="152"/>
    <n v="0.82979821340356297"/>
    <n v="0.996656031414897"/>
    <n v="0.92479256539263899"/>
    <n v="0.99728926940854701"/>
    <n v="0.99663085922136097"/>
    <n v="0.99728926940854701"/>
    <n v="1"/>
  </r>
  <r>
    <s v="NE"/>
    <s v="Conj. Fotovoltaico Gilbués II 500 kV"/>
    <s v="FOTOVOLTAICA"/>
    <x v="6"/>
    <x v="153"/>
    <n v="0.87448945144858703"/>
    <n v="0.99328181611561905"/>
    <n v="0.94682356912710397"/>
    <n v="0.99932734601655104"/>
    <n v="0.99535242055162598"/>
    <n v="1"/>
    <n v="0.99774556466168396"/>
  </r>
  <r>
    <s v="NE"/>
    <s v="Conj. Futura"/>
    <s v="FOTOVOLTAICA"/>
    <x v="6"/>
    <x v="154"/>
    <n v="0.80330395880965599"/>
    <n v="0.95279748081204496"/>
    <n v="0.92361723705450605"/>
    <n v="0.99610765057818895"/>
    <n v="0.98633064491931699"/>
    <n v="1"/>
    <n v="0.99860703548346397"/>
  </r>
  <r>
    <s v="NE"/>
    <s v="Conj. GPEXPAN"/>
    <s v="EOLIELÉTRICA"/>
    <x v="3"/>
    <x v="155"/>
    <n v="0.87591913626511597"/>
    <n v="0.91774869852330498"/>
    <n v="0.93475736153030597"/>
    <n v="0.97208661656572104"/>
    <n v="0.95577680096690698"/>
    <n v="0.98885895436222504"/>
    <n v="0.97659705201180202"/>
  </r>
  <r>
    <s v="NE"/>
    <s v="Conj. Gameleira"/>
    <s v="EOLIELÉTRICA"/>
    <x v="3"/>
    <x v="156"/>
    <n v="0.80429834271370804"/>
    <n v="0.91964578039007805"/>
    <n v="0.87560998425344105"/>
    <n v="0.93125302068879401"/>
    <n v="0.93539233875368299"/>
    <n v="0.90384465474501396"/>
    <n v="0.89347687126798703"/>
  </r>
  <r>
    <s v="NE"/>
    <s v="Conj. Gentio do Ouro I"/>
    <s v="EOLIELÉTRICA"/>
    <x v="3"/>
    <x v="157"/>
    <n v="0.89032359590107302"/>
    <n v="0.95472635468980505"/>
    <n v="0.98580841444099998"/>
    <n v="0.975968892558851"/>
    <n v="0.98756649926224704"/>
    <n v="0.991789963856889"/>
    <n v="0.98921290593315503"/>
  </r>
  <r>
    <s v="NE"/>
    <s v="Conj. Gilbués II 500 kV"/>
    <s v="FOTOVOLTAICA"/>
    <x v="6"/>
    <x v="158"/>
    <n v="0.83181306926463205"/>
    <n v="0.97935377929971001"/>
    <n v="0.97090721883458597"/>
    <n v="0.99886439111004299"/>
    <n v="0.99804084520674596"/>
    <n v="0.99985147804378205"/>
    <n v="1"/>
  </r>
  <r>
    <s v="NE"/>
    <s v="Conj. Guirapá"/>
    <s v="EOLIELÉTRICA"/>
    <x v="3"/>
    <x v="0"/>
    <n v="0"/>
    <n v="0"/>
    <n v="0"/>
    <n v="0"/>
    <n v="0"/>
    <n v="0"/>
    <n v="0"/>
  </r>
  <r>
    <s v="NE"/>
    <s v="Conj. Horizonte"/>
    <s v="FOTOVOLTAICA"/>
    <x v="6"/>
    <x v="159"/>
    <n v="0.97473427211521801"/>
    <n v="0.98779871266862296"/>
    <n v="0.98010431823226196"/>
    <n v="0.993359885570544"/>
    <n v="0.98718834003304601"/>
    <n v="1"/>
    <n v="0.99031418777281799"/>
  </r>
  <r>
    <s v="NE"/>
    <s v="Conj. Icaraí"/>
    <s v="EOLIELÉTRICA"/>
    <x v="3"/>
    <x v="160"/>
    <n v="0.86231769620113197"/>
    <n v="0.96169942278688902"/>
    <n v="0.91256919055928798"/>
    <n v="0.96540274630259804"/>
    <n v="0.93280323428851097"/>
    <n v="0.97419517857283799"/>
    <n v="0.97394644788894702"/>
  </r>
  <r>
    <s v="NE"/>
    <s v="Conj. Igaporã II"/>
    <s v="EOLIELÉTRICA"/>
    <x v="3"/>
    <x v="161"/>
    <n v="0.95702137400982301"/>
    <n v="0.98992570099278498"/>
    <n v="0.99668734829637395"/>
    <n v="0.99308685947825703"/>
    <n v="0.99697686866884505"/>
    <n v="0.99485764687267397"/>
    <n v="0.996901122059769"/>
  </r>
  <r>
    <s v="NE"/>
    <s v="Conj. Igaporã III 500 kV"/>
    <s v="EOLIELÉTRICA"/>
    <x v="3"/>
    <x v="162"/>
    <n v="0.89174978007791506"/>
    <n v="0.94197484319840896"/>
    <n v="0.94354857136328796"/>
    <n v="0.96604345888885002"/>
    <n v="0.97252973232340501"/>
    <n v="0.98796140795832299"/>
    <n v="0.97252687619243405"/>
  </r>
  <r>
    <s v="NE"/>
    <s v="Conj. Itarema V"/>
    <s v="EOLIELÉTRICA"/>
    <x v="3"/>
    <x v="163"/>
    <n v="0.87062141824360695"/>
    <n v="0.96214815674768595"/>
    <n v="0.97487625460417204"/>
    <n v="0.98574949077054597"/>
    <n v="0.97487625460417204"/>
    <n v="0.98576004474886703"/>
    <n v="0.97487625460417204"/>
  </r>
  <r>
    <s v="NE"/>
    <s v="Conj. Ituverava"/>
    <s v="FOTOVOLTAICA"/>
    <x v="6"/>
    <x v="164"/>
    <n v="0.997085754252513"/>
    <n v="0.95218579859476205"/>
    <n v="1"/>
    <n v="0.95299950172111902"/>
    <n v="1"/>
    <n v="0.952702362939022"/>
    <n v="1"/>
  </r>
  <r>
    <s v="NE"/>
    <s v="Conj. Jandaia"/>
    <s v="EOLIELÉTRICA"/>
    <x v="3"/>
    <x v="165"/>
    <n v="0.86603619094407602"/>
    <n v="0.958450012281994"/>
    <n v="0.95083108163432395"/>
    <n v="0.98119626627364198"/>
    <n v="0.97875214934905397"/>
    <n v="0.98104888233849097"/>
    <n v="0.95602636534839902"/>
  </r>
  <r>
    <s v="NE"/>
    <s v="Conj. Jandaíra I"/>
    <s v="EOLIELÉTRICA"/>
    <x v="3"/>
    <x v="166"/>
    <n v="0.76274114956244998"/>
    <n v="0.93605185958631598"/>
    <n v="0.86561505568814601"/>
    <n v="0.94199980111376203"/>
    <n v="0.93605807478122505"/>
    <n v="0.95352898766905303"/>
    <n v="0.91037688941925199"/>
  </r>
  <r>
    <s v="NE"/>
    <s v="Conj. Jandaíra III"/>
    <s v="EOLIELÉTRICA"/>
    <x v="3"/>
    <x v="167"/>
    <n v="0.83826762542358801"/>
    <n v="0.88610628977601402"/>
    <n v="0.92278700719067697"/>
    <n v="0.91831556326969099"/>
    <n v="0.94546656748491598"/>
    <n v="0.91396809653690303"/>
    <n v="0.98623853211009105"/>
  </r>
  <r>
    <s v="NE"/>
    <s v="Conj. Jerusalém"/>
    <s v="EOLIELÉTRICA"/>
    <x v="3"/>
    <x v="168"/>
    <n v="0.88586005022537995"/>
    <n v="0.89261354183996"/>
    <n v="0.91998597808779103"/>
    <n v="0.92925073872503505"/>
    <n v="0.91558333531382896"/>
    <n v="0.93495258692397198"/>
    <n v="0.92456290451632295"/>
  </r>
  <r>
    <s v="NE"/>
    <s v="Conj. Juazeiro Solar"/>
    <s v="FOTOVOLTAICA"/>
    <x v="6"/>
    <x v="169"/>
    <n v="0.81027749999999998"/>
    <n v="1"/>
    <n v="1"/>
    <n v="1"/>
    <n v="1"/>
    <n v="1"/>
    <n v="1"/>
  </r>
  <r>
    <s v="NE"/>
    <s v="Conj. Juazeiro Solar 2"/>
    <s v="FOTOVOLTAICA"/>
    <x v="6"/>
    <x v="170"/>
    <n v="0.91571586188992704"/>
    <n v="0.97663551401869098"/>
    <n v="0.99850726895119402"/>
    <n v="0.99966251298026998"/>
    <n v="0.99892588265835902"/>
    <n v="0.99966251298026998"/>
    <n v="1"/>
  </r>
  <r>
    <s v="NE"/>
    <s v="Conj. Kairos"/>
    <s v="EOLIELÉTRICA"/>
    <x v="3"/>
    <x v="171"/>
    <n v="0.81015283396673599"/>
    <n v="0.95489048261207099"/>
    <n v="0.86647460259082099"/>
    <n v="0.96499938702954502"/>
    <n v="0.97679906828490803"/>
    <n v="0.96499938702954502"/>
    <n v="0.950400474030485"/>
  </r>
  <r>
    <s v="NE"/>
    <s v="Conj. Lagoa do Barro I"/>
    <s v="EOLIELÉTRICA"/>
    <x v="3"/>
    <x v="172"/>
    <n v="0.95145066412611101"/>
    <n v="0.89729216748459195"/>
    <n v="0.97032573013252899"/>
    <n v="0.95712075389483997"/>
    <n v="0.97631523557367395"/>
    <n v="0.96354784034386098"/>
    <n v="0.97980111296975303"/>
  </r>
  <r>
    <s v="NE"/>
    <s v="Conj. Lagoa dos Ventos"/>
    <s v="EOLIELÉTRICA"/>
    <x v="3"/>
    <x v="173"/>
    <n v="0.93254290039640697"/>
    <n v="0.98345457939672498"/>
    <n v="0.99040410817054503"/>
    <n v="0.99255168028375595"/>
    <n v="0.99253563730022798"/>
    <n v="0.99250136365359898"/>
    <n v="0.99158691359248996"/>
  </r>
  <r>
    <s v="NE"/>
    <s v="Conj. Lagoa dos Ventos 1"/>
    <s v="EOLIELÉTRICA"/>
    <x v="3"/>
    <x v="0"/>
    <n v="0"/>
    <n v="0"/>
    <n v="0"/>
    <n v="0"/>
    <n v="0"/>
    <n v="0"/>
    <n v="0"/>
  </r>
  <r>
    <s v="NE"/>
    <s v="Conj. Lagoa dos Ventos 2"/>
    <s v="EOLIELÉTRICA"/>
    <x v="3"/>
    <x v="0"/>
    <n v="0"/>
    <n v="0"/>
    <n v="0"/>
    <n v="0"/>
    <n v="0"/>
    <n v="0"/>
    <n v="0"/>
  </r>
  <r>
    <s v="NE"/>
    <s v="Conj. Lapa"/>
    <s v="FOTOVOLTAICA"/>
    <x v="6"/>
    <x v="174"/>
    <n v="0.88856153846153796"/>
    <n v="1"/>
    <n v="0.99784615384615305"/>
    <n v="1"/>
    <n v="0.99784615384615305"/>
    <n v="1"/>
    <n v="1"/>
  </r>
  <r>
    <s v="NE"/>
    <s v="Conj. Laranjeiras"/>
    <s v="EOLIELÉTRICA"/>
    <x v="3"/>
    <x v="175"/>
    <n v="0.91429677700383505"/>
    <n v="0.97325026115505098"/>
    <n v="0.96665584402489302"/>
    <n v="0.979445383303016"/>
    <n v="0.99196368432303295"/>
    <n v="0.97332386856338404"/>
    <n v="0.99218047326538505"/>
  </r>
  <r>
    <s v="NE"/>
    <s v="Conj. Lavras"/>
    <s v="FOTOVOLTAICA"/>
    <x v="6"/>
    <x v="176"/>
    <n v="0.87056597290909599"/>
    <n v="0.96267712682332596"/>
    <n v="0.93728591210553103"/>
    <n v="0.97682905244307405"/>
    <n v="0.98171468135392004"/>
    <n v="0.99056711818172305"/>
    <n v="0.99991410455297902"/>
  </r>
  <r>
    <s v="NE"/>
    <s v="Conj. Licínio de Almeida"/>
    <s v="EOLIELÉTRICA"/>
    <x v="3"/>
    <x v="0"/>
    <n v="0"/>
    <n v="0"/>
    <n v="0"/>
    <n v="0"/>
    <n v="0"/>
    <n v="0"/>
    <n v="0"/>
  </r>
  <r>
    <s v="NE"/>
    <s v="Conj. Lins"/>
    <s v="FOTOVOLTAICA"/>
    <x v="6"/>
    <x v="0"/>
    <n v="0"/>
    <n v="0"/>
    <n v="0"/>
    <n v="0"/>
    <n v="0"/>
    <n v="0"/>
    <n v="0"/>
  </r>
  <r>
    <s v="NE"/>
    <s v="Conj. Luzia"/>
    <s v="FOTOVOLTAICA"/>
    <x v="6"/>
    <x v="177"/>
    <n v="0.88669501006936602"/>
    <n v="0.939794137390915"/>
    <n v="0.94305213694338696"/>
    <n v="0.97509509957484897"/>
    <n v="0.94734840008950505"/>
    <n v="1"/>
    <n v="0.99928395614231302"/>
  </r>
  <r>
    <s v="NE"/>
    <s v="Conj. Macacos"/>
    <s v="EOLIELÉTRICA"/>
    <x v="3"/>
    <x v="178"/>
    <n v="0.79435573515372604"/>
    <n v="0.94446624033896898"/>
    <n v="0.875711091058888"/>
    <n v="0.92758967920802404"/>
    <n v="0.93346803196149897"/>
    <n v="0.89447081747682"/>
    <n v="0.91657839329383906"/>
  </r>
  <r>
    <s v="NE"/>
    <s v="Conj. Mangue Seco"/>
    <s v="EOLIELÉTRICA"/>
    <x v="3"/>
    <x v="179"/>
    <n v="0.85979970669184502"/>
    <n v="0.94310625389235903"/>
    <n v="0.87870904232878599"/>
    <n v="0.94310625389235903"/>
    <n v="0.89504188681519503"/>
    <n v="0.94310625389235903"/>
    <n v="0.94735520421078001"/>
  </r>
  <r>
    <s v="NE"/>
    <s v="Conj. Marangatu"/>
    <s v="FOTOVOLTAICA"/>
    <x v="6"/>
    <x v="180"/>
    <n v="0.88772548323371303"/>
    <n v="0.99945328858190297"/>
    <n v="0.99468929037421505"/>
    <n v="0.99907143601926396"/>
    <n v="0.99325769552682897"/>
    <n v="1"/>
    <n v="0.99928983877649302"/>
  </r>
  <r>
    <s v="NE"/>
    <s v="Conj. Mauriti"/>
    <s v="FOTOVOLTAICA"/>
    <x v="6"/>
    <x v="181"/>
    <n v="0.81848845204485399"/>
    <n v="0.89376483299904597"/>
    <n v="0.93166443280512801"/>
    <n v="0.99740491829770195"/>
    <n v="0.97714648745076704"/>
    <n v="1"/>
    <n v="0.99265043710808398"/>
  </r>
  <r>
    <s v="NE"/>
    <s v="Conj. Modelo"/>
    <s v="EOLIELÉTRICA"/>
    <x v="3"/>
    <x v="182"/>
    <n v="0.78907917054221099"/>
    <n v="0.94192154073425605"/>
    <n v="0.91544017070635197"/>
    <n v="0.97331801353249003"/>
    <n v="0.97190457952618003"/>
    <n v="0.94978205759515599"/>
    <n v="0.95772464481771202"/>
  </r>
  <r>
    <s v="NE"/>
    <s v="Conj. Monte Verde"/>
    <s v="EOLIELÉTRICA"/>
    <x v="3"/>
    <x v="183"/>
    <n v="0.87670007441536402"/>
    <n v="0.94219916627649403"/>
    <n v="0.94242309092924204"/>
    <n v="0.95700307387477801"/>
    <n v="0.94242309092924204"/>
    <n v="0.95700307387477801"/>
    <n v="0.93442400472277398"/>
  </r>
  <r>
    <s v="NE"/>
    <s v="Conj. Monte Verde Solar"/>
    <s v="FOTOVOLTAICA"/>
    <x v="6"/>
    <x v="184"/>
    <n v="0.86305846793236896"/>
    <n v="0.99116841409275502"/>
    <n v="0.93103806555209201"/>
    <n v="0.99560782091243905"/>
    <n v="0.99088977047322102"/>
    <n v="0.99880986115046699"/>
    <n v="0.99502928119391698"/>
  </r>
  <r>
    <s v="NE"/>
    <s v="Conj. Monte do Ronca"/>
    <s v="EOLIELÉTRICA"/>
    <x v="3"/>
    <x v="185"/>
    <n v="0.80006290187307705"/>
    <n v="0.82153340788370099"/>
    <n v="0.94566908955362905"/>
    <n v="0.86723511322337099"/>
    <n v="0.98393439567607799"/>
    <n v="0.92722020314975295"/>
    <n v="0.95601761252446105"/>
  </r>
  <r>
    <s v="NE"/>
    <s v="Conj. Morro do Chapéu Sul"/>
    <s v="EOLIELÉTRICA"/>
    <x v="3"/>
    <x v="186"/>
    <n v="0.93449904485098501"/>
    <n v="0.98494907825190103"/>
    <n v="0.99757110879322997"/>
    <n v="0.99604755821721103"/>
    <n v="0.99604755821721103"/>
    <n v="0.99757110879322997"/>
    <n v="0.98862903887397902"/>
  </r>
  <r>
    <s v="NE"/>
    <s v="Conj. Morro do Chapéu Sul II"/>
    <s v="EOLIELÉTRICA"/>
    <x v="3"/>
    <x v="187"/>
    <n v="0.85280377217412995"/>
    <n v="0.867402978672841"/>
    <n v="0.98242878630239405"/>
    <n v="0.92600557015878704"/>
    <n v="0.98603547860763396"/>
    <n v="0.97790774170924399"/>
    <n v="0.98603547860763396"/>
  </r>
  <r>
    <s v="NE"/>
    <s v="Conj. Morro dos Ventos"/>
    <s v="EOLIELÉTRICA"/>
    <x v="3"/>
    <x v="188"/>
    <n v="0.77219944058422196"/>
    <n v="0.83057105972586098"/>
    <n v="0.84454063358266496"/>
    <n v="0.88724671248307196"/>
    <n v="0.86354115249775298"/>
    <n v="0.89198339471719101"/>
    <n v="0.92333029578159997"/>
  </r>
  <r>
    <s v="NE"/>
    <s v="Conj. Morro dos Ventos II"/>
    <s v="EOLIELÉTRICA"/>
    <x v="3"/>
    <x v="189"/>
    <n v="0.75789306024210101"/>
    <n v="0.852090658108969"/>
    <n v="0.841342410155973"/>
    <n v="0.88278392600108502"/>
    <n v="0.86270322565421498"/>
    <n v="0.88083130795913001"/>
    <n v="0.93100356308549004"/>
  </r>
  <r>
    <s v="NE"/>
    <s v="Conj. Morrão"/>
    <s v="EOLIELÉTRICA"/>
    <x v="3"/>
    <x v="190"/>
    <n v="0.96206984833236198"/>
    <n v="0.99071278492857995"/>
    <n v="0.99695428783304196"/>
    <n v="0.99055829228242998"/>
    <n v="0.99695428783304196"/>
    <n v="0.99695428783304196"/>
    <n v="0.99695428783304196"/>
  </r>
  <r>
    <s v="NE"/>
    <s v="Conj. Mossoró II"/>
    <s v="EOLIELÉTRICA"/>
    <x v="3"/>
    <x v="191"/>
    <n v="0.802535627077958"/>
    <n v="0.86863437581911196"/>
    <n v="0.90187068025990802"/>
    <n v="0.91645812352559697"/>
    <n v="0.91495716473298605"/>
    <n v="0.93849793756121702"/>
    <n v="0.93348324527156501"/>
  </r>
  <r>
    <s v="NE"/>
    <s v="Conj. Mundo Novo"/>
    <s v="EOLIELÉTRICA"/>
    <x v="3"/>
    <x v="192"/>
    <n v="0.75849806399021802"/>
    <n v="0.83414509883839405"/>
    <n v="0.94043203586712798"/>
    <n v="0.89530772366007705"/>
    <n v="0.97990625636845297"/>
    <n v="0.95027002241695502"/>
    <n v="0.93416547788872994"/>
  </r>
  <r>
    <s v="NE"/>
    <s v="Conj. N. S. da Conceição"/>
    <s v="EOLIELÉTRICA"/>
    <x v="3"/>
    <x v="0"/>
    <n v="0"/>
    <n v="0"/>
    <n v="0"/>
    <n v="0"/>
    <n v="0"/>
    <n v="0"/>
    <n v="0"/>
  </r>
  <r>
    <s v="NE"/>
    <s v="Conj. Nova Olinda"/>
    <s v="FOTOVOLTAICA"/>
    <x v="6"/>
    <x v="193"/>
    <n v="0.94641753355342895"/>
    <n v="0.99028735439416904"/>
    <n v="0.96612073963688905"/>
    <n v="0.99833969822278201"/>
    <n v="0.99491607450035202"/>
    <n v="0.99958312769229996"/>
    <n v="0.99947531588858396"/>
  </r>
  <r>
    <s v="NE"/>
    <s v="Conj. Novo Horizonte"/>
    <s v="EOLIELÉTRICA"/>
    <x v="3"/>
    <x v="194"/>
    <n v="0.95553065020420103"/>
    <n v="0.94999177209193297"/>
    <n v="0.99348374614160895"/>
    <n v="0.96570582984686104"/>
    <n v="0.98385086043971903"/>
    <n v="0.97452714461670398"/>
    <n v="0.98758707869370699"/>
  </r>
  <r>
    <s v="NE"/>
    <s v="Conj. Oeste Serido"/>
    <s v="EOLIELÉTRICA"/>
    <x v="3"/>
    <x v="195"/>
    <n v="0.902137354436642"/>
    <n v="0.89468301383189697"/>
    <n v="0.90531158145935398"/>
    <n v="0.95207686327334096"/>
    <n v="0.92072331632928694"/>
    <n v="0.96123576586801696"/>
    <n v="0.94941816231587595"/>
  </r>
  <r>
    <s v="NE"/>
    <s v="Conj. Oeste Seridó"/>
    <s v="EOLIELÉTRICA"/>
    <x v="3"/>
    <x v="196"/>
    <n v="0.87888733665376595"/>
    <n v="0.87195000260312705"/>
    <n v="0.94614346701837804"/>
    <n v="0.96368637523211198"/>
    <n v="0.99267002759314804"/>
    <n v="0.96695329989761003"/>
    <n v="0.99578944171598105"/>
  </r>
  <r>
    <s v="NE"/>
    <s v="Conj. Oitis"/>
    <s v="EOLIELÉTRICA"/>
    <x v="3"/>
    <x v="197"/>
    <n v="0.89803736786036203"/>
    <n v="0.97432356425022104"/>
    <n v="0.992539092473534"/>
    <n v="0.99014679698732699"/>
    <n v="0.99227555817123902"/>
    <n v="0.98555031177132202"/>
    <n v="0.99717468878740601"/>
  </r>
  <r>
    <s v="NE"/>
    <s v="Conj. Olho d'Água"/>
    <s v="EOLIELÉTRICA"/>
    <x v="3"/>
    <x v="198"/>
    <n v="0.865857144427709"/>
    <n v="0.94956518871139695"/>
    <n v="0.91724293362943699"/>
    <n v="0.94059411383150604"/>
    <n v="0.94586022273771697"/>
    <n v="0.95095042821491005"/>
    <n v="0.92228366626721903"/>
  </r>
  <r>
    <s v="NE"/>
    <s v="Conj. Ourolândia II"/>
    <s v="EOLIELÉTRICA"/>
    <x v="3"/>
    <x v="199"/>
    <n v="0.83139459688260497"/>
    <n v="0.905584579990515"/>
    <n v="0.932659935958988"/>
    <n v="0.95785991714645102"/>
    <n v="0.98872227600343299"/>
    <n v="0.98405049598469896"/>
    <n v="0.99536251366848305"/>
  </r>
  <r>
    <s v="NE"/>
    <s v="Conj. Papagaios"/>
    <s v="EOLIELÉTRICA"/>
    <x v="3"/>
    <x v="200"/>
    <n v="0.836275546801862"/>
    <n v="0.96770252033409898"/>
    <n v="0.96009774957143301"/>
    <n v="1"/>
    <n v="0.95881509039403701"/>
    <n v="1"/>
    <n v="0.90057871636818998"/>
  </r>
  <r>
    <s v="NE"/>
    <s v="Conj. Paranatama"/>
    <s v="EOLIELÉTRICA"/>
    <x v="3"/>
    <x v="201"/>
    <n v="0.89930875384832398"/>
    <n v="0.90094766279137295"/>
    <n v="0.959591558996572"/>
    <n v="0.93930850490012996"/>
    <n v="0.97069879758022304"/>
    <n v="0.944185814931912"/>
    <n v="0.97173608172139303"/>
  </r>
  <r>
    <s v="NE"/>
    <s v="Conj. Pedra Branca"/>
    <s v="EOLIELÉTRICA"/>
    <x v="3"/>
    <x v="202"/>
    <n v="0.868287779021091"/>
    <n v="0.86034345172550597"/>
    <n v="0.93210319600911196"/>
    <n v="0.90616599275113496"/>
    <n v="0.95347530883460896"/>
    <n v="0.95807606403609202"/>
    <n v="0.95553494924457505"/>
  </r>
  <r>
    <s v="NE"/>
    <s v="Conj. Pedra Cheirosa"/>
    <s v="EOLIELÉTRICA"/>
    <x v="3"/>
    <x v="203"/>
    <n v="0.81684951694776398"/>
    <n v="0.85751075516917896"/>
    <n v="0.92889679503401401"/>
    <n v="0.99197642050106405"/>
    <n v="0.936957589651219"/>
    <n v="0.99421677062089697"/>
    <n v="0.94681959599267596"/>
  </r>
  <r>
    <s v="NE"/>
    <s v="Conj. Pelourinho"/>
    <s v="EOLIELÉTRICA"/>
    <x v="3"/>
    <x v="204"/>
    <n v="0.88140675854475903"/>
    <n v="0.82754507789034504"/>
    <n v="0.91214278125995896"/>
    <n v="0.827525762243705"/>
    <n v="0.97004143206204096"/>
    <n v="0.80520170364003296"/>
    <n v="0.92761944312990696"/>
  </r>
  <r>
    <s v="NE"/>
    <s v="Conj. Pindai"/>
    <s v="EOLIELÉTRICA"/>
    <x v="3"/>
    <x v="0"/>
    <n v="0"/>
    <n v="0"/>
    <n v="0"/>
    <n v="0"/>
    <n v="0"/>
    <n v="0"/>
    <n v="0"/>
  </r>
  <r>
    <s v="NE"/>
    <s v="Conj. Pindaí II 230 kV"/>
    <s v="EOLIELÉTRICA"/>
    <x v="3"/>
    <x v="205"/>
    <n v="0.90481348588450305"/>
    <n v="0.99255297542481802"/>
    <n v="0.97043918102072502"/>
    <n v="0.99220963857752098"/>
    <n v="0.99248043947116404"/>
    <n v="0.97012969428513396"/>
    <n v="0.99248527520140795"/>
  </r>
  <r>
    <s v="NE"/>
    <s v="Conj. Pitombeira"/>
    <s v="EOLIELÉTRICA"/>
    <x v="3"/>
    <x v="206"/>
    <n v="0.86667218920206202"/>
    <n v="0.96329757491664403"/>
    <n v="0.96229834116843005"/>
    <n v="0.980926543376064"/>
    <n v="0.96229834116843005"/>
    <n v="0.99747344005632899"/>
    <n v="0.95954915401660801"/>
  </r>
  <r>
    <s v="NE"/>
    <s v="Conj. Planaltina"/>
    <s v="EOLIELÉTRICA"/>
    <x v="3"/>
    <x v="0"/>
    <n v="0"/>
    <n v="0"/>
    <n v="0"/>
    <n v="0"/>
    <n v="0"/>
    <n v="0"/>
    <n v="0"/>
  </r>
  <r>
    <s v="NE"/>
    <s v="Conj. Quina"/>
    <s v="EOLIELÉTRICA"/>
    <x v="3"/>
    <x v="207"/>
    <n v="0.932164478606897"/>
    <n v="0.98165090810148903"/>
    <n v="0.99129310931229098"/>
    <n v="0.98318141623018795"/>
    <n v="0.98348184930730298"/>
    <n v="0.99344148924109399"/>
    <n v="0.99171825045915196"/>
  </r>
  <r>
    <s v="NE"/>
    <s v="Conj. Renascença"/>
    <s v="EOLIELÉTRICA"/>
    <x v="3"/>
    <x v="208"/>
    <n v="0.86729789348311703"/>
    <n v="0.90696510751058901"/>
    <n v="0.90030515952161105"/>
    <n v="0.91644760488537103"/>
    <n v="0.90834995383845496"/>
    <n v="0.92900284016829504"/>
    <n v="0.91613046450494395"/>
  </r>
  <r>
    <s v="NE"/>
    <s v="Conj. Renascença V"/>
    <s v="EOLIELÉTRICA"/>
    <x v="3"/>
    <x v="209"/>
    <n v="0.77150392424771996"/>
    <n v="0.909948841790855"/>
    <n v="0.84102030440723197"/>
    <n v="0.90250548123669405"/>
    <n v="0.90453115566712206"/>
    <n v="0.90015411013313795"/>
    <n v="0.90360172857551302"/>
  </r>
  <r>
    <s v="NE"/>
    <s v="Conj. Riachão"/>
    <s v="EOLIELÉTRICA"/>
    <x v="3"/>
    <x v="210"/>
    <n v="0.805626071475669"/>
    <n v="0.91697299881313399"/>
    <n v="0.88894566794144703"/>
    <n v="0.93674996703151703"/>
    <n v="0.94558552024264797"/>
    <n v="0.95719042595278903"/>
    <n v="0.93849729658446501"/>
  </r>
  <r>
    <s v="NE"/>
    <s v="Conj. Ribeiro Gonçalves"/>
    <s v="FOTOVOLTAICA"/>
    <x v="6"/>
    <x v="211"/>
    <n v="0.88698415580877998"/>
    <n v="0.98889317655604403"/>
    <n v="0.96407136695873197"/>
    <n v="0.99770962909156902"/>
    <n v="0.99094520361374605"/>
    <n v="0.999999999999999"/>
    <n v="0.99522177327824901"/>
  </r>
  <r>
    <s v="NE"/>
    <s v="Conj. Rio Alto"/>
    <s v="FOTOVOLTAICA"/>
    <x v="6"/>
    <x v="212"/>
    <n v="0.76227470478558101"/>
    <n v="0.860281697659255"/>
    <n v="0.89249695920569405"/>
    <n v="0.93236663400275199"/>
    <n v="0.97968673146068697"/>
    <n v="0.99997521609657303"/>
    <n v="0.99999237418356102"/>
  </r>
  <r>
    <s v="NE"/>
    <s v="Conj. Rio do Vento"/>
    <s v="EOLIELÉTRICA"/>
    <x v="3"/>
    <x v="213"/>
    <n v="0.80990232709255505"/>
    <n v="0.86670592535434299"/>
    <n v="0.93132741745522396"/>
    <n v="0.93380579133330599"/>
    <n v="0.96981785322665803"/>
    <n v="0.96206392397352003"/>
    <n v="0.968245136660845"/>
  </r>
  <r>
    <s v="NE"/>
    <s v="Conj. Rio do Vento Expansão"/>
    <s v="EOLIELÉTRICA"/>
    <x v="3"/>
    <x v="214"/>
    <n v="0.69416675016764395"/>
    <n v="0.81531863973053598"/>
    <n v="0.84683576256946602"/>
    <n v="0.87657816847671099"/>
    <n v="0.91561230624561596"/>
    <n v="0.88646147264893305"/>
    <n v="0.92058671640755596"/>
  </r>
  <r>
    <s v="NE"/>
    <s v="Conj. Santa Clara"/>
    <s v="EOLIELÉTRICA"/>
    <x v="3"/>
    <x v="215"/>
    <n v="0.72827724467006205"/>
    <n v="0.81587755652342098"/>
    <n v="0.81696493994478003"/>
    <n v="0.86917106798051502"/>
    <n v="0.92681997502828295"/>
    <n v="0.92374247477915195"/>
    <n v="0.94206972150088197"/>
  </r>
  <r>
    <s v="NE"/>
    <s v="Conj. Santa Eugênia"/>
    <s v="EOLIELÉTRICA"/>
    <x v="3"/>
    <x v="216"/>
    <n v="0.866711551507925"/>
    <n v="0.97390169191867204"/>
    <n v="0.93856464445038301"/>
    <n v="0.97544045391937095"/>
    <n v="0.97528729724729102"/>
    <n v="0.97544045391937095"/>
    <n v="0.97544045391937095"/>
  </r>
  <r>
    <s v="NE"/>
    <s v="Conj. Santa Luzia II 500 kV"/>
    <s v="FOTOVOLTAICA"/>
    <x v="6"/>
    <x v="217"/>
    <n v="0.83264305798312899"/>
    <n v="0.93744880985552703"/>
    <n v="0.92475998682777305"/>
    <n v="0.990844880141179"/>
    <n v="0.98498703886651295"/>
    <n v="0.99863633676993302"/>
    <n v="0.99801994410247297"/>
  </r>
  <r>
    <s v="NE"/>
    <s v="Conj. Santa Rosa Mundo Novo"/>
    <s v="EOLIELÉTRICA"/>
    <x v="3"/>
    <x v="218"/>
    <n v="0.87500329241953301"/>
    <n v="0.93344373913501499"/>
    <n v="0.90588289522204002"/>
    <n v="0.90011128378022398"/>
    <n v="0.91201667281251597"/>
    <n v="0.91995140388768903"/>
    <n v="0.91763683295580201"/>
  </r>
  <r>
    <s v="NE"/>
    <s v="Conj. Santa Rosália"/>
    <s v="EOLIELÉTRICA"/>
    <x v="3"/>
    <x v="219"/>
    <n v="0.92760837328495904"/>
    <n v="0.94780014109042698"/>
    <n v="0.97885803135662697"/>
    <n v="0.98036611526224005"/>
    <n v="0.980344519788652"/>
    <n v="0.97940511668754204"/>
    <n v="0.98155026706402304"/>
  </r>
  <r>
    <s v="NE"/>
    <s v="Conj. Santo Agostinho"/>
    <s v="EOLIELÉTRICA"/>
    <x v="3"/>
    <x v="220"/>
    <n v="0.84742265288442098"/>
    <n v="0.85502385388604696"/>
    <n v="0.88702040041299202"/>
    <n v="0.91390052573490099"/>
    <n v="0.89206858288928703"/>
    <n v="0.90056875496955902"/>
    <n v="0.917573549481978"/>
  </r>
  <r>
    <s v="NE"/>
    <s v="Conj. Santo Inácio"/>
    <s v="EOLIELÉTRICA"/>
    <x v="3"/>
    <x v="221"/>
    <n v="0.989106262771967"/>
    <n v="0.989106262771967"/>
    <n v="0.989106262771967"/>
    <n v="0.95647914412790003"/>
    <n v="0.97665584805866101"/>
    <n v="0.989106262771967"/>
    <n v="0.98575249429017897"/>
  </r>
  <r>
    <s v="NE"/>
    <s v="Conj. Serra Azul"/>
    <s v="EOLIELÉTRICA"/>
    <x v="3"/>
    <x v="222"/>
    <n v="0.904976596308398"/>
    <n v="0.90026053166122"/>
    <n v="0.97362448114457301"/>
    <n v="0.93107392033913206"/>
    <n v="0.98242956813565296"/>
    <n v="0.96442197297535903"/>
    <n v="0.98286673143159897"/>
  </r>
  <r>
    <s v="NE"/>
    <s v="Conj. Serra da Babilônia"/>
    <s v="EOLIELÉTRICA"/>
    <x v="3"/>
    <x v="223"/>
    <n v="0.89371967304322697"/>
    <n v="0.973270757962858"/>
    <n v="0.97461324047598596"/>
    <n v="0.96057668619955605"/>
    <n v="0.97964685789891703"/>
    <n v="0.94710757298537596"/>
    <n v="0.98958399650124096"/>
  </r>
  <r>
    <s v="NE"/>
    <s v="Conj. Serra de Santana 1 e 2"/>
    <s v="EOLIELÉTRICA"/>
    <x v="3"/>
    <x v="224"/>
    <n v="0.88126894735049299"/>
    <n v="0.907866201900695"/>
    <n v="0.97263633576691999"/>
    <n v="0.93529231433015703"/>
    <n v="0.97263633576691999"/>
    <n v="0.94612991495691001"/>
    <n v="0.96447833047585496"/>
  </r>
  <r>
    <s v="NE"/>
    <s v="Conj. Serra de Santana 3"/>
    <s v="EOLIELÉTRICA"/>
    <x v="3"/>
    <x v="225"/>
    <n v="0.82905249452565499"/>
    <n v="0.89728945966739604"/>
    <n v="0.92058748101240795"/>
    <n v="0.89678147994712998"/>
    <n v="0.936201692608155"/>
    <n v="0.89815746384959805"/>
    <n v="0.94619853622931005"/>
  </r>
  <r>
    <s v="NE"/>
    <s v="Conj. Serra do Assuruá"/>
    <s v="EOLIELÉTRICA"/>
    <x v="3"/>
    <x v="226"/>
    <n v="0.84650055328014095"/>
    <n v="0.95163515356032702"/>
    <n v="0.96717048387593096"/>
    <n v="0.97701110975820205"/>
    <n v="0.98471287637433502"/>
    <n v="0.98195383489371202"/>
    <n v="0.98630180060238604"/>
  </r>
  <r>
    <s v="NE"/>
    <s v="Conj. Serra do Mato"/>
    <s v="EOLIELÉTRICA"/>
    <x v="3"/>
    <x v="227"/>
    <n v="0.97661070267827599"/>
    <n v="0.92272363870205198"/>
    <n v="0.81037853902706003"/>
    <n v="0.97362132193197404"/>
    <n v="0.89598432313120202"/>
    <n v="0.97592418791386404"/>
    <n v="0.92855466916940399"/>
  </r>
  <r>
    <s v="NE"/>
    <s v="Conj. Serra do Mel A"/>
    <s v="EOLIELÉTRICA"/>
    <x v="3"/>
    <x v="228"/>
    <n v="0.78127997702652296"/>
    <n v="0.88008425644754196"/>
    <n v="0.87784342598080201"/>
    <n v="0.89143504799379203"/>
    <n v="0.91593296143999703"/>
    <n v="0.95187026095669802"/>
    <n v="0.98774187832611304"/>
  </r>
  <r>
    <s v="NE"/>
    <s v="Conj. Serra do Mel B"/>
    <s v="EOLIELÉTRICA"/>
    <x v="3"/>
    <x v="229"/>
    <n v="0.83648295844682996"/>
    <n v="0.98126259158372797"/>
    <n v="0.94755298840253799"/>
    <n v="0.99407110896482997"/>
    <n v="0.97554497506206095"/>
    <n v="0.99432954296795395"/>
    <n v="0.97789729040436402"/>
  </r>
  <r>
    <s v="NE"/>
    <s v="Conj. Serra do Mel C"/>
    <s v="FOTOVOLTAICA"/>
    <x v="6"/>
    <x v="230"/>
    <n v="0.89188108609648198"/>
    <n v="0.98455410783099995"/>
    <n v="0.97785517625638396"/>
    <n v="0.99977503153055403"/>
    <n v="0.99982165712007698"/>
    <n v="0.99977503153055403"/>
    <n v="1"/>
  </r>
  <r>
    <s v="NE"/>
    <s v="Conj. Serra do Mel II A"/>
    <s v="EOLIELÉTRICA"/>
    <x v="3"/>
    <x v="231"/>
    <n v="0.82668979130334797"/>
    <n v="0.96642935167972999"/>
    <n v="0.923034725283149"/>
    <n v="0.96612512217090496"/>
    <n v="0.933876794235449"/>
    <n v="0.95434640961269401"/>
    <n v="0.98215825683677904"/>
  </r>
  <r>
    <s v="NE"/>
    <s v="Conj. Serra do Mel II B"/>
    <s v="EOLIELÉTRICA"/>
    <x v="3"/>
    <x v="232"/>
    <n v="0.90051293961840795"/>
    <n v="0.97685841779376603"/>
    <n v="0.96551494097241097"/>
    <n v="0.99322257527314695"/>
    <n v="0.99048492066237404"/>
    <n v="0.99310150571003597"/>
    <n v="0.99048492066237404"/>
  </r>
  <r>
    <s v="NE"/>
    <s v="Conj. Serra do Seridó"/>
    <s v="EOLIELÉTRICA"/>
    <x v="3"/>
    <x v="233"/>
    <n v="0.86313600516171696"/>
    <n v="0.95541805990905904"/>
    <n v="0.87883586696369698"/>
    <n v="0.96448703249179302"/>
    <n v="0.92115628583012499"/>
    <n v="0.94166365130503404"/>
    <n v="0.93970184976087801"/>
  </r>
  <r>
    <s v="NE"/>
    <s v="Conj. Serrote"/>
    <s v="EOLIELÉTRICA"/>
    <x v="3"/>
    <x v="0"/>
    <n v="0"/>
    <n v="0"/>
    <n v="0"/>
    <n v="0"/>
    <n v="0"/>
    <n v="0"/>
    <n v="0"/>
  </r>
  <r>
    <s v="NE"/>
    <s v="Conj. Serrote A"/>
    <s v="EOLIELÉTRICA"/>
    <x v="3"/>
    <x v="234"/>
    <n v="0.83178592916865401"/>
    <n v="0.99634847195999898"/>
    <n v="0.90959874686196796"/>
    <n v="0.99610209755389101"/>
    <n v="0.97916191207286396"/>
    <n v="0.98101620365567699"/>
    <n v="0.99477167576090797"/>
  </r>
  <r>
    <s v="NE"/>
    <s v="Conj. Sertão Solar Barreiras"/>
    <s v="FOTOVOLTAICA"/>
    <x v="6"/>
    <x v="235"/>
    <n v="0.87930288409528501"/>
    <n v="0.97060191696055698"/>
    <n v="0.941593284147212"/>
    <n v="0.99885869447629705"/>
    <n v="0.99147536727319896"/>
    <n v="0.99935091628983697"/>
    <n v="0.99951859624829598"/>
  </r>
  <r>
    <s v="NE"/>
    <s v="Conj. Simplice"/>
    <s v="FOTOVOLTAICA"/>
    <x v="6"/>
    <x v="236"/>
    <n v="0.81248811934377396"/>
    <n v="0.92155874209678001"/>
    <n v="0.97821397578412295"/>
    <n v="0.95991156659365995"/>
    <n v="0.99980164469606103"/>
    <n v="0.96684986982933097"/>
    <n v="1"/>
  </r>
  <r>
    <s v="NE"/>
    <s v="Conj. Sol do Futuro"/>
    <s v="FOTOVOLTAICA"/>
    <x v="6"/>
    <x v="237"/>
    <n v="0.916330092605948"/>
    <n v="0.95610593428151003"/>
    <n v="0.96569829501197202"/>
    <n v="0.97121570550731295"/>
    <n v="0.99674003981190296"/>
    <n v="0.99973314485185905"/>
    <n v="0.99968987104405205"/>
  </r>
  <r>
    <s v="NE"/>
    <s v="Conj. Sol do Sertão"/>
    <s v="FOTOVOLTAICA"/>
    <x v="6"/>
    <x v="238"/>
    <n v="0.91112614551940396"/>
    <n v="0.99320376406913002"/>
    <n v="0.99254935727904503"/>
    <n v="0.99788178854788101"/>
    <n v="0.99952149578694804"/>
    <n v="0.998378744080201"/>
    <n v="1"/>
  </r>
  <r>
    <s v="NE"/>
    <s v="Conj. São Basílio (Eólico)"/>
    <s v="EOLIELÉTRICA"/>
    <x v="3"/>
    <x v="239"/>
    <n v="0.88340370341257402"/>
    <n v="0.93695046769901003"/>
    <n v="0.97673014946155601"/>
    <n v="0.97222721300798398"/>
    <n v="0.99507877331476702"/>
    <n v="0.97477906415280702"/>
    <n v="0.98762534670364799"/>
  </r>
  <r>
    <s v="NE"/>
    <s v="Conj. São Basílio (Solar)"/>
    <s v="FOTOVOLTAICA"/>
    <x v="6"/>
    <x v="240"/>
    <n v="0.81608757215989502"/>
    <n v="0.98424117000524702"/>
    <n v="0.93024625956768403"/>
    <n v="0.99702696279866498"/>
    <n v="0.98172361893633997"/>
    <n v="0.999999999999999"/>
    <n v="0.99847016070738903"/>
  </r>
  <r>
    <s v="NE"/>
    <s v="Conj. São Clemente"/>
    <s v="EOLIELÉTRICA"/>
    <x v="3"/>
    <x v="241"/>
    <n v="0.89666363522887305"/>
    <n v="0.94566370655682097"/>
    <n v="0.91602025713725199"/>
    <n v="0.96575589792970595"/>
    <n v="0.96086101749317898"/>
    <n v="0.97220661923358098"/>
    <n v="0.95967073235970601"/>
  </r>
  <r>
    <s v="NE"/>
    <s v="Conj. São Gonçalo"/>
    <s v="FOTOVOLTAICA"/>
    <x v="6"/>
    <x v="242"/>
    <n v="0.82235257043496901"/>
    <n v="0.93688119365090705"/>
    <n v="0.90626997501307405"/>
    <n v="0.96650455709668903"/>
    <n v="0.99472547906506803"/>
    <n v="0.99383260994917599"/>
    <n v="0.999999999999999"/>
  </r>
  <r>
    <s v="NE"/>
    <s v="Conj. São Gonçalo A"/>
    <s v="FOTOVOLTAICA"/>
    <x v="6"/>
    <x v="243"/>
    <n v="0.81008945863690796"/>
    <n v="0.95931630237634102"/>
    <n v="0.90188447231700897"/>
    <n v="0.98336561222293895"/>
    <n v="0.98642442128562202"/>
    <n v="0.99801407974422796"/>
    <n v="1"/>
  </r>
  <r>
    <s v="NE"/>
    <s v="Conj. São Miguel"/>
    <s v="EOLIELÉTRICA"/>
    <x v="3"/>
    <x v="244"/>
    <n v="0.79175411513711302"/>
    <n v="0.89092501691152204"/>
    <n v="0.92722841829566505"/>
    <n v="0.90052555808023804"/>
    <n v="0.93473019617365904"/>
    <n v="0.93020311172011805"/>
    <n v="0.96250845576119204"/>
  </r>
  <r>
    <s v="NE"/>
    <s v="Conj. São Pedro"/>
    <s v="FOTOVOLTAICA"/>
    <x v="6"/>
    <x v="245"/>
    <n v="0.88696344607917399"/>
    <n v="0.95514181707871904"/>
    <n v="0.95480054603367204"/>
    <n v="0.99778173820718896"/>
    <n v="0.98554337934172598"/>
    <n v="0.99953549218868498"/>
    <n v="0.99362960715910797"/>
  </r>
  <r>
    <s v="NE"/>
    <s v="Conj. São Roque"/>
    <s v="EOLIELÉTRICA"/>
    <x v="3"/>
    <x v="246"/>
    <n v="0.91022340287015502"/>
    <n v="0.96643654770549903"/>
    <n v="0.99992281640909697"/>
    <n v="0.98053631185929202"/>
    <n v="0.99464681459964499"/>
    <n v="0.97790670047531603"/>
    <n v="0.99836974832780001"/>
  </r>
  <r>
    <s v="NE"/>
    <s v="Conj. Tacaratu"/>
    <s v="EOLIELÉTRICA"/>
    <x v="3"/>
    <x v="0"/>
    <n v="0"/>
    <n v="0"/>
    <n v="0"/>
    <n v="0"/>
    <n v="0"/>
    <n v="0"/>
    <n v="0"/>
  </r>
  <r>
    <s v="NE"/>
    <s v="Conj. Tacaratu (Eólico)"/>
    <s v="EOLIELÉTRICA"/>
    <x v="3"/>
    <x v="247"/>
    <n v="0.93924553275976097"/>
    <n v="0.985102581072137"/>
    <n v="0.97275314361350096"/>
    <n v="0.985102581072137"/>
    <n v="0.99833884844473797"/>
    <n v="0.985102581072137"/>
    <n v="0.99849106551952305"/>
  </r>
  <r>
    <s v="NE"/>
    <s v="Conj. Tacaratu (Solar)"/>
    <s v="FOTOVOLTAICA"/>
    <x v="6"/>
    <x v="248"/>
    <n v="0.83258373772044003"/>
    <n v="0.938572612143448"/>
    <n v="0.89549059060243796"/>
    <n v="0.96946384187477797"/>
    <n v="0.94454965084625397"/>
    <n v="1"/>
    <n v="1"/>
  </r>
  <r>
    <s v="NE"/>
    <s v="Conj. Tacaratu II"/>
    <s v="EOLIELÉTRICA"/>
    <x v="3"/>
    <x v="249"/>
    <n v="0.87538847716949497"/>
    <n v="0.91437202529719797"/>
    <n v="0.89888183774150698"/>
    <n v="0.92997087779540499"/>
    <n v="0.93043270380109899"/>
    <n v="0.98856301480016495"/>
    <n v="0.961353313194097"/>
  </r>
  <r>
    <s v="NE"/>
    <s v="Conj. Tamboril I"/>
    <s v="EOLIELÉTRICA"/>
    <x v="3"/>
    <x v="250"/>
    <n v="0.86477439782879095"/>
    <n v="0.92978627162727501"/>
    <n v="0.89305665498134101"/>
    <n v="0.98225715255003898"/>
    <n v="0.92539862037769904"/>
    <n v="0.99180142485581801"/>
    <n v="0.96381318557050699"/>
  </r>
  <r>
    <s v="NE"/>
    <s v="Conj. Tamboril II"/>
    <s v="EOLIELÉTRICA"/>
    <x v="3"/>
    <x v="251"/>
    <n v="0.90185014727540502"/>
    <n v="0.94191826215022101"/>
    <n v="0.96522459499263602"/>
    <n v="0.96192930780559605"/>
    <n v="0.96744293078055899"/>
    <n v="0.99933726067746598"/>
    <n v="0.97359167893961696"/>
  </r>
  <r>
    <s v="NE"/>
    <s v="Conj. Tanque Novo"/>
    <s v="EOLIELÉTRICA"/>
    <x v="3"/>
    <x v="252"/>
    <n v="0.94303772298602395"/>
    <n v="0.97280990796500399"/>
    <n v="0.99414555164185803"/>
    <n v="0.99861663447335502"/>
    <n v="0.99405465288035399"/>
    <n v="0.99861663447335502"/>
    <n v="0.99744915350528296"/>
  </r>
  <r>
    <s v="NE"/>
    <s v="Conj. Taíba"/>
    <s v="EOLIELÉTRICA"/>
    <x v="3"/>
    <x v="253"/>
    <n v="0.78563341185923696"/>
    <n v="0.93676838510564397"/>
    <n v="0.88543435782245805"/>
    <n v="0.96973100312277405"/>
    <n v="0.969530122902171"/>
    <n v="0.97656093062327598"/>
    <n v="0.97344728720392903"/>
  </r>
  <r>
    <s v="NE"/>
    <s v="Conj. Terra Santa"/>
    <s v="EOLIELÉTRICA"/>
    <x v="3"/>
    <x v="254"/>
    <n v="0.81474472893218297"/>
    <n v="0.80743324776761205"/>
    <n v="0.87884222997433004"/>
    <n v="0.877558744158494"/>
    <n v="0.96545009763268097"/>
    <n v="0.89403563044384404"/>
    <n v="0.96157770025669698"/>
  </r>
  <r>
    <s v="NE"/>
    <s v="Conj. Trairí"/>
    <s v="EOLIELÉTRICA"/>
    <x v="3"/>
    <x v="255"/>
    <n v="0.84116801465133995"/>
    <n v="0.99356701811466297"/>
    <n v="0.85108222450723103"/>
    <n v="0.99354655534922198"/>
    <n v="0.90543388736270702"/>
    <n v="0.986727338766197"/>
    <n v="0.95814341329158903"/>
  </r>
  <r>
    <s v="NE"/>
    <s v="Conj. Tucano"/>
    <s v="EOLIELÉTRICA"/>
    <x v="3"/>
    <x v="256"/>
    <n v="0.89245543588887599"/>
    <n v="0.93950178518249405"/>
    <n v="0.93427877645457202"/>
    <n v="0.96714020636775"/>
    <n v="0.93362590036358095"/>
    <n v="0.97229449129662104"/>
    <n v="0.97018696145903804"/>
  </r>
  <r>
    <s v="NE"/>
    <s v="Conj. Umari"/>
    <s v="EOLIELÉTRICA"/>
    <x v="3"/>
    <x v="257"/>
    <n v="0.84869487678339794"/>
    <n v="0.92095290207522695"/>
    <n v="0.98513243758106295"/>
    <n v="0.96558345492866404"/>
    <n v="0.98577081306744396"/>
    <n v="0.98193549367704203"/>
    <n v="0.95489319876783396"/>
  </r>
  <r>
    <s v="NE"/>
    <s v="Conj. Umburanas"/>
    <s v="EOLIELÉTRICA"/>
    <x v="3"/>
    <x v="258"/>
    <n v="0.911716130397345"/>
    <n v="0.92664341151335805"/>
    <n v="0.97774793333783905"/>
    <n v="0.97687366104095696"/>
    <n v="0.98872703014843499"/>
    <n v="0.97956994619184601"/>
    <n v="0.99086054842586901"/>
  </r>
  <r>
    <s v="NE"/>
    <s v="Conj. União dos Ventos"/>
    <s v="EOLIELÉTRICA"/>
    <x v="3"/>
    <x v="259"/>
    <n v="0.81572174504783102"/>
    <n v="0.930532229991755"/>
    <n v="0.98367234768346201"/>
    <n v="0.94600053218636904"/>
    <n v="0.98367234768346201"/>
    <n v="0.97165889470998001"/>
    <n v="0.98367234768346201"/>
  </r>
  <r>
    <s v="NE"/>
    <s v="Conj. Ventos da Bahia"/>
    <s v="EOLIELÉTRICA"/>
    <x v="3"/>
    <x v="260"/>
    <n v="0.95756150765269599"/>
    <n v="0.95756150765269599"/>
    <n v="0.95756150765269599"/>
    <n v="0.95802460306107795"/>
    <n v="0.95825525675868894"/>
    <n v="0.96657488199113095"/>
    <n v="0.96662494635960505"/>
  </r>
  <r>
    <s v="NE"/>
    <s v="Conj. Ventos da Bahia 2"/>
    <s v="EOLIELÉTRICA"/>
    <x v="3"/>
    <x v="261"/>
    <n v="0.77568562240942895"/>
    <n v="0.77415114871556601"/>
    <n v="0.89119297687896604"/>
    <n v="0.95954736082751502"/>
    <n v="0.93495910107963298"/>
    <n v="0.97673224351058197"/>
    <n v="0.97881692689547195"/>
  </r>
  <r>
    <s v="NE"/>
    <s v="Conj. Ventos da Bahia III"/>
    <s v="EOLIELÉTRICA"/>
    <x v="3"/>
    <x v="262"/>
    <n v="0.74367816948092003"/>
    <n v="0.739723068443358"/>
    <n v="0.94718711128656197"/>
    <n v="0.86191036593995096"/>
    <n v="0.96725310412120002"/>
    <n v="0.98499519578122496"/>
    <n v="0.95486268872386504"/>
  </r>
  <r>
    <s v="NE"/>
    <s v="Conj. Ventos de São Vitor"/>
    <s v="EOLIELÉTRICA"/>
    <x v="3"/>
    <x v="263"/>
    <n v="0.88533262120942302"/>
    <n v="0.96255059046940805"/>
    <n v="0.98820129369176901"/>
    <n v="0.962582636045338"/>
    <n v="0.98894665005044202"/>
    <n v="0.97313156489229102"/>
    <n v="0.98809447510533499"/>
  </r>
  <r>
    <s v="NE"/>
    <s v="Conj. Ventos do Piauí II"/>
    <s v="EOLIELÉTRICA"/>
    <x v="3"/>
    <x v="264"/>
    <n v="0.91163856739710203"/>
    <n v="0.91216134450527298"/>
    <n v="0.91163856739710203"/>
    <n v="0.94407737101200895"/>
    <n v="0.93080948162777299"/>
    <n v="0.97943985400965194"/>
    <n v="0.94985696237456896"/>
  </r>
  <r>
    <s v="NE"/>
    <s v="Conj. Ventos do Piauí III"/>
    <s v="EOLIELÉTRICA"/>
    <x v="3"/>
    <x v="265"/>
    <n v="0.90161416775832603"/>
    <n v="0.930888015561113"/>
    <n v="0.95644277718232695"/>
    <n v="0.96257343892659997"/>
    <n v="0.95644277718232695"/>
    <n v="0.96412905402723104"/>
    <n v="0.96518101702989101"/>
  </r>
  <r>
    <s v="NE"/>
    <s v="Conjunto Eólico Babilonia Centro"/>
    <s v="EOLIELÉTRICA"/>
    <x v="3"/>
    <x v="266"/>
    <n v="0.91865125026782901"/>
    <n v="0.83782228817661597"/>
    <n v="0.92573385285645104"/>
    <n v="0.91248918762349895"/>
    <n v="0.96926904367009703"/>
    <n v="0.94422004078944199"/>
    <n v="0.99987699681778797"/>
  </r>
  <r>
    <s v="NE"/>
    <s v="Conjunto Eólico Curral Novo do Piaui II 230kV"/>
    <s v="EOLIELÉTRICA"/>
    <x v="3"/>
    <x v="267"/>
    <n v="0.91150342899783199"/>
    <n v="0.824211771977297"/>
    <n v="0.97394844604860298"/>
    <n v="0.923156853096327"/>
    <n v="0.99538170145914096"/>
    <n v="0.93040625736919502"/>
    <n v="0.99452135626582105"/>
  </r>
  <r>
    <s v="NE"/>
    <s v="Conjunto Eólico Curral Novo do Piaui II 500kV"/>
    <s v="EOLIELÉTRICA"/>
    <x v="3"/>
    <x v="268"/>
    <n v="0.88926373494548505"/>
    <n v="0.83442920162694001"/>
    <n v="0.95560884631663701"/>
    <n v="0.88605421775374504"/>
    <n v="0.97296807911075101"/>
    <n v="0.88554721362754596"/>
    <n v="0.97331664444751198"/>
  </r>
  <r>
    <s v="NE"/>
    <s v="Conjunto Eólico Kairos"/>
    <s v="EOLIELÉTRICA"/>
    <x v="3"/>
    <x v="269"/>
    <n v="0.79643667025093401"/>
    <n v="0.88466288366745005"/>
    <n v="0.92151518700294899"/>
    <n v="0.84904555568567697"/>
    <n v="0.9175121634426"/>
    <n v="0.87117929499941404"/>
    <n v="0.95082455897539597"/>
  </r>
  <r>
    <s v="NE"/>
    <s v="Conjunto Eólico Ourolândia II"/>
    <s v="EOLIELÉTRICA"/>
    <x v="3"/>
    <x v="270"/>
    <n v="0.85209257902549596"/>
    <n v="0.85975635483512103"/>
    <n v="0.96791225398627501"/>
    <n v="0.93979448192798798"/>
    <n v="0.958434180900397"/>
    <n v="0.95376131059004898"/>
    <n v="0.95784156159980305"/>
  </r>
  <r>
    <s v="NE"/>
    <s v="Conjunto fotovoltaico Santa Luzia II 500kV"/>
    <s v="FOTOVOLTAICA"/>
    <x v="6"/>
    <x v="271"/>
    <n v="0.83151687608934399"/>
    <n v="0.92902034290754698"/>
    <n v="0.87594515854067001"/>
    <n v="0.98799653954293098"/>
    <n v="0.98108410691794501"/>
    <n v="1"/>
    <n v="0.99646532969759105"/>
  </r>
  <r>
    <s v="NE"/>
    <s v="Crato"/>
    <s v="TÉRMICA"/>
    <x v="5"/>
    <x v="0"/>
    <n v="0"/>
    <n v="0"/>
    <n v="0"/>
    <n v="0"/>
    <n v="0"/>
    <n v="0"/>
    <n v="0"/>
  </r>
  <r>
    <s v="NE"/>
    <s v="Curumim"/>
    <s v="TÉRMICA"/>
    <x v="4"/>
    <x v="0"/>
    <n v="0"/>
    <n v="0"/>
    <n v="0"/>
    <n v="0"/>
    <n v="0"/>
    <n v="0"/>
    <n v="0"/>
  </r>
  <r>
    <s v="NE"/>
    <s v="ERB Candeias"/>
    <s v="TÉRMICA"/>
    <x v="2"/>
    <x v="272"/>
    <n v="0.87749958684514895"/>
    <n v="0.85700710626342702"/>
    <n v="0.89043133366385696"/>
    <n v="0.97624359609981803"/>
    <n v="0.88534952900346997"/>
    <n v="0.98710956866633603"/>
    <n v="0.90051231201454296"/>
  </r>
  <r>
    <s v="NE"/>
    <s v="Flor de Mandacaru"/>
    <s v="FOTOVOLTAICA"/>
    <x v="6"/>
    <x v="273"/>
    <n v="0.97155674334255904"/>
    <n v="0.985038656103846"/>
    <n v="0.97158060513505695"/>
    <n v="0.99966593490502997"/>
    <n v="0.97785625656199304"/>
    <n v="1"/>
    <n v="0.99322325093060904"/>
  </r>
  <r>
    <s v="NE"/>
    <s v="Fortaleza"/>
    <s v="TÉRMICA"/>
    <x v="1"/>
    <x v="0"/>
    <n v="0"/>
    <n v="0"/>
    <n v="0"/>
    <n v="0"/>
    <n v="0"/>
    <n v="0"/>
    <n v="0"/>
  </r>
  <r>
    <s v="NE"/>
    <s v="Garrote"/>
    <s v="EOLIELÉTRICA"/>
    <x v="3"/>
    <x v="274"/>
    <n v="0.72467757156338397"/>
    <n v="0.766278703994967"/>
    <n v="0.85954702736709598"/>
    <n v="0.78216420257942698"/>
    <n v="0.916011324315822"/>
    <n v="0.85671594841145005"/>
    <n v="0.97955331865366402"/>
  </r>
  <r>
    <s v="NE"/>
    <s v="Global I"/>
    <s v="TÉRMICA"/>
    <x v="4"/>
    <x v="275"/>
    <n v="0.85039214440514699"/>
    <n v="0.93381901353268804"/>
    <n v="0.98948163521746102"/>
    <n v="0.99722569304729003"/>
    <n v="0.99926230260417703"/>
    <n v="1"/>
    <n v="1"/>
  </r>
  <r>
    <s v="NE"/>
    <s v="Global II"/>
    <s v="TÉRMICA"/>
    <x v="4"/>
    <x v="276"/>
    <n v="0.85898212986864797"/>
    <n v="0.906905600638932"/>
    <n v="0.98806994024273698"/>
    <n v="0.99794272430366304"/>
    <n v="1"/>
    <n v="1"/>
    <n v="1"/>
  </r>
  <r>
    <s v="NE"/>
    <s v="Gravier"/>
    <s v="EOLIELÉTRICA"/>
    <x v="3"/>
    <x v="277"/>
    <n v="0.72369874585742999"/>
    <n v="0.92777308467086805"/>
    <n v="0.81688218857625505"/>
    <n v="0.92722074208850402"/>
    <n v="0.91497173305607904"/>
    <n v="0.94489570472415296"/>
    <n v="0.99941516667749597"/>
  </r>
  <r>
    <s v="NE"/>
    <s v="Guarani"/>
    <s v="TÉRMICA"/>
    <x v="4"/>
    <x v="0"/>
    <n v="0"/>
    <n v="0"/>
    <n v="0"/>
    <n v="0"/>
    <n v="0"/>
    <n v="0"/>
    <n v="0"/>
  </r>
  <r>
    <s v="NE"/>
    <s v="Icaraizinho"/>
    <s v="EOLIELÉTRICA"/>
    <x v="3"/>
    <x v="278"/>
    <n v="0.81787810321549603"/>
    <n v="0.88241534180144898"/>
    <n v="0.89750089548948797"/>
    <n v="0.86902432976055899"/>
    <n v="0.95572148899236697"/>
    <n v="0.83312208965916201"/>
    <n v="0.97826715895627203"/>
  </r>
  <r>
    <s v="NE"/>
    <s v="Iguatu"/>
    <s v="TÉRMICA"/>
    <x v="5"/>
    <x v="0"/>
    <n v="0"/>
    <n v="0"/>
    <n v="0"/>
    <n v="0"/>
    <n v="0"/>
    <n v="0"/>
    <n v="0"/>
  </r>
  <r>
    <s v="NE"/>
    <s v="Itapebi"/>
    <s v="HIDROELÉTRICA"/>
    <x v="0"/>
    <x v="279"/>
    <n v="0.70684356386036395"/>
    <n v="0.88225518199325803"/>
    <n v="0.83440660110003395"/>
    <n v="0.99900688248333003"/>
    <n v="0.98458207422882404"/>
    <n v="0.99993960771858004"/>
    <n v="0.99970698559755899"/>
  </r>
  <r>
    <s v="NE"/>
    <s v="Juazeiro do Norte"/>
    <s v="TÉRMICA"/>
    <x v="5"/>
    <x v="0"/>
    <n v="0"/>
    <n v="0"/>
    <n v="0"/>
    <n v="0"/>
    <n v="0"/>
    <n v="0"/>
    <n v="0"/>
  </r>
  <r>
    <s v="NE"/>
    <s v="Luiz Gonzaga"/>
    <s v="HIDROELÉTRICA"/>
    <x v="0"/>
    <x v="280"/>
    <n v="0.73003033641954096"/>
    <n v="0.83185412416928295"/>
    <n v="0.86144589778604597"/>
    <n v="0.893672310930967"/>
    <n v="0.88917486706149995"/>
    <n v="0.89550146856003598"/>
    <n v="0.89237980136884298"/>
  </r>
  <r>
    <s v="NE"/>
    <s v="Malhadinha 1"/>
    <s v="EOLIELÉTRICA"/>
    <x v="3"/>
    <x v="281"/>
    <n v="0.95582602774704195"/>
    <n v="0.948697761511618"/>
    <n v="0.95582602774704195"/>
    <n v="0.980083411354157"/>
    <n v="0.97808324112690403"/>
    <n v="0.97961528640735296"/>
    <n v="0.97150821346497496"/>
  </r>
  <r>
    <s v="NE"/>
    <s v="Maracanaú I"/>
    <s v="TÉRMICA"/>
    <x v="4"/>
    <x v="282"/>
    <n v="0.90497373177576002"/>
    <n v="0.93881648814589203"/>
    <n v="0.99418723230674999"/>
    <n v="1"/>
    <n v="0.99978549375118597"/>
    <n v="1"/>
    <n v="1"/>
  </r>
  <r>
    <s v="NE"/>
    <s v="Marambaia"/>
    <s v="TÉRMICA"/>
    <x v="5"/>
    <x v="0"/>
    <n v="0"/>
    <n v="0"/>
    <n v="0"/>
    <n v="0"/>
    <n v="0"/>
    <n v="0"/>
    <n v="0"/>
  </r>
  <r>
    <s v="NE"/>
    <s v="Miassaba 3"/>
    <s v="EOLIELÉTRICA"/>
    <x v="3"/>
    <x v="283"/>
    <n v="0.91628900686261805"/>
    <n v="0.95856532435581998"/>
    <n v="0.83235681298286501"/>
    <n v="0.95286805645474504"/>
    <n v="0.80821895636410701"/>
    <n v="0.97538737105615203"/>
    <n v="0.80244615650222195"/>
  </r>
  <r>
    <s v="NE"/>
    <s v="Mundo Novo VI"/>
    <s v="EOLIELÉTRICA"/>
    <x v="3"/>
    <x v="284"/>
    <n v="0.56139761312237701"/>
    <n v="0.71645383371782501"/>
    <n v="0.62071533668779799"/>
    <n v="0.80503533087500601"/>
    <n v="0.651722947812028"/>
    <n v="0.774672576338304"/>
    <n v="0.72003233365424801"/>
  </r>
  <r>
    <s v="NE"/>
    <s v="Nazária"/>
    <s v="TÉRMICA"/>
    <x v="5"/>
    <x v="0"/>
    <n v="0"/>
    <n v="0"/>
    <n v="0"/>
    <n v="0"/>
    <n v="0"/>
    <n v="0"/>
    <n v="0"/>
  </r>
  <r>
    <s v="NE"/>
    <s v="PECÉM II"/>
    <s v="TÉRMICA"/>
    <x v="4"/>
    <x v="285"/>
    <n v="0.80053877596187695"/>
    <n v="0.99582258432639104"/>
    <n v="0.99967493619758296"/>
    <n v="1"/>
    <n v="0.99967493619758296"/>
    <n v="1"/>
    <n v="1"/>
  </r>
  <r>
    <s v="NE"/>
    <s v="PQU ALPAL FOTOV MMGD"/>
    <s v="FOTOVOLTAICA"/>
    <x v="6"/>
    <x v="286"/>
    <n v="0.62778620232363702"/>
    <n v="0.73734136708276798"/>
    <n v="0.73752702741661103"/>
    <n v="0.92179952143454302"/>
    <n v="0.90492115201660495"/>
    <n v="0.99060570242453905"/>
    <n v="0.99486147548072701"/>
  </r>
  <r>
    <s v="NE"/>
    <s v="PQU ALPEAL HID - CARGA GLOBAL"/>
    <s v="HIDROELÉTRICA"/>
    <x v="0"/>
    <x v="287"/>
    <n v="0.99673362730687498"/>
    <n v="0.99673362730687498"/>
    <n v="0.99673362730687498"/>
    <n v="0.99673362730687498"/>
    <n v="0.99673362730687498"/>
    <n v="0.99673362730687498"/>
    <n v="0.99673362730687498"/>
  </r>
  <r>
    <s v="NE"/>
    <s v="PQU ALPEAL TERM - CARGA GLOBAL"/>
    <s v="TÉRMICA"/>
    <x v="7"/>
    <x v="288"/>
    <n v="0.79427397260273902"/>
    <n v="0.69178082191780799"/>
    <n v="0.79452054794520499"/>
    <n v="0.69178082191780799"/>
    <n v="0.79452054794520499"/>
    <n v="0.69178082191780799"/>
    <n v="0.79452054794520499"/>
  </r>
  <r>
    <s v="NE"/>
    <s v="PQU ALPEPB TERM - CARGA GLOBAL"/>
    <s v="TÉRMICA"/>
    <x v="7"/>
    <x v="289"/>
    <n v="0.89964999999999995"/>
    <n v="0.99965000000000004"/>
    <n v="0.89964999999999995"/>
    <n v="0.99965000000000004"/>
    <n v="0.89964999999999995"/>
    <n v="0.99965000000000004"/>
    <n v="0.89964999999999995"/>
  </r>
  <r>
    <s v="NE"/>
    <s v="PQU ALPEPE EOL - CARGA GLOBAL"/>
    <s v="EOLIELÉTRICA"/>
    <x v="3"/>
    <x v="290"/>
    <n v="0.85113829787233997"/>
    <n v="0.87241489361702096"/>
    <n v="0.83631914893616999"/>
    <n v="0.85468439716311995"/>
    <n v="0.83631914893616999"/>
    <n v="0.79440070921985795"/>
    <n v="0.80972340425531897"/>
  </r>
  <r>
    <s v="NE"/>
    <s v="PQU ALPEPE FOTOV - CARGA GLOBAL"/>
    <s v="FOTOVOLTAICA"/>
    <x v="6"/>
    <x v="291"/>
    <n v="0.90537999999999996"/>
    <n v="0.93537999999999999"/>
    <n v="0.95"/>
    <n v="0.97"/>
    <n v="0.96"/>
    <n v="1"/>
    <n v="1"/>
  </r>
  <r>
    <s v="NE"/>
    <s v="PQU ALPEPE HID - CARGA GLOBAL"/>
    <s v="HIDROELÉTRICA"/>
    <x v="0"/>
    <x v="292"/>
    <n v="0.87437500000000001"/>
    <n v="0.87437500000000001"/>
    <n v="0.87437500000000001"/>
    <n v="0.87437500000000001"/>
    <n v="0.87437500000000001"/>
    <n v="0.87437500000000001"/>
    <n v="0.87437500000000001"/>
  </r>
  <r>
    <s v="NE"/>
    <s v="PQU ALPEPE TERM - CARGA GLOBAL"/>
    <s v="TÉRMICA"/>
    <x v="7"/>
    <x v="293"/>
    <n v="0.81603225806451596"/>
    <n v="0.82678494623655896"/>
    <n v="0.81603225806451596"/>
    <n v="0.81603225806451596"/>
    <n v="0.81603225806451596"/>
    <n v="0.81603225806451596"/>
    <n v="0.81603225806451596"/>
  </r>
  <r>
    <s v="NE"/>
    <s v="PQU ALPPE FOTOV MMGD"/>
    <s v="FOTOVOLTAICA"/>
    <x v="6"/>
    <x v="294"/>
    <n v="0.81590024462841704"/>
    <n v="0.73130098935926602"/>
    <n v="0.930997312702601"/>
    <n v="0.90196847547087899"/>
    <n v="0.98082137305231099"/>
    <n v="0.99505079353602499"/>
    <n v="0.98781798681657595"/>
  </r>
  <r>
    <s v="NE"/>
    <s v="PQU BAOEBA EOL - CARGA GLOBAL"/>
    <s v="EOLIELÉTRICA"/>
    <x v="3"/>
    <x v="295"/>
    <n v="0.99171641791044696"/>
    <n v="0.83686940298507395"/>
    <n v="0.995447761194029"/>
    <n v="0.82194029850746197"/>
    <n v="0.99171641791044696"/>
    <n v="0.80514925373134305"/>
    <n v="0.95626865671641703"/>
  </r>
  <r>
    <s v="NE"/>
    <s v="PQU BAOEBA FOTOV - CARGA GLOBAL"/>
    <s v="FOTOVOLTAICA"/>
    <x v="6"/>
    <x v="296"/>
    <n v="0.83312142857142801"/>
    <n v="0.875"/>
    <n v="0.93571428571428505"/>
    <n v="0.95714285714285696"/>
    <n v="0.94655"/>
    <n v="1"/>
    <n v="0.98928571428571399"/>
  </r>
  <r>
    <s v="NE"/>
    <s v="PQU BAOEBA HID - CARGA GLOBAL"/>
    <s v="HIDROELÉTRICA"/>
    <x v="0"/>
    <x v="297"/>
    <n v="0.91928205128205098"/>
    <n v="0.91928205128205098"/>
    <n v="0.92569230769230704"/>
    <n v="0.91928205128205098"/>
    <n v="0.93210256410256398"/>
    <n v="0.92569230769230704"/>
    <n v="0.93273076923076903"/>
  </r>
  <r>
    <s v="NE"/>
    <s v="PQU BAOEBA TERM - CARGA GLOBAL"/>
    <s v="TÉRMICA"/>
    <x v="7"/>
    <x v="298"/>
    <n v="0.75"/>
    <n v="0.75"/>
    <n v="0.75"/>
    <n v="0.75"/>
    <n v="0.75"/>
    <n v="0.75"/>
    <n v="0.75"/>
  </r>
  <r>
    <s v="NE"/>
    <s v="PQU BAOETO HID - CARGA GLOBAL"/>
    <s v="HIDROELÉTRICA"/>
    <x v="0"/>
    <x v="299"/>
    <n v="0.83529411764705797"/>
    <n v="0.84117647058823497"/>
    <n v="0.84117647058823497"/>
    <n v="0.83529411764705797"/>
    <n v="0.84117647058823497"/>
    <n v="0.84117647058823497"/>
    <n v="0.841464705882353"/>
  </r>
  <r>
    <s v="NE"/>
    <s v="PQU BASEBA HID - CARGA GLOBAL"/>
    <s v="HIDROELÉTRICA"/>
    <x v="0"/>
    <x v="300"/>
    <n v="0.84248837209302296"/>
    <n v="0.84248837209302296"/>
    <n v="0.84248837209302296"/>
    <n v="0.84248837209302296"/>
    <n v="0.84248837209302296"/>
    <n v="0.84248837209302296"/>
    <n v="0.84248837209302296"/>
  </r>
  <r>
    <s v="NE"/>
    <s v="PQU BASEBA TERM - CARGA GLOBAL"/>
    <s v="TÉRMICA"/>
    <x v="7"/>
    <x v="301"/>
    <n v="0.74335443037974602"/>
    <n v="0.75306329113923998"/>
    <n v="0.74335443037974602"/>
    <n v="0.75306329113923998"/>
    <n v="0.74335443037974602"/>
    <n v="0.75306329113923998"/>
    <n v="0.74335443037974602"/>
  </r>
  <r>
    <s v="NE"/>
    <s v="PQU BASESE EOL - CARGA GLOBAL"/>
    <s v="EOLIELÉTRICA"/>
    <x v="3"/>
    <x v="302"/>
    <n v="0.7"/>
    <n v="0.65754999999999997"/>
    <n v="0.72482500000000005"/>
    <n v="0.66762499999999902"/>
    <n v="0.72499999999999998"/>
    <n v="0.66762499999999902"/>
    <n v="0.75"/>
  </r>
  <r>
    <s v="NE"/>
    <s v="PQU BASESE TERM - CARGA GLOBAL"/>
    <s v="TÉRMICA"/>
    <x v="7"/>
    <x v="303"/>
    <n v="0.84615384615384603"/>
    <n v="0.84615384615384603"/>
    <n v="0.84615384615384603"/>
    <n v="0.84615384615384603"/>
    <n v="0.84615384615384603"/>
    <n v="0.84615384615384603"/>
    <n v="0.84615384615384603"/>
  </r>
  <r>
    <s v="NE"/>
    <s v="PQU BOEBA FOTOV MMGD"/>
    <s v="FOTOVOLTAICA"/>
    <x v="6"/>
    <x v="304"/>
    <n v="0.71810863558049498"/>
    <n v="0.73785569611847102"/>
    <n v="0.79297591245992405"/>
    <n v="0.90834080419696495"/>
    <n v="0.912616720715136"/>
    <n v="0.98972341202642999"/>
    <n v="0.98544749550825805"/>
  </r>
  <r>
    <s v="NE"/>
    <s v="PQU BSCAL FOTOV MMGD"/>
    <s v="FOTOVOLTAICA"/>
    <x v="6"/>
    <x v="305"/>
    <n v="0.94779435989821703"/>
    <n v="0.96503676650988002"/>
    <n v="0.95076827635517303"/>
    <n v="0.98908220416803905"/>
    <n v="0.96664376791885398"/>
    <n v="1"/>
    <n v="0.98978844360949603"/>
  </r>
  <r>
    <s v="NE"/>
    <s v="PQU BSSBA FOTOV MMGD"/>
    <s v="FOTOVOLTAICA"/>
    <x v="6"/>
    <x v="306"/>
    <n v="0.70594511497956502"/>
    <n v="0.73904825358284698"/>
    <n v="0.77634177473068799"/>
    <n v="0.91096775333546698"/>
    <n v="0.91520231081693404"/>
    <n v="0.98991772028222003"/>
    <n v="0.98712638397478802"/>
  </r>
  <r>
    <s v="NE"/>
    <s v="PQU BSSES FOTOV MMGD"/>
    <s v="FOTOVOLTAICA"/>
    <x v="6"/>
    <x v="307"/>
    <n v="0.81995101782845703"/>
    <n v="0.88006939140968499"/>
    <n v="0.83169126747952404"/>
    <n v="0.964326626813788"/>
    <n v="0.88092690859294698"/>
    <n v="1"/>
    <n v="0.95767551944802898"/>
  </r>
  <r>
    <s v="NE"/>
    <s v="PQU CECE EOL - CARGA GLOBAL"/>
    <s v="EOLIELÉTRICA"/>
    <x v="3"/>
    <x v="308"/>
    <n v="0.788717770034843"/>
    <n v="0.80265505226480804"/>
    <n v="0.79045993031358897"/>
    <n v="0.79568641114982497"/>
    <n v="0.788717770034843"/>
    <n v="0.79066202090592297"/>
    <n v="0.76781184668989499"/>
  </r>
  <r>
    <s v="NE"/>
    <s v="PQU CECE FOTOV - CARGA GLOBAL"/>
    <s v="FOTOVOLTAICA"/>
    <x v="6"/>
    <x v="29"/>
    <n v="1"/>
    <n v="1"/>
    <n v="1"/>
    <n v="1"/>
    <n v="1"/>
    <n v="1"/>
    <n v="1"/>
  </r>
  <r>
    <s v="NE"/>
    <s v="PQU CECE FOTOV MMGD"/>
    <s v="FOTOVOLTAICA"/>
    <x v="6"/>
    <x v="309"/>
    <n v="0.75783780801877998"/>
    <n v="0.739183268173631"/>
    <n v="0.84803197950304199"/>
    <n v="0.92156675455649695"/>
    <n v="0.901855902222649"/>
    <n v="0.99218390053091399"/>
    <n v="0.995511182712434"/>
  </r>
  <r>
    <s v="NE"/>
    <s v="PQU CEPB EOL - CARGA GLOBAL"/>
    <s v="EOLIELÉTRICA"/>
    <x v="3"/>
    <x v="310"/>
    <n v="0.91421276595744605"/>
    <n v="0.882297872340425"/>
    <n v="0.91421276595744605"/>
    <n v="0.86102127659574401"/>
    <n v="0.91421276595744605"/>
    <n v="0.83974468085106302"/>
    <n v="0.87697872340425498"/>
  </r>
  <r>
    <s v="NE"/>
    <s v="PQU CEPB FOTOV - CARGA GLOBAL"/>
    <s v="FOTOVOLTAICA"/>
    <x v="6"/>
    <x v="311"/>
    <n v="0.81651376146788901"/>
    <n v="0.90352752293577898"/>
    <n v="0.93119266055045802"/>
    <n v="0.96788990825688004"/>
    <n v="0.95194954128440301"/>
    <n v="1"/>
    <n v="0.99312385321100904"/>
  </r>
  <r>
    <s v="NE"/>
    <s v="PQU CEPB FOTOV MMGD"/>
    <s v="FOTOVOLTAICA"/>
    <x v="6"/>
    <x v="0"/>
    <n v="0"/>
    <n v="0"/>
    <n v="0"/>
    <n v="0"/>
    <n v="0"/>
    <n v="0"/>
    <n v="0"/>
  </r>
  <r>
    <s v="NE"/>
    <s v="PQU CEPB HID - CARGA GLOBAL"/>
    <s v="HIDROELÉTRICA"/>
    <x v="0"/>
    <x v="0"/>
    <n v="0"/>
    <n v="0"/>
    <n v="0"/>
    <n v="0"/>
    <n v="0"/>
    <n v="0"/>
    <n v="0"/>
  </r>
  <r>
    <s v="NE"/>
    <s v="PQU CEPE FOTOV MMGD"/>
    <s v="FOTOVOLTAICA"/>
    <x v="6"/>
    <x v="0"/>
    <n v="0"/>
    <n v="0"/>
    <n v="0"/>
    <n v="0"/>
    <n v="0"/>
    <n v="0"/>
    <n v="0"/>
  </r>
  <r>
    <s v="NE"/>
    <s v="PQU CERN EOL - CARGA GLOBAL"/>
    <s v="EOLIELÉTRICA"/>
    <x v="3"/>
    <x v="312"/>
    <n v="0.89966666666666595"/>
    <n v="0.916333333333333"/>
    <n v="0.89966666666666595"/>
    <n v="0.89966666666666595"/>
    <n v="0.89966666666666595"/>
    <n v="0.86633333333333296"/>
    <n v="0.86633333333333296"/>
  </r>
  <r>
    <s v="NE"/>
    <s v="PQU CERN FOTOV MMGD"/>
    <s v="FOTOVOLTAICA"/>
    <x v="6"/>
    <x v="29"/>
    <n v="1"/>
    <n v="1"/>
    <n v="1"/>
    <n v="1"/>
    <n v="1"/>
    <n v="1"/>
    <n v="1"/>
  </r>
  <r>
    <s v="NE"/>
    <s v="PQU PBRNPB EOL - CARGA GLOBAL"/>
    <s v="EOLIELÉTRICA"/>
    <x v="3"/>
    <x v="313"/>
    <n v="0.915977777777777"/>
    <n v="0.81320000000000003"/>
    <n v="0.92153333333333298"/>
    <n v="0.79375555555555499"/>
    <n v="0.915977777777777"/>
    <n v="0.77708888888888805"/>
    <n v="0.88819999999999999"/>
  </r>
  <r>
    <s v="NE"/>
    <s v="PQU PBRNRN EOL - CARGA GLOBAL"/>
    <s v="EOLIELÉTRICA"/>
    <x v="3"/>
    <x v="314"/>
    <n v="0.89427941176470505"/>
    <n v="0.86241666666666605"/>
    <n v="0.90163235294117605"/>
    <n v="0.83545588235294099"/>
    <n v="0.89673039215686201"/>
    <n v="0.82320098039215595"/>
    <n v="0.86731862745097998"/>
  </r>
  <r>
    <s v="NE"/>
    <s v="PQU PBRNRN FOTOV - CARGA GLOBAL"/>
    <s v="FOTOVOLTAICA"/>
    <x v="6"/>
    <x v="29"/>
    <n v="1"/>
    <n v="1"/>
    <n v="1"/>
    <n v="1"/>
    <n v="1"/>
    <n v="1"/>
    <n v="1"/>
  </r>
  <r>
    <s v="NE"/>
    <s v="PQU PBRNRN TERM - CARGA GLOBAL"/>
    <s v="TÉRMICA"/>
    <x v="7"/>
    <x v="315"/>
    <n v="0.81455555555555503"/>
    <n v="0.81481481481481399"/>
    <n v="0.81481481481481399"/>
    <n v="0.81481481481481399"/>
    <n v="0.81481481481481399"/>
    <n v="0.81481481481481399"/>
    <n v="0.81481481481481399"/>
  </r>
  <r>
    <s v="NE"/>
    <s v="PQU PBRPB FOTOV MMGD"/>
    <s v="FOTOVOLTAICA"/>
    <x v="6"/>
    <x v="316"/>
    <n v="0.72641994956392897"/>
    <n v="0.73756517298305202"/>
    <n v="0.81026892639263304"/>
    <n v="0.91678840207920098"/>
    <n v="0.89898534028511801"/>
    <n v="0.98658634108876897"/>
    <n v="0.989574302149273"/>
  </r>
  <r>
    <s v="NE"/>
    <s v="PQU PBRRN FOTOV MMGD"/>
    <s v="FOTOVOLTAICA"/>
    <x v="6"/>
    <x v="317"/>
    <n v="0.71379658441006899"/>
    <n v="0.735317234648594"/>
    <n v="0.79275447436320801"/>
    <n v="0.91550611771542301"/>
    <n v="0.92146055333848198"/>
    <n v="0.99280389288844995"/>
    <n v="0.999023425374301"/>
  </r>
  <r>
    <s v="NE"/>
    <s v="PQU PIPI EOL - CARGA GLOBAL"/>
    <s v="EOLIELÉTRICA"/>
    <x v="3"/>
    <x v="318"/>
    <n v="0.73616666666666597"/>
    <n v="0.76798484848484805"/>
    <n v="0.73919696969696902"/>
    <n v="0.77121212121212102"/>
    <n v="0.73616666666666597"/>
    <n v="0.80303030303030298"/>
    <n v="0.73666060606060602"/>
  </r>
  <r>
    <s v="NE"/>
    <s v="PQU PIPI FOTOV - CARGA GLOBAL"/>
    <s v="FOTOVOLTAICA"/>
    <x v="6"/>
    <x v="319"/>
    <n v="0.84426229508196704"/>
    <n v="0.87704918032786805"/>
    <n v="0.86065573770491799"/>
    <n v="0.96721311475409799"/>
    <n v="0.95901639344262202"/>
    <n v="1"/>
    <n v="0.99181147540983605"/>
  </r>
  <r>
    <s v="NE"/>
    <s v="PQU PIPI FOTOV MMGD"/>
    <s v="FOTOVOLTAICA"/>
    <x v="6"/>
    <x v="320"/>
    <n v="0.79707841173702598"/>
    <n v="0.751820839818378"/>
    <n v="0.90223266532340696"/>
    <n v="0.92062807411250402"/>
    <n v="0.96987218931103603"/>
    <n v="0.99276992869466596"/>
    <n v="0.99048256779637101"/>
  </r>
  <r>
    <s v="NE"/>
    <s v="PQU PIPI TERM - CARGA GLOBAL"/>
    <s v="TÉRMICA"/>
    <x v="7"/>
    <x v="321"/>
    <n v="0.99960000000000004"/>
    <n v="0.99960000000000004"/>
    <n v="0.99960000000000004"/>
    <n v="0.99960000000000004"/>
    <n v="0.99960000000000004"/>
    <n v="0.99960000000000004"/>
    <n v="0.99960000000000004"/>
  </r>
  <r>
    <s v="NE"/>
    <s v="Pau Ferro I"/>
    <s v="TÉRMICA"/>
    <x v="5"/>
    <x v="0"/>
    <n v="0"/>
    <n v="0"/>
    <n v="0"/>
    <n v="0"/>
    <n v="0"/>
    <n v="0"/>
    <n v="0"/>
  </r>
  <r>
    <s v="NE"/>
    <s v="Paulo Afonso I"/>
    <s v="HIDROELÉTRICA"/>
    <x v="0"/>
    <x v="322"/>
    <n v="0.91168388348643403"/>
    <n v="0.99775676615408704"/>
    <n v="0.97161187567997997"/>
    <n v="0.99775676615408704"/>
    <n v="0.99559484953508903"/>
    <n v="0.99775676615408704"/>
    <n v="0.99775676615408704"/>
  </r>
  <r>
    <s v="NE"/>
    <s v="Paulo Afonso II"/>
    <s v="HIDROELÉTRICA"/>
    <x v="0"/>
    <x v="323"/>
    <n v="0.82115212524069303"/>
    <n v="0.93663798656643105"/>
    <n v="0.96394385617933698"/>
    <n v="0.99982589983669401"/>
    <n v="0.97979393504671097"/>
    <n v="0.99982589983669401"/>
    <n v="1"/>
  </r>
  <r>
    <s v="NE"/>
    <s v="Paulo Afonso III"/>
    <s v="HIDROELÉTRICA"/>
    <x v="0"/>
    <x v="324"/>
    <n v="0.83872219067609999"/>
    <n v="0.98072184614991997"/>
    <n v="0.94979679335447198"/>
    <n v="1"/>
    <n v="0.99722720225600803"/>
    <n v="1"/>
    <n v="0.99722720225600803"/>
  </r>
  <r>
    <s v="NE"/>
    <s v="Paulo Afonso IV"/>
    <s v="HIDROELÉTRICA"/>
    <x v="0"/>
    <x v="325"/>
    <n v="0.65731870367963097"/>
    <n v="0.77863127740861005"/>
    <n v="0.69231693955958495"/>
    <n v="0.78960058562921398"/>
    <n v="0.69962288879788603"/>
    <n v="0.79021680595559096"/>
    <n v="0.74516186412268504"/>
  </r>
  <r>
    <s v="NE"/>
    <s v="Pecém"/>
    <s v="TÉRMICA"/>
    <x v="5"/>
    <x v="0"/>
    <n v="0"/>
    <n v="0"/>
    <n v="0"/>
    <n v="0"/>
    <n v="0"/>
    <n v="0"/>
    <n v="0"/>
  </r>
  <r>
    <s v="NE"/>
    <s v="Pedra do Cavalo"/>
    <s v="HIDROELÉTRICA"/>
    <x v="0"/>
    <x v="326"/>
    <n v="0.98844335546942497"/>
    <n v="1"/>
    <n v="0.99967289604265896"/>
    <n v="1"/>
    <n v="0.99967289604265896"/>
    <n v="1"/>
    <n v="1"/>
  </r>
  <r>
    <s v="NE"/>
    <s v="Pernambuco III"/>
    <s v="TÉRMICA"/>
    <x v="4"/>
    <x v="327"/>
    <n v="0.97023177770365199"/>
    <n v="0.99928485510103005"/>
    <n v="0.99515318757517801"/>
    <n v="1"/>
    <n v="0.99915850441216603"/>
    <n v="0.999999999999999"/>
    <n v="0.99961083987829802"/>
  </r>
  <r>
    <s v="NE"/>
    <s v="Petrolina"/>
    <s v="TÉRMICA"/>
    <x v="4"/>
    <x v="0"/>
    <n v="0"/>
    <n v="0"/>
    <n v="0"/>
    <n v="0"/>
    <n v="0"/>
    <n v="0"/>
    <n v="0"/>
  </r>
  <r>
    <s v="NE"/>
    <s v="Pitombeira"/>
    <s v="FOTOVOLTAICA"/>
    <x v="6"/>
    <x v="328"/>
    <n v="0.96004860681774495"/>
    <n v="0.98772038288528297"/>
    <n v="0.97718890570703698"/>
    <n v="0.99411601679919803"/>
    <n v="0.98777367983456599"/>
    <n v="0.98893555332892702"/>
    <n v="0.99204809516703196"/>
  </r>
  <r>
    <s v="NE"/>
    <s v="Porto de Sergipe I"/>
    <s v="TÉRMICA"/>
    <x v="1"/>
    <x v="329"/>
    <n v="0.80139758254238602"/>
    <n v="0.82420118439198498"/>
    <n v="0.97326616370568597"/>
    <n v="0.95463421757118505"/>
    <n v="0.99850863957167102"/>
    <n v="0.95758968118763699"/>
    <n v="0.99942986939238998"/>
  </r>
  <r>
    <s v="NE"/>
    <s v="Porto do Pecém I"/>
    <s v="TÉRMICA"/>
    <x v="9"/>
    <x v="330"/>
    <n v="0.73483091841036596"/>
    <n v="0.70385897663478802"/>
    <n v="0.74600178622939095"/>
    <n v="0.88353174162912895"/>
    <n v="0.82123283111811296"/>
    <n v="0.985570095635387"/>
    <n v="0.956887800386091"/>
  </r>
  <r>
    <s v="NE"/>
    <s v="Porto do Pecém II"/>
    <s v="TÉRMICA"/>
    <x v="9"/>
    <x v="331"/>
    <n v="0.91071365495129497"/>
    <n v="0.78227342508185305"/>
    <n v="0.99071827407719304"/>
    <n v="0.97507438151262704"/>
    <n v="0.99345714402162799"/>
    <n v="0.99926773268846703"/>
    <n v="0.99507791378537302"/>
  </r>
  <r>
    <s v="NE"/>
    <s v="Potiguar"/>
    <s v="TÉRMICA"/>
    <x v="5"/>
    <x v="0"/>
    <n v="0"/>
    <n v="0"/>
    <n v="0"/>
    <n v="0"/>
    <n v="0"/>
    <n v="0"/>
    <n v="0"/>
  </r>
  <r>
    <s v="NE"/>
    <s v="Potiguar III"/>
    <s v="TÉRMICA"/>
    <x v="5"/>
    <x v="0"/>
    <n v="0"/>
    <n v="0"/>
    <n v="0"/>
    <n v="0"/>
    <n v="0"/>
    <n v="0"/>
    <n v="0"/>
  </r>
  <r>
    <s v="NE"/>
    <s v="Praia Formosa"/>
    <s v="EOLIELÉTRICA"/>
    <x v="3"/>
    <x v="332"/>
    <n v="0.81185447663532495"/>
    <n v="1"/>
    <n v="0.90170428234915101"/>
    <n v="0.999924500191266"/>
    <n v="0.94487507298314799"/>
    <n v="1"/>
    <n v="0.963533592381566"/>
  </r>
  <r>
    <s v="NE"/>
    <s v="Prosperidade I"/>
    <s v="TÉRMICA"/>
    <x v="1"/>
    <x v="333"/>
    <n v="0.95129456706281801"/>
    <n v="0.99906267685342398"/>
    <n v="0.99911573288058797"/>
    <n v="0.999982314657611"/>
    <n v="0.99955786644029399"/>
    <n v="1"/>
    <n v="0.99955786644029399"/>
  </r>
  <r>
    <s v="NE"/>
    <s v="Prosperidade II"/>
    <s v="TÉRMICA"/>
    <x v="1"/>
    <x v="334"/>
    <n v="0.960938339241594"/>
    <n v="0.99713986464711502"/>
    <n v="0.99944945751423298"/>
    <n v="1"/>
    <n v="1"/>
    <n v="1"/>
    <n v="1"/>
  </r>
  <r>
    <s v="NE"/>
    <s v="Prosperidade III"/>
    <s v="TÉRMICA"/>
    <x v="1"/>
    <x v="335"/>
    <n v="0.95347070808163803"/>
    <n v="0.999892769060299"/>
    <n v="1"/>
    <n v="0.999892769060299"/>
    <n v="1"/>
    <n v="1"/>
    <n v="1"/>
  </r>
  <r>
    <s v="NE"/>
    <s v="Prosperidade IV"/>
    <s v="TÉRMICA"/>
    <x v="1"/>
    <x v="29"/>
    <n v="1"/>
    <n v="1"/>
    <n v="1"/>
    <n v="1"/>
    <n v="1"/>
    <n v="1"/>
    <n v="1"/>
  </r>
  <r>
    <s v="NE"/>
    <s v="Rei dos Ventos 1"/>
    <s v="EOLIELÉTRICA"/>
    <x v="3"/>
    <x v="336"/>
    <n v="0.80611164672299995"/>
    <n v="0.89341008336641503"/>
    <n v="0.85703888542316398"/>
    <n v="0.95981965632620603"/>
    <n v="0.96198415849070795"/>
    <n v="0.98693737121684699"/>
    <n v="0.96305223161118303"/>
  </r>
  <r>
    <s v="NE"/>
    <s v="Rei dos Ventos 3"/>
    <s v="EOLIELÉTRICA"/>
    <x v="3"/>
    <x v="337"/>
    <n v="0.77088738446570404"/>
    <n v="0.86076090481595502"/>
    <n v="0.83605278093075996"/>
    <n v="0.91890303226852499"/>
    <n v="0.90841373439273498"/>
    <n v="0.94742176098589204"/>
    <n v="0.91301483703583597"/>
  </r>
  <r>
    <s v="NE"/>
    <s v="Santo Inácio III"/>
    <s v="EOLIELÉTRICA"/>
    <x v="3"/>
    <x v="338"/>
    <n v="0.68291870279875599"/>
    <n v="0.76888049755664101"/>
    <n v="0.79459129275877305"/>
    <n v="0.84823411816970196"/>
    <n v="0.87011328298533996"/>
    <n v="0.96012883163038598"/>
    <n v="0.94863394047090099"/>
  </r>
  <r>
    <s v="NE"/>
    <s v="Santo Inácio IV"/>
    <s v="EOLIELÉTRICA"/>
    <x v="3"/>
    <x v="339"/>
    <n v="0.68874040751521504"/>
    <n v="0.761577136808679"/>
    <n v="0.83745699920613903"/>
    <n v="0.77586663138396395"/>
    <n v="0.91770309605715705"/>
    <n v="0.87278380523948096"/>
    <n v="0.97869806827202899"/>
  </r>
  <r>
    <s v="NE"/>
    <s v="Sobradinho"/>
    <s v="HIDROELÉTRICA"/>
    <x v="0"/>
    <x v="340"/>
    <n v="0.96525415472125997"/>
    <n v="0.89309975269639696"/>
    <n v="0.96649792808087798"/>
    <n v="0.89548157868006595"/>
    <n v="0.97097758513110399"/>
    <n v="0.89548157868006595"/>
    <n v="0.97097758513110399"/>
  </r>
  <r>
    <s v="NE"/>
    <s v="Sol do Piauí"/>
    <s v="FOTOVOLTAICA"/>
    <x v="6"/>
    <x v="341"/>
    <n v="0.95535365978852205"/>
    <n v="0.97761010163227602"/>
    <n v="0.96217020839749501"/>
    <n v="0.98087465352633196"/>
    <n v="0.97869828559696104"/>
    <n v="1"/>
    <n v="0.98152140437326696"/>
  </r>
  <r>
    <s v="NE"/>
    <s v="Suape II"/>
    <s v="TÉRMICA"/>
    <x v="4"/>
    <x v="342"/>
    <n v="0.90466635655736605"/>
    <n v="0.98050516279424205"/>
    <n v="0.99917479389557695"/>
    <n v="0.99897900454914501"/>
    <n v="1"/>
    <n v="1"/>
    <n v="1"/>
  </r>
  <r>
    <s v="NE"/>
    <s v="Sykué I"/>
    <s v="TÉRMICA"/>
    <x v="2"/>
    <x v="0"/>
    <n v="0"/>
    <n v="0"/>
    <n v="0"/>
    <n v="0"/>
    <n v="0"/>
    <n v="0"/>
    <n v="0"/>
  </r>
  <r>
    <s v="NE"/>
    <s v="São Fernando 4"/>
    <s v="EOLIELÉTRICA"/>
    <x v="3"/>
    <x v="343"/>
    <n v="0.77006190476190395"/>
    <n v="1"/>
    <n v="0.92380952380952297"/>
    <n v="1"/>
    <n v="0.92380952380952297"/>
    <n v="1"/>
    <n v="0.92380952380952297"/>
  </r>
  <r>
    <s v="NE"/>
    <s v="São Raimundo"/>
    <s v="EOLIELÉTRICA"/>
    <x v="3"/>
    <x v="344"/>
    <n v="0.70833333333333304"/>
    <n v="0.74494219653179194"/>
    <n v="0.81101477199743099"/>
    <n v="0.90855812459858698"/>
    <n v="0.869781631342325"/>
    <n v="0.96563904945407797"/>
    <n v="0.99405908798972398"/>
  </r>
  <r>
    <s v="NE"/>
    <s v="Termobahia"/>
    <s v="TÉRMICA"/>
    <x v="1"/>
    <x v="345"/>
    <n v="0.880630944096497"/>
    <n v="0.91692182788216103"/>
    <n v="0.96012526096033401"/>
    <n v="0.97236720018557099"/>
    <n v="0.96961261888192896"/>
    <n v="0.972961609835305"/>
    <n v="0.969632915796799"/>
  </r>
  <r>
    <s v="NE"/>
    <s v="Termocabo"/>
    <s v="TÉRMICA"/>
    <x v="4"/>
    <x v="346"/>
    <n v="0.95672528659744305"/>
    <n v="0.99996998979652996"/>
    <n v="0.999949982994218"/>
    <n v="0.99996998979652996"/>
    <n v="1"/>
    <n v="0.999999999999999"/>
    <n v="0.999999999999999"/>
  </r>
  <r>
    <s v="NE"/>
    <s v="Termocamaçari"/>
    <s v="TÉRMICA"/>
    <x v="1"/>
    <x v="0"/>
    <n v="0"/>
    <n v="0"/>
    <n v="0"/>
    <n v="0"/>
    <n v="0"/>
    <n v="0"/>
    <n v="0"/>
  </r>
  <r>
    <s v="NE"/>
    <s v="Termoceará"/>
    <s v="TÉRMICA"/>
    <x v="1"/>
    <x v="347"/>
    <n v="0.92648423921630596"/>
    <n v="0.95808480802654405"/>
    <n v="0.96981158160846803"/>
    <n v="1"/>
    <n v="1"/>
    <n v="1"/>
    <n v="1"/>
  </r>
  <r>
    <s v="NE"/>
    <s v="Termomanaus"/>
    <s v="TÉRMICA"/>
    <x v="5"/>
    <x v="0"/>
    <n v="0"/>
    <n v="0"/>
    <n v="0"/>
    <n v="0"/>
    <n v="0"/>
    <n v="0"/>
    <n v="0"/>
  </r>
  <r>
    <s v="NE"/>
    <s v="Termonordeste"/>
    <s v="TÉRMICA"/>
    <x v="4"/>
    <x v="348"/>
    <n v="0.85633964715877797"/>
    <n v="0.86544492478384705"/>
    <n v="0.97740079464241003"/>
    <n v="0.97061322404917705"/>
    <n v="1"/>
    <n v="0.98589384776850397"/>
    <n v="1"/>
  </r>
  <r>
    <s v="NE"/>
    <s v="Termoparaíba"/>
    <s v="TÉRMICA"/>
    <x v="4"/>
    <x v="349"/>
    <n v="0.86029828026519395"/>
    <n v="0.87877253456452997"/>
    <n v="0.98948596661173205"/>
    <n v="0.96984173910855498"/>
    <n v="1"/>
    <n v="0.99697127904489902"/>
    <n v="1"/>
  </r>
  <r>
    <s v="NE"/>
    <s v="Termopernambuco"/>
    <s v="TÉRMICA"/>
    <x v="1"/>
    <x v="350"/>
    <n v="0.933831591486743"/>
    <n v="0.903017630718983"/>
    <n v="1"/>
    <n v="0.95425170950184302"/>
    <n v="1"/>
    <n v="0.995367397568509"/>
    <n v="1"/>
  </r>
  <r>
    <s v="NE"/>
    <s v="U-50"/>
    <s v="TÉRMICA"/>
    <x v="4"/>
    <x v="351"/>
    <n v="0.76216901855081598"/>
    <n v="0.76473230801754599"/>
    <n v="0.82844458538132204"/>
    <n v="0.78986311505734297"/>
    <n v="0.83425823159452395"/>
    <n v="0.80452935891337596"/>
    <n v="0.83425823159452395"/>
  </r>
  <r>
    <s v="NE"/>
    <s v="Vale do Açú"/>
    <s v="TÉRMICA"/>
    <x v="1"/>
    <x v="352"/>
    <n v="0.97688379177493001"/>
    <n v="0.99835588208941795"/>
    <n v="0.99809156885583705"/>
    <n v="0.99835588208941795"/>
    <n v="0.99995520114684999"/>
    <n v="0.99835588208941795"/>
    <n v="1"/>
  </r>
  <r>
    <s v="NE"/>
    <s v="Veracel"/>
    <s v="TÉRMICA"/>
    <x v="1"/>
    <x v="353"/>
    <n v="0.96042183519884505"/>
    <n v="0.95008753661187595"/>
    <n v="0.96042183519884505"/>
    <n v="0.95256428340289201"/>
    <n v="0.96330100148521802"/>
    <n v="0.95256428340289201"/>
    <n v="0.97208370325503402"/>
  </r>
  <r>
    <s v="NE"/>
    <s v="Xingó"/>
    <s v="HIDROELÉTRICA"/>
    <x v="0"/>
    <x v="354"/>
    <n v="0.403752607930357"/>
    <n v="0.46950519015296899"/>
    <n v="0.45810119372313202"/>
    <n v="0.50970286665472297"/>
    <n v="0.50423474867866203"/>
    <n v="0.52586058689177995"/>
    <n v="0.50694330076215399"/>
  </r>
  <r>
    <s v="S"/>
    <s v="14 de Julho"/>
    <s v="HIDROELÉTRICA"/>
    <x v="0"/>
    <x v="355"/>
    <n v="0.78009402638018699"/>
    <n v="0.993008945706365"/>
    <n v="0.98700283297624902"/>
    <n v="0.999456759034554"/>
    <n v="0.99805550196480597"/>
    <n v="1"/>
    <n v="0.99805550196480597"/>
  </r>
  <r>
    <s v="S"/>
    <s v="Araucária"/>
    <s v="TÉRMICA"/>
    <x v="1"/>
    <x v="356"/>
    <n v="0.77668793560842198"/>
    <n v="0.79197534579945505"/>
    <n v="0.99966355228590897"/>
    <n v="0.95052176268504596"/>
    <n v="1"/>
    <n v="0.98772664536905996"/>
    <n v="1"/>
  </r>
  <r>
    <s v="S"/>
    <s v="Arturo Andreoli"/>
    <s v="HIDROELÉTRICA"/>
    <x v="0"/>
    <x v="0"/>
    <n v="0"/>
    <n v="0"/>
    <n v="0"/>
    <n v="0"/>
    <n v="0"/>
    <n v="0"/>
    <n v="0"/>
  </r>
  <r>
    <s v="S"/>
    <s v="Baixo Iguaçu"/>
    <s v="HIDROELÉTRICA"/>
    <x v="0"/>
    <x v="357"/>
    <n v="0.89721188190435996"/>
    <n v="0.94342531611230795"/>
    <n v="0.93296761261736405"/>
    <n v="0.97394993444154698"/>
    <n v="0.93886485916235796"/>
    <n v="0.97395746989585996"/>
    <n v="0.965924675598692"/>
  </r>
  <r>
    <s v="S"/>
    <s v="Barra Bonita I"/>
    <s v="TÉRMICA"/>
    <x v="1"/>
    <x v="358"/>
    <n v="0.97303289677219695"/>
    <n v="0.988656285449108"/>
    <n v="0.99159533876456596"/>
    <n v="0.99489532845209805"/>
    <n v="0.993812519335877"/>
    <n v="0.99432814272455405"/>
    <n v="0.993812519335877"/>
  </r>
  <r>
    <s v="S"/>
    <s v="Barra Grande"/>
    <s v="HIDROELÉTRICA"/>
    <x v="0"/>
    <x v="359"/>
    <n v="0.93025391219982601"/>
    <n v="0.99813251020369798"/>
    <n v="0.99740919177467102"/>
    <n v="0.99817943205787696"/>
    <n v="0.99822779766141401"/>
    <n v="0.99822346641333604"/>
    <n v="0.99833030386592703"/>
  </r>
  <r>
    <s v="S"/>
    <s v="Berneck"/>
    <s v="TÉRMICA"/>
    <x v="1"/>
    <x v="29"/>
    <n v="1"/>
    <n v="1"/>
    <n v="1"/>
    <n v="1"/>
    <n v="1"/>
    <n v="1"/>
    <n v="1"/>
  </r>
  <r>
    <s v="S"/>
    <s v="CGVE INNOVA"/>
    <s v="TÉRMICA"/>
    <x v="10"/>
    <x v="360"/>
    <n v="0.75742800548529599"/>
    <n v="0.81193813804662496"/>
    <n v="0.80755751942709098"/>
    <n v="0.82302300777083603"/>
    <n v="0.82389913149474303"/>
    <n v="0.82953679719640405"/>
    <n v="0.83144141398750504"/>
  </r>
  <r>
    <s v="S"/>
    <s v="CMPC"/>
    <s v="TÉRMICA"/>
    <x v="10"/>
    <x v="361"/>
    <n v="0.87556229063646496"/>
    <n v="0.91705216142925505"/>
    <n v="0.93187111182006699"/>
    <n v="0.93796458765353297"/>
    <n v="0.95021534535013497"/>
    <n v="0.94375498484606801"/>
    <n v="0.95464986441218602"/>
  </r>
  <r>
    <s v="S"/>
    <s v="Campos Novos"/>
    <s v="HIDROELÉTRICA"/>
    <x v="0"/>
    <x v="362"/>
    <n v="0.90896722733658597"/>
    <n v="0.99835430817187598"/>
    <n v="0.99760005646925898"/>
    <n v="0.99945693877411601"/>
    <n v="0.999404568089859"/>
    <n v="0.99945693877411601"/>
    <n v="0.99953435630736498"/>
  </r>
  <r>
    <s v="S"/>
    <s v="Canastra"/>
    <s v="HIDROELÉTRICA"/>
    <x v="0"/>
    <x v="363"/>
    <n v="0.87791953904722697"/>
    <n v="0.97543471550571004"/>
    <n v="0.93986006790822096"/>
    <n v="1"/>
    <n v="0.89494803992180205"/>
    <n v="1"/>
    <n v="0.90576448194258596"/>
  </r>
  <r>
    <s v="S"/>
    <s v="Candiota III"/>
    <s v="TÉRMICA"/>
    <x v="9"/>
    <x v="364"/>
    <n v="0.92996237514622504"/>
    <n v="0.71504656708359504"/>
    <n v="0.95128734365157896"/>
    <n v="0.84968336632772401"/>
    <n v="0.95779576846935999"/>
    <n v="0.94520775218212905"/>
    <n v="0.95779576846935999"/>
  </r>
  <r>
    <s v="S"/>
    <s v="Canoas"/>
    <s v="TÉRMICA"/>
    <x v="5"/>
    <x v="365"/>
    <n v="0.88843366213030195"/>
    <n v="0.95535597142209605"/>
    <n v="0.99595862008643299"/>
    <n v="0.97680530209960903"/>
    <n v="0.99595862008643299"/>
    <n v="0.98152256453684095"/>
    <n v="0.99952290645388298"/>
  </r>
  <r>
    <s v="S"/>
    <s v="Castro Alves"/>
    <s v="HIDROELÉTRICA"/>
    <x v="0"/>
    <x v="366"/>
    <n v="0.97110219227425099"/>
    <n v="0.99762063718792604"/>
    <n v="0.996654142342566"/>
    <n v="0.997783660414855"/>
    <n v="0.99722084213141204"/>
    <n v="0.99869581418457298"/>
    <n v="0.99686374363433095"/>
  </r>
  <r>
    <s v="S"/>
    <s v="Conj. Atlântica"/>
    <s v="EOLIELÉTRICA"/>
    <x v="3"/>
    <x v="367"/>
    <n v="0.90344679308280496"/>
    <n v="0.947492896469735"/>
    <n v="0.96523275127947805"/>
    <n v="0.98592362756422702"/>
    <n v="0.97716330952842601"/>
    <n v="0.99911047781253404"/>
    <n v="0.991248113454128"/>
  </r>
  <r>
    <s v="S"/>
    <s v="Conj. Boca do Monte"/>
    <s v="HIDROELÉTRICA"/>
    <x v="0"/>
    <x v="368"/>
    <n v="0.697001360002653"/>
    <n v="0.88015391249543895"/>
    <n v="0.83363187050121001"/>
    <n v="0.99819219159452"/>
    <n v="0.905828108932895"/>
    <n v="0.997694629648057"/>
    <n v="0.91073738680465699"/>
  </r>
  <r>
    <s v="S"/>
    <s v="Conj. Bom Jardim"/>
    <s v="EOLIELÉTRICA"/>
    <x v="3"/>
    <x v="369"/>
    <n v="0.91329076361717998"/>
    <n v="0.98247021585263905"/>
    <n v="0.96401173781157901"/>
    <n v="0.99341121906185403"/>
    <n v="0.97244691607684497"/>
    <n v="0.99261441069151901"/>
    <n v="0.97651338638062102"/>
  </r>
  <r>
    <s v="S"/>
    <s v="Conj. Cerro Chato"/>
    <s v="EOLIELÉTRICA"/>
    <x v="3"/>
    <x v="370"/>
    <n v="0.87704901792436596"/>
    <n v="0.92614619519991503"/>
    <n v="0.90006868585467603"/>
    <n v="0.97346678642661799"/>
    <n v="0.94974374892678304"/>
    <n v="0.97731715693396903"/>
    <n v="0.96748319177883102"/>
  </r>
  <r>
    <s v="S"/>
    <s v="Conj. Eólico Livramento 3"/>
    <s v="EOLIELÉTRICA"/>
    <x v="3"/>
    <x v="371"/>
    <n v="0.82101913330452203"/>
    <n v="0.87263976741445004"/>
    <n v="0.876513574038423"/>
    <n v="0.93659686480964899"/>
    <n v="0.90037716575649196"/>
    <n v="0.97069893529249995"/>
    <n v="0.91368404510273804"/>
  </r>
  <r>
    <s v="S"/>
    <s v="Conj. Klabin Celulose"/>
    <s v="TÉRMICA"/>
    <x v="10"/>
    <x v="372"/>
    <n v="0.85184489676272801"/>
    <n v="0.85368612938094202"/>
    <n v="0.88771229137277097"/>
    <n v="0.89732609054101098"/>
    <n v="0.96662880384002303"/>
    <n v="0.90984830441712605"/>
    <n v="0.96872194639356501"/>
  </r>
  <r>
    <s v="S"/>
    <s v="Conj. Lagoa dos Barros"/>
    <s v="EOLIELÉTRICA"/>
    <x v="3"/>
    <x v="373"/>
    <n v="0.76504505710206905"/>
    <n v="0.965869404506984"/>
    <n v="0.88050627103089596"/>
    <n v="0.98050818293055897"/>
    <n v="0.92063226521872099"/>
    <n v="0.97823142908126803"/>
    <n v="0.97021897624146003"/>
  </r>
  <r>
    <s v="S"/>
    <s v="Conj. Lajeado Grande"/>
    <s v="HIDROELÉTRICA"/>
    <x v="0"/>
    <x v="374"/>
    <n v="0.757337195468887"/>
    <n v="0.74579734133347098"/>
    <n v="0.83772306419076104"/>
    <n v="0.86012000206900097"/>
    <n v="0.92505043190399805"/>
    <n v="0.93655407851859496"/>
    <n v="0.90966740805875901"/>
  </r>
  <r>
    <s v="S"/>
    <s v="Conj. Livramento 3"/>
    <s v="EOLIELÉTRICA"/>
    <x v="3"/>
    <x v="375"/>
    <n v="0.78728968575089298"/>
    <n v="0.90792745633555805"/>
    <n v="0.86009887720008005"/>
    <n v="0.966442443860004"/>
    <n v="0.92506237777328204"/>
    <n v="0.95282891631263"/>
    <n v="0.95090700654123606"/>
  </r>
  <r>
    <s v="S"/>
    <s v="Conj. Marmeleiro 2"/>
    <s v="EOLIELÉTRICA"/>
    <x v="3"/>
    <x v="376"/>
    <n v="0.95855376552988403"/>
    <n v="0.98515258391367999"/>
    <n v="0.99134710225065004"/>
    <n v="0.98844287692660204"/>
    <n v="0.99223879407398496"/>
    <n v="0.98914278028514202"/>
    <n v="0.99242560102021504"/>
  </r>
  <r>
    <s v="S"/>
    <s v="Conj. Quinta 138 kV"/>
    <s v="EOLIELÉTRICA"/>
    <x v="3"/>
    <x v="377"/>
    <n v="0.85048803865187805"/>
    <n v="0.92269135222893806"/>
    <n v="0.92663771687889995"/>
    <n v="0.93955264753633305"/>
    <n v="0.90754161531991395"/>
    <n v="0.95826242591397204"/>
    <n v="0.92625139369755305"/>
  </r>
  <r>
    <s v="S"/>
    <s v="Conj. Quinta 69 kV"/>
    <s v="EOLIELÉTRICA"/>
    <x v="3"/>
    <x v="378"/>
    <n v="0.90587950829901398"/>
    <n v="0.96511918133033803"/>
    <n v="0.93996474478971603"/>
    <n v="0.99395513540496605"/>
    <n v="0.97518875577187003"/>
    <n v="0.99207537751154296"/>
    <n v="0.97759110195931598"/>
  </r>
  <r>
    <s v="S"/>
    <s v="Conj. Santa Vitória do Palmar"/>
    <s v="EOLIELÉTRICA"/>
    <x v="3"/>
    <x v="379"/>
    <n v="0.87765069948519003"/>
    <n v="0.94033697930778704"/>
    <n v="0.95320187385023403"/>
    <n v="0.94506973460918597"/>
    <n v="0.95579820458337394"/>
    <n v="0.98956298218843997"/>
    <n v="0.97692001910927895"/>
  </r>
  <r>
    <s v="S"/>
    <s v="Conj. Viamão 3"/>
    <s v="EOLIELÉTRICA"/>
    <x v="3"/>
    <x v="380"/>
    <n v="0.897549185888738"/>
    <n v="0.97129409769335096"/>
    <n v="0.95592774762550803"/>
    <n v="0.96884328358208904"/>
    <n v="0.97915535956580702"/>
    <n v="0.98985753052917202"/>
    <n v="0.98278493894165497"/>
  </r>
  <r>
    <s v="S"/>
    <s v="Conj. Água Doce"/>
    <s v="EOLIELÉTRICA"/>
    <x v="3"/>
    <x v="381"/>
    <n v="0.836345705012848"/>
    <n v="0.87815611419770001"/>
    <n v="0.96832294719967305"/>
    <n v="0.95877503870242697"/>
    <n v="0.977198965839705"/>
    <n v="0.96224057586068701"/>
    <n v="0.977202895020156"/>
  </r>
  <r>
    <s v="S"/>
    <s v="Dona Francisca"/>
    <s v="HIDROELÉTRICA"/>
    <x v="0"/>
    <x v="382"/>
    <n v="0.88620969491470902"/>
    <n v="0.99292124990960695"/>
    <n v="0.92609897394280705"/>
    <n v="0.99292124990960695"/>
    <n v="0.92610299139461805"/>
    <n v="0.99292526736141795"/>
    <n v="0.97321163132648203"/>
  </r>
  <r>
    <s v="S"/>
    <s v="Elebrás Cidreira 1"/>
    <s v="EOLIELÉTRICA"/>
    <x v="3"/>
    <x v="383"/>
    <n v="0.85380962357706502"/>
    <n v="0.93863398282002897"/>
    <n v="0.94836929953209004"/>
    <n v="0.95929184998952399"/>
    <n v="0.99773727215587604"/>
    <n v="0.98321111809483897"/>
    <n v="0.973880857601787"/>
  </r>
  <r>
    <s v="S"/>
    <s v="Energia Madeiras"/>
    <s v="TÉRMICA"/>
    <x v="2"/>
    <x v="384"/>
    <n v="0.86302395209580796"/>
    <n v="0.86302395209580796"/>
    <n v="0.92065868263473005"/>
    <n v="0.86302395209580796"/>
    <n v="1"/>
    <n v="0.86302395209580796"/>
    <n v="1"/>
  </r>
  <r>
    <s v="S"/>
    <s v="Engenheiro Ernesto Jorge Dreher"/>
    <s v="HIDROELÉTRICA"/>
    <x v="0"/>
    <x v="0"/>
    <n v="0"/>
    <n v="0"/>
    <n v="0"/>
    <n v="0"/>
    <n v="0"/>
    <n v="0"/>
    <n v="0"/>
  </r>
  <r>
    <s v="S"/>
    <s v="Engenheiro Henrique Kotzian"/>
    <s v="HIDROELÉTRICA"/>
    <x v="0"/>
    <x v="0"/>
    <n v="0"/>
    <n v="0"/>
    <n v="0"/>
    <n v="0"/>
    <n v="0"/>
    <n v="0"/>
    <n v="0"/>
  </r>
  <r>
    <s v="S"/>
    <s v="Figueira"/>
    <s v="TÉRMICA"/>
    <x v="9"/>
    <x v="385"/>
    <n v="0.81137611715300895"/>
    <n v="0.63424679659739402"/>
    <n v="0.96015936254980006"/>
    <n v="0.75091525788736901"/>
    <n v="0.96015936254980006"/>
    <n v="0.86039625282653098"/>
    <n v="0.96758910304726997"/>
  </r>
  <r>
    <s v="S"/>
    <s v="Foz do Chapecó"/>
    <s v="HIDROELÉTRICA"/>
    <x v="0"/>
    <x v="386"/>
    <n v="0.78762954491124604"/>
    <n v="0.95958972171573398"/>
    <n v="0.98262012346315497"/>
    <n v="0.99913402361455494"/>
    <n v="0.99743078048025902"/>
    <n v="0.99940588629577698"/>
    <n v="0.99817078601125797"/>
  </r>
  <r>
    <s v="S"/>
    <s v="Fundão"/>
    <s v="HIDROELÉTRICA"/>
    <x v="0"/>
    <x v="387"/>
    <n v="0.98934949138726902"/>
    <n v="0.99920152375882698"/>
    <n v="0.99943441266250199"/>
    <n v="0.99930965074981903"/>
    <n v="0.99943441266250199"/>
    <n v="0.99948431742757504"/>
    <n v="0.99946352377546099"/>
  </r>
  <r>
    <s v="S"/>
    <s v="Garibaldi"/>
    <s v="HIDROELÉTRICA"/>
    <x v="0"/>
    <x v="388"/>
    <n v="0.86764915654503005"/>
    <n v="0.996573876934293"/>
    <n v="0.88051891103702895"/>
    <n v="0.996573876934293"/>
    <n v="0.88103665978096002"/>
    <n v="0.99604027873901702"/>
    <n v="0.88098382827647703"/>
  </r>
  <r>
    <s v="S"/>
    <s v="Gov. Bento Munhoz"/>
    <s v="HIDROELÉTRICA"/>
    <x v="0"/>
    <x v="389"/>
    <n v="0.85102804028458801"/>
    <n v="0.969272822470437"/>
    <n v="0.94435137550649695"/>
    <n v="1"/>
    <n v="0.99046079870661297"/>
    <n v="1"/>
    <n v="0.99972238524211798"/>
  </r>
  <r>
    <s v="S"/>
    <s v="Gov. Jayme Canet"/>
    <s v="HIDROELÉTRICA"/>
    <x v="0"/>
    <x v="390"/>
    <n v="0.66806135144955403"/>
    <n v="0.78799644355380305"/>
    <n v="0.79573143876416197"/>
    <n v="0.88613041036764595"/>
    <n v="0.88540921152596797"/>
    <n v="0.96637892117461799"/>
    <n v="0.96760936347320503"/>
  </r>
  <r>
    <s v="S"/>
    <s v="Gov. José Richa"/>
    <s v="HIDROELÉTRICA"/>
    <x v="0"/>
    <x v="391"/>
    <n v="0.87447143397898996"/>
    <n v="0.98974209860526496"/>
    <n v="0.98604982027946397"/>
    <n v="0.99311327408433103"/>
    <n v="0.99025691463031895"/>
    <n v="0.99311327408433103"/>
    <n v="0.99127562756599097"/>
  </r>
  <r>
    <s v="S"/>
    <s v="Gov. Ney Braga"/>
    <s v="HIDROELÉTRICA"/>
    <x v="0"/>
    <x v="392"/>
    <n v="0.78892064853707999"/>
    <n v="0.96122157807650999"/>
    <n v="0.94025749731621"/>
    <n v="0.99346042437654203"/>
    <n v="0.98601784201329401"/>
    <n v="0.99049421611771404"/>
    <n v="0.99649459213313796"/>
  </r>
  <r>
    <s v="S"/>
    <s v="Gov. Parigot de Souza"/>
    <s v="HIDROELÉTRICA"/>
    <x v="0"/>
    <x v="393"/>
    <n v="0.93394926329570305"/>
    <n v="0.96070910420279299"/>
    <n v="0.96186899717108598"/>
    <n v="0.96084308523873496"/>
    <n v="0.96072824435078497"/>
    <n v="0.96117803782858802"/>
    <n v="0.96156275480321995"/>
  </r>
  <r>
    <s v="S"/>
    <s v="Itaúba"/>
    <s v="HIDROELÉTRICA"/>
    <x v="0"/>
    <x v="394"/>
    <n v="0.95531533156923998"/>
    <n v="0.98135975463074299"/>
    <n v="0.97830867612861805"/>
    <n v="0.97821746451768099"/>
    <n v="0.98172861037607195"/>
    <n v="0.98926609734584203"/>
    <n v="0.98172861037607195"/>
  </r>
  <r>
    <s v="S"/>
    <s v="Itá"/>
    <s v="HIDROELÉTRICA"/>
    <x v="0"/>
    <x v="395"/>
    <n v="0.77293237949453097"/>
    <n v="0.93037775514602605"/>
    <n v="0.92501705988760696"/>
    <n v="0.99242238009360695"/>
    <n v="0.99941848334672601"/>
    <n v="0.99859836927443602"/>
    <n v="0.99941848334672601"/>
  </r>
  <r>
    <s v="S"/>
    <s v="Jacuí"/>
    <s v="HIDROELÉTRICA"/>
    <x v="0"/>
    <x v="396"/>
    <n v="0.93971099737013197"/>
    <n v="0.96738116110058503"/>
    <n v="0.96420269773491996"/>
    <n v="0.97014676356643903"/>
    <n v="0.96549783672199696"/>
    <n v="0.96890535305262504"/>
    <n v="0.96609733337103698"/>
  </r>
  <r>
    <s v="S"/>
    <s v="Jorge Lacerda A"/>
    <s v="TÉRMICA"/>
    <x v="9"/>
    <x v="397"/>
    <n v="0.63997304892277795"/>
    <n v="0.56751463958411996"/>
    <n v="0.71350511906131298"/>
    <n v="0.58663511418601699"/>
    <n v="0.71340651755928397"/>
    <n v="0.61138956905665698"/>
    <n v="0.71395704261228199"/>
  </r>
  <r>
    <s v="S"/>
    <s v="Jorge Lacerda B"/>
    <s v="TÉRMICA"/>
    <x v="9"/>
    <x v="398"/>
    <n v="0.66322255281300602"/>
    <n v="0.71475107115929004"/>
    <n v="0.75066707601731897"/>
    <n v="0.74958124331230802"/>
    <n v="0.75066707601731897"/>
    <n v="0.75464470018827101"/>
    <n v="0.75066707601731897"/>
  </r>
  <r>
    <s v="S"/>
    <s v="Jorge Lacerda C"/>
    <s v="TÉRMICA"/>
    <x v="9"/>
    <x v="399"/>
    <n v="0.85029982845709495"/>
    <n v="0.78876587217823801"/>
    <n v="0.931805005960893"/>
    <n v="0.98876498027405202"/>
    <n v="0.99207989083092696"/>
    <n v="0.99583332094577504"/>
    <n v="0.994181811695242"/>
  </r>
  <r>
    <s v="S"/>
    <s v="Jorge Lacerda I e II"/>
    <s v="TÉRMICA"/>
    <x v="9"/>
    <x v="400"/>
    <n v="0.71321288637352998"/>
    <n v="0.60976014262910205"/>
    <n v="0.87577482015879904"/>
    <n v="0.63575419283952095"/>
    <n v="0.89168066007421598"/>
    <n v="0.67091133362356703"/>
    <n v="0.89277162758878004"/>
  </r>
  <r>
    <s v="S"/>
    <s v="Jorge Lacerda III"/>
    <s v="TÉRMICA"/>
    <x v="9"/>
    <x v="401"/>
    <n v="0.77013367531415"/>
    <n v="0.78509978893371402"/>
    <n v="0.99189354065920299"/>
    <n v="0.97226526668269697"/>
    <n v="0.997174650671938"/>
    <n v="0.99186459697026297"/>
    <n v="0.997174650671938"/>
  </r>
  <r>
    <s v="S"/>
    <s v="Jorge Lacerda IV"/>
    <s v="TÉRMICA"/>
    <x v="9"/>
    <x v="402"/>
    <n v="0.87641612119223999"/>
    <n v="0.86924717073970803"/>
    <n v="0.99209447269148698"/>
    <n v="0.984582581597506"/>
    <n v="0.99803778311240998"/>
    <n v="0.99977037887485598"/>
    <n v="0.99903976620394497"/>
  </r>
  <r>
    <s v="S"/>
    <s v="Klabin Celulose"/>
    <s v="TÉRMICA"/>
    <x v="10"/>
    <x v="403"/>
    <n v="0.96208330821628796"/>
    <n v="0.965495207667731"/>
    <n v="0.95841220085598799"/>
    <n v="0.97313279884260595"/>
    <n v="0.99996985954548201"/>
    <n v="0.98696726746639296"/>
    <n v="0.99626861173066406"/>
  </r>
  <r>
    <s v="S"/>
    <s v="Machadinho"/>
    <s v="HIDROELÉTRICA"/>
    <x v="0"/>
    <x v="404"/>
    <n v="0.79897989286817905"/>
    <n v="0.87846955041927399"/>
    <n v="0.85470892412094202"/>
    <n v="0.88494096719777304"/>
    <n v="0.99746658367846097"/>
    <n v="0.92522088606542197"/>
    <n v="0.99805397910062799"/>
  </r>
  <r>
    <s v="S"/>
    <s v="Monjolinho"/>
    <s v="HIDROELÉTRICA"/>
    <x v="0"/>
    <x v="405"/>
    <n v="0.99345226426190902"/>
    <n v="0.99894791870874899"/>
    <n v="0.99918316669934004"/>
    <n v="0.99896752270796496"/>
    <n v="1"/>
    <n v="0.99909168136966597"/>
    <n v="0.99918316669934004"/>
  </r>
  <r>
    <s v="S"/>
    <s v="Monte Claro"/>
    <s v="HIDROELÉTRICA"/>
    <x v="0"/>
    <x v="406"/>
    <n v="0.85139027276124002"/>
    <n v="0.96363183459957602"/>
    <n v="0.85127350853157302"/>
    <n v="0.96757846556233595"/>
    <n v="0.98242698343504797"/>
    <n v="0.96781588616266001"/>
    <n v="0.98242698343504797"/>
  </r>
  <r>
    <s v="S"/>
    <s v="PQU PRPR EOL - CARGA GLOBAL"/>
    <s v="EOLIELÉTRICA"/>
    <x v="3"/>
    <x v="29"/>
    <n v="1"/>
    <n v="1"/>
    <n v="1"/>
    <n v="1"/>
    <n v="1"/>
    <n v="1"/>
    <n v="1"/>
  </r>
  <r>
    <s v="S"/>
    <s v="PQU PRPR FOTOV MMGD"/>
    <s v="FOTOVOLTAICA"/>
    <x v="6"/>
    <x v="407"/>
    <n v="0.66329056188264002"/>
    <n v="0.73514097298687497"/>
    <n v="0.75505280459086399"/>
    <n v="0.91422629620401696"/>
    <n v="0.88924880044365395"/>
    <n v="0.98411039936988098"/>
    <n v="0.98487252955690696"/>
  </r>
  <r>
    <s v="S"/>
    <s v="PQU PRPR HID - CARGA GLOBAL"/>
    <s v="HIDROELÉTRICA"/>
    <x v="0"/>
    <x v="408"/>
    <n v="0.83011330049261001"/>
    <n v="0.77155788177339901"/>
    <n v="0.83072906403940805"/>
    <n v="0.77032635467980204"/>
    <n v="0.83072906403940805"/>
    <n v="0.77278940886699499"/>
    <n v="0.83072906403940805"/>
  </r>
  <r>
    <s v="S"/>
    <s v="PQU PRPR TERM - CARGA GLOBAL"/>
    <s v="TÉRMICA"/>
    <x v="7"/>
    <x v="409"/>
    <n v="0.92943895348837202"/>
    <n v="0.903276162790697"/>
    <n v="0.92943895348837202"/>
    <n v="0.90036918604651095"/>
    <n v="0.922171511627906"/>
    <n v="0.89600872093023198"/>
    <n v="0.91635755813953401"/>
  </r>
  <r>
    <s v="S"/>
    <s v="PQU PRSC EOL - CARGA GLOBAL"/>
    <s v="EOLIELÉTRICA"/>
    <x v="3"/>
    <x v="410"/>
    <n v="0.97018430439952397"/>
    <n v="0.97018430439952397"/>
    <n v="0.97018430439952397"/>
    <n v="0.97018430439952397"/>
    <n v="0.97018430439952397"/>
    <n v="0.97018430439952397"/>
    <n v="0.97018430439952397"/>
  </r>
  <r>
    <s v="S"/>
    <s v="PQU PRSC HID - CARGA GLOBAL"/>
    <s v="HIDROELÉTRICA"/>
    <x v="0"/>
    <x v="411"/>
    <n v="0.93908333333333305"/>
    <n v="0.87393981481481398"/>
    <n v="0.93908333333333305"/>
    <n v="0.87393981481481398"/>
    <n v="0.93908333333333305"/>
    <n v="0.87393981481481398"/>
    <n v="0.93908333333333305"/>
  </r>
  <r>
    <s v="S"/>
    <s v="PQU RSRS EOL - CARGA GLOBAL"/>
    <s v="EOLIELÉTRICA"/>
    <x v="3"/>
    <x v="412"/>
    <n v="0.82473750000000001"/>
    <n v="0.81225000000000003"/>
    <n v="0.84375"/>
    <n v="0.81225000000000003"/>
    <n v="0.86250000000000004"/>
    <n v="0.78725000000000001"/>
    <n v="0.86875000000000002"/>
  </r>
  <r>
    <s v="S"/>
    <s v="PQU RSRS FOTOV MMGD"/>
    <s v="FOTOVOLTAICA"/>
    <x v="6"/>
    <x v="413"/>
    <n v="0.65489397754266299"/>
    <n v="0.73061757088862"/>
    <n v="0.74984931046581305"/>
    <n v="0.90883762337277696"/>
    <n v="0.88922471065849196"/>
    <n v="0.988944218861049"/>
    <n v="0.97215421690140003"/>
  </r>
  <r>
    <s v="S"/>
    <s v="PQU RSRS HID - CARGA GLOBAL"/>
    <s v="HIDROELÉTRICA"/>
    <x v="0"/>
    <x v="414"/>
    <n v="0.79433660933660899"/>
    <n v="0.81767813267813205"/>
    <n v="0.79495085995086001"/>
    <n v="0.81522113022112996"/>
    <n v="0.79925061425061406"/>
    <n v="0.81522113022112996"/>
    <n v="0.79495085995086001"/>
  </r>
  <r>
    <s v="S"/>
    <s v="PQU RSRS TERM - CARGA GLOBAL"/>
    <s v="TÉRMICA"/>
    <x v="7"/>
    <x v="415"/>
    <n v="0.76043478260869501"/>
    <n v="0.78217391304347805"/>
    <n v="0.76043478260869501"/>
    <n v="0.79304347826086896"/>
    <n v="0.76043478260869501"/>
    <n v="0.80391304347825998"/>
    <n v="0.76043478260869501"/>
  </r>
  <r>
    <s v="S"/>
    <s v="PQU SCRS HID - CARGA GLOBAL"/>
    <s v="HIDROELÉTRICA"/>
    <x v="0"/>
    <x v="416"/>
    <n v="0.80435294117647005"/>
    <n v="0.80435294117647005"/>
    <n v="0.80435294117647005"/>
    <n v="0.80435294117647005"/>
    <n v="0.80435294117647005"/>
    <n v="0.80435294117647005"/>
    <n v="0.80435294117647005"/>
  </r>
  <r>
    <s v="S"/>
    <s v="PQU SCSC EOL - CARGA GLOBAL"/>
    <s v="EOLIELÉTRICA"/>
    <x v="3"/>
    <x v="0"/>
    <n v="0"/>
    <n v="0"/>
    <n v="0"/>
    <n v="0"/>
    <n v="0"/>
    <n v="0"/>
    <n v="0"/>
  </r>
  <r>
    <s v="S"/>
    <s v="PQU SCSC FOTOV - CARGA GLOBAL"/>
    <s v="FOTOVOLTAICA"/>
    <x v="6"/>
    <x v="29"/>
    <n v="1"/>
    <n v="1"/>
    <n v="1"/>
    <n v="1"/>
    <n v="0.83333333333333304"/>
    <n v="1"/>
    <n v="0.83333333333333304"/>
  </r>
  <r>
    <s v="S"/>
    <s v="PQU SCSC FOTOV MMGD"/>
    <s v="FOTOVOLTAICA"/>
    <x v="6"/>
    <x v="417"/>
    <n v="0.71829393901724303"/>
    <n v="0.73138640762906004"/>
    <n v="0.822730017225764"/>
    <n v="0.90074319404734404"/>
    <n v="0.94653264903837597"/>
    <n v="0.98882545151036205"/>
    <n v="0.98079726873967699"/>
  </r>
  <r>
    <s v="S"/>
    <s v="PQU SCSC HID - CARGA GLOBAL"/>
    <s v="HIDROELÉTRICA"/>
    <x v="0"/>
    <x v="418"/>
    <n v="0.87598058252427102"/>
    <n v="0.77687055016181195"/>
    <n v="0.87638511326860802"/>
    <n v="0.77606148867313896"/>
    <n v="0.878003236245954"/>
    <n v="0.77484789644012897"/>
    <n v="0.87719417475728101"/>
  </r>
  <r>
    <s v="S"/>
    <s v="PQU SCSC TERM - CARGA GLOBAL"/>
    <s v="TÉRMICA"/>
    <x v="7"/>
    <x v="419"/>
    <n v="0.67842857142857105"/>
    <n v="0.82142857142857095"/>
    <n v="0.67857142857142805"/>
    <n v="0.82142857142857095"/>
    <n v="0.67857142857142805"/>
    <n v="0.82142857142857095"/>
    <n v="0.67857142857142805"/>
  </r>
  <r>
    <s v="S"/>
    <s v="Pampa Sul"/>
    <s v="TÉRMICA"/>
    <x v="9"/>
    <x v="420"/>
    <n v="0.87097266230944304"/>
    <n v="0.72306738155058403"/>
    <n v="0.99591618245080804"/>
    <n v="0.91024523050977202"/>
    <n v="0.99663998802770903"/>
    <n v="0.99816674293246299"/>
    <n v="0.99663998802770903"/>
  </r>
  <r>
    <s v="S"/>
    <s v="Passo Fundo"/>
    <s v="HIDROELÉTRICA"/>
    <x v="0"/>
    <x v="421"/>
    <n v="0.96571033316004096"/>
    <n v="0.99980614861352202"/>
    <n v="0.99622870939033703"/>
    <n v="0.99980614861352202"/>
    <n v="0.99690498638634495"/>
    <n v="0.99980614861352202"/>
    <n v="0.99818704896509802"/>
  </r>
  <r>
    <s v="S"/>
    <s v="Passo Real"/>
    <s v="HIDROELÉTRICA"/>
    <x v="0"/>
    <x v="422"/>
    <n v="0.95872807901632695"/>
    <n v="0.99221427131626605"/>
    <n v="0.98982689981858496"/>
    <n v="0.99221427131626605"/>
    <n v="0.98983319895182398"/>
    <n v="0.99288512900624804"/>
    <n v="0.99000012598266396"/>
  </r>
  <r>
    <s v="S"/>
    <s v="Passo São João"/>
    <s v="HIDROELÉTRICA"/>
    <x v="0"/>
    <x v="423"/>
    <n v="0.85115988510632801"/>
    <n v="0.99471257261357304"/>
    <n v="0.99161482282932001"/>
    <n v="0.99781032239782497"/>
    <n v="0.99334080399809299"/>
    <n v="0.99666396177080496"/>
    <n v="0.997275783453765"/>
  </r>
  <r>
    <s v="S"/>
    <s v="Pequenas Centrais Hidroelétricas da Ceee"/>
    <s v="HIDROELÉTRICA"/>
    <x v="0"/>
    <x v="0"/>
    <n v="0"/>
    <n v="0"/>
    <n v="0"/>
    <n v="0"/>
    <n v="0"/>
    <n v="0"/>
    <n v="0"/>
  </r>
  <r>
    <s v="S"/>
    <s v="Puma II"/>
    <s v="TÉRMICA"/>
    <x v="10"/>
    <x v="0"/>
    <n v="0"/>
    <n v="0"/>
    <n v="0"/>
    <n v="0"/>
    <n v="0"/>
    <n v="0"/>
    <n v="0"/>
  </r>
  <r>
    <s v="S"/>
    <s v="Quebra Queixo"/>
    <s v="HIDROELÉTRICA"/>
    <x v="0"/>
    <x v="424"/>
    <n v="0.98507316595702998"/>
    <n v="0.99858072725492997"/>
    <n v="1"/>
    <n v="0.99876425390300005"/>
    <n v="1"/>
    <n v="0.99877648901287097"/>
    <n v="1"/>
  </r>
  <r>
    <s v="S"/>
    <s v="Salto Osório"/>
    <s v="HIDROELÉTRICA"/>
    <x v="0"/>
    <x v="425"/>
    <n v="0.756375831600548"/>
    <n v="0.88170169530992704"/>
    <n v="0.85130199947970897"/>
    <n v="0.93116930723149105"/>
    <n v="0.91219507979908698"/>
    <n v="0.95955924488760003"/>
    <n v="0.91944503568355396"/>
  </r>
  <r>
    <s v="S"/>
    <s v="Salto Pilão"/>
    <s v="HIDROELÉTRICA"/>
    <x v="0"/>
    <x v="426"/>
    <n v="0.94576588022723596"/>
    <n v="0.99789895181908606"/>
    <n v="0.99716215301462596"/>
    <n v="0.99796404005269501"/>
    <n v="0.998919535322082"/>
    <n v="0.99809421651991403"/>
    <n v="0.998919535322082"/>
  </r>
  <r>
    <s v="S"/>
    <s v="Salto Santiago"/>
    <s v="HIDROELÉTRICA"/>
    <x v="0"/>
    <x v="427"/>
    <n v="0.84393004419194495"/>
    <n v="0.96744660315745101"/>
    <n v="0.97602717080095602"/>
    <n v="0.99910905604259004"/>
    <n v="0.99759343128440803"/>
    <n v="0.99906508920695003"/>
    <n v="0.99924447389636195"/>
  </r>
  <r>
    <s v="S"/>
    <s v="Santa Clara (PR)"/>
    <s v="HIDROELÉTRICA"/>
    <x v="0"/>
    <x v="428"/>
    <n v="0.98791566960970301"/>
    <n v="0.99948015512831001"/>
    <n v="0.99832907005528504"/>
    <n v="0.99965343675220697"/>
    <n v="0.998494100173281"/>
    <n v="0.99965343675220697"/>
    <n v="0.99860549550292899"/>
  </r>
  <r>
    <s v="S"/>
    <s v="São José"/>
    <s v="HIDROELÉTRICA"/>
    <x v="0"/>
    <x v="29"/>
    <n v="1"/>
    <n v="0.99170490645958298"/>
    <n v="0.99226379574067503"/>
    <n v="0.99350904027924802"/>
    <n v="0.99249911754324005"/>
    <n v="0.99508765737145499"/>
    <n v="0.99468564929207304"/>
  </r>
  <r>
    <s v="S"/>
    <s v="São Roque"/>
    <s v="HIDROELÉTRICA"/>
    <x v="0"/>
    <x v="429"/>
    <n v="0.934673207674657"/>
    <n v="0.99386252621799298"/>
    <n v="0.994524134630273"/>
    <n v="0.99426019510409702"/>
    <n v="0.994524134630273"/>
    <n v="0.99445375075662601"/>
    <n v="0.99459803769760202"/>
  </r>
  <r>
    <s v="S"/>
    <s v="São Sepé"/>
    <s v="TÉRMICA"/>
    <x v="2"/>
    <x v="430"/>
    <n v="0.94118006352308803"/>
    <n v="0.98405814805765901"/>
    <n v="1"/>
    <n v="1"/>
    <n v="1"/>
    <n v="1"/>
    <n v="1"/>
  </r>
  <r>
    <s v="S"/>
    <s v="Uruguaiana"/>
    <s v="TÉRMICA"/>
    <x v="1"/>
    <x v="431"/>
    <n v="0.75"/>
    <n v="0.75"/>
    <n v="0.75"/>
    <n v="0.75"/>
    <n v="0.75"/>
    <n v="0.75"/>
    <n v="0.98750000000000004"/>
  </r>
  <r>
    <s v="S"/>
    <s v="Xangri-lá"/>
    <s v="EOLIELÉTRICA"/>
    <x v="3"/>
    <x v="432"/>
    <n v="0.88081578511026304"/>
    <n v="0.97126513016083504"/>
    <n v="0.96028850936826304"/>
    <n v="0.97542696070303403"/>
    <n v="0.96435085392140596"/>
    <n v="0.97552644669208999"/>
    <n v="0.97943956226164797"/>
  </r>
  <r>
    <s v="SE"/>
    <s v="Aimorés"/>
    <s v="HIDROELÉTRICA"/>
    <x v="0"/>
    <x v="433"/>
    <n v="0.90439940353509896"/>
    <n v="0.93444109909105499"/>
    <n v="0.96967811790629399"/>
    <n v="0.96451603711759204"/>
    <n v="0.98101221739942501"/>
    <n v="0.96413770614289196"/>
    <n v="0.98258727731502105"/>
  </r>
  <r>
    <s v="SE"/>
    <s v="Alcon"/>
    <s v="TÉRMICA"/>
    <x v="2"/>
    <x v="29"/>
    <n v="1"/>
    <n v="1"/>
    <n v="1"/>
    <n v="1"/>
    <n v="1"/>
    <n v="1"/>
    <n v="1"/>
  </r>
  <r>
    <s v="SE"/>
    <s v="Amador Aguiar I"/>
    <s v="HIDROELÉTRICA"/>
    <x v="0"/>
    <x v="434"/>
    <n v="0.85530767755180304"/>
    <n v="0.89756053760412702"/>
    <n v="0.86744784970593303"/>
    <n v="0.90248884753053904"/>
    <n v="0.87054564451682104"/>
    <n v="0.90235007938354295"/>
    <n v="0.87106806577610096"/>
  </r>
  <r>
    <s v="SE"/>
    <s v="Amador Aguiar II"/>
    <s v="HIDROELÉTRICA"/>
    <x v="0"/>
    <x v="435"/>
    <n v="0.81358999437727098"/>
    <n v="0.85691335799774104"/>
    <n v="0.83448150405639698"/>
    <n v="0.87129384193043802"/>
    <n v="0.85736459381688801"/>
    <n v="0.872782211386262"/>
    <n v="0.85865687650313405"/>
  </r>
  <r>
    <s v="SE"/>
    <s v="Amandina"/>
    <s v="TÉRMICA"/>
    <x v="2"/>
    <x v="436"/>
    <n v="0.894577369135931"/>
    <n v="0.85934071674851098"/>
    <n v="0.921690523456274"/>
    <n v="0.92214763347612505"/>
    <n v="0.930349493260892"/>
    <n v="0.94116341030195305"/>
    <n v="0.90078100511963199"/>
  </r>
  <r>
    <s v="SE"/>
    <s v="Amandina II"/>
    <s v="TÉRMICA"/>
    <x v="2"/>
    <x v="436"/>
    <n v="0.894577369135931"/>
    <n v="0.85934071674851098"/>
    <n v="0.921690523456274"/>
    <n v="0.92214763347612505"/>
    <n v="0.930349493260892"/>
    <n v="0.94116341030195305"/>
    <n v="0.90078100511963199"/>
  </r>
  <r>
    <s v="SE"/>
    <s v="Angra I"/>
    <s v="NUCLEAR"/>
    <x v="11"/>
    <x v="437"/>
    <n v="0.99444689236305694"/>
    <n v="0.99443384248334599"/>
    <n v="0.994560503080539"/>
    <n v="0.99452826220125301"/>
    <n v="0.99576876841376405"/>
    <n v="0.99452826220125301"/>
    <n v="0.996667674833844"/>
  </r>
  <r>
    <s v="SE"/>
    <s v="Angra II"/>
    <s v="NUCLEAR"/>
    <x v="11"/>
    <x v="438"/>
    <n v="0.89209246364939498"/>
    <n v="0.77941619613235402"/>
    <n v="0.94571179895263402"/>
    <n v="0.92401443784558601"/>
    <n v="0.98205508908457895"/>
    <n v="0.97833408911383501"/>
    <n v="0.98288778853749104"/>
  </r>
  <r>
    <s v="SE"/>
    <s v="Angélica"/>
    <s v="TÉRMICA"/>
    <x v="2"/>
    <x v="0"/>
    <n v="0"/>
    <n v="0"/>
    <n v="0"/>
    <n v="0"/>
    <n v="0"/>
    <n v="0"/>
    <n v="0"/>
  </r>
  <r>
    <s v="SE"/>
    <s v="Anta"/>
    <s v="HIDROELÉTRICA"/>
    <x v="0"/>
    <x v="439"/>
    <n v="0.85122743682310398"/>
    <n v="0.87839350180505404"/>
    <n v="0.97601083032490898"/>
    <n v="0.977815884476534"/>
    <n v="0.97601083032490898"/>
    <n v="0.977815884476534"/>
    <n v="0.97601083032490898"/>
  </r>
  <r>
    <s v="SE"/>
    <s v="Baguari"/>
    <s v="HIDROELÉTRICA"/>
    <x v="0"/>
    <x v="440"/>
    <n v="0.79642167063020197"/>
    <n v="0.82741156361474399"/>
    <n v="0.85023781212841798"/>
    <n v="0.84458605826397104"/>
    <n v="0.871135552913198"/>
    <n v="0.85233353151010605"/>
    <n v="0.871135552913198"/>
  </r>
  <r>
    <s v="SE"/>
    <s v="Baixada Fluminense"/>
    <s v="TÉRMICA"/>
    <x v="1"/>
    <x v="441"/>
    <n v="0.86202616552920996"/>
    <n v="0.98628269994369999"/>
    <n v="0.98341567739214297"/>
    <n v="0.98632543585989296"/>
    <n v="0.987952187800196"/>
    <n v="0.98632543585989296"/>
    <n v="0.98799027850810694"/>
  </r>
  <r>
    <s v="SE"/>
    <s v="Bariri"/>
    <s v="HIDROELÉTRICA"/>
    <x v="0"/>
    <x v="442"/>
    <n v="0.88449906287272095"/>
    <n v="0.91667021639120805"/>
    <n v="0.98565201340375896"/>
    <n v="0.97469046401999204"/>
    <n v="0.98566621230192497"/>
    <n v="0.97861645936275299"/>
    <n v="0.98574430624183496"/>
  </r>
  <r>
    <s v="SE"/>
    <s v="Barra Bioenergia"/>
    <s v="TÉRMICA"/>
    <x v="2"/>
    <x v="443"/>
    <n v="0.85295391033967005"/>
    <n v="0.88890856850474198"/>
    <n v="0.84876215216278905"/>
    <n v="0.85626008580312496"/>
    <n v="0.87956075097414099"/>
    <n v="0.88518912110835601"/>
    <n v="0.91211083559648898"/>
  </r>
  <r>
    <s v="SE"/>
    <s v="Barra Bonita"/>
    <s v="HIDROELÉTRICA"/>
    <x v="0"/>
    <x v="444"/>
    <n v="0.85871555617161899"/>
    <n v="0.88431907551560796"/>
    <n v="0.87677189193921401"/>
    <n v="0.894999671702986"/>
    <n v="0.92090230610413504"/>
    <n v="0.89520759314515796"/>
    <n v="0.92153336591985102"/>
  </r>
  <r>
    <s v="SE"/>
    <s v="Barra do Braúna"/>
    <s v="HIDROELÉTRICA"/>
    <x v="0"/>
    <x v="445"/>
    <n v="0.657537078187173"/>
    <n v="0.67210996847708104"/>
    <n v="0.66840214975970202"/>
    <n v="0.69409849620174602"/>
    <n v="0.66836339207276096"/>
    <n v="0.69409849620174602"/>
    <n v="0.67123146090641295"/>
  </r>
  <r>
    <s v="SE"/>
    <s v="Barra dos Coqueiros"/>
    <s v="HIDROELÉTRICA"/>
    <x v="0"/>
    <x v="446"/>
    <n v="0.88257412145174996"/>
    <n v="0.88039228716040296"/>
    <n v="0.92780011296806897"/>
    <n v="0.88094051455848299"/>
    <n v="0.92655967925928295"/>
    <n v="0.87936228417007201"/>
    <n v="0.98719141442668701"/>
  </r>
  <r>
    <s v="SE"/>
    <s v="Batalha"/>
    <s v="HIDROELÉTRICA"/>
    <x v="0"/>
    <x v="447"/>
    <n v="0.97623800383877102"/>
    <n v="0.87678502879078701"/>
    <n v="0.99798464491362704"/>
    <n v="0.91374280230326199"/>
    <n v="0.99798464491362704"/>
    <n v="0.97802303262955803"/>
    <n v="0.99798464491362704"/>
  </r>
  <r>
    <s v="SE"/>
    <s v="Belo Jardim"/>
    <s v="TÉRMICA"/>
    <x v="5"/>
    <x v="0"/>
    <n v="0"/>
    <n v="0"/>
    <n v="0"/>
    <n v="0"/>
    <n v="0"/>
    <n v="0"/>
    <n v="0"/>
  </r>
  <r>
    <s v="SE"/>
    <s v="Boa Vista"/>
    <s v="TÉRMICA"/>
    <x v="2"/>
    <x v="0"/>
    <n v="0"/>
    <n v="0"/>
    <n v="0"/>
    <n v="0"/>
    <n v="0"/>
    <n v="0"/>
    <n v="0"/>
  </r>
  <r>
    <s v="SE"/>
    <s v="Bocaiúva"/>
    <s v="HIDROELÉTRICA"/>
    <x v="0"/>
    <x v="448"/>
    <n v="1"/>
    <n v="0.5"/>
    <n v="1"/>
    <n v="0.5"/>
    <n v="1"/>
    <n v="0.5"/>
    <n v="1"/>
  </r>
  <r>
    <s v="SE"/>
    <s v="Bracell"/>
    <s v="TÉRMICA"/>
    <x v="2"/>
    <x v="0"/>
    <n v="0"/>
    <n v="0"/>
    <n v="0"/>
    <n v="0"/>
    <n v="0"/>
    <n v="0"/>
    <n v="0"/>
  </r>
  <r>
    <s v="SE"/>
    <s v="Caarapó"/>
    <s v="TÉRMICA"/>
    <x v="2"/>
    <x v="448"/>
    <n v="1"/>
    <n v="0.5"/>
    <n v="1"/>
    <n v="0.5"/>
    <n v="1"/>
    <n v="0.5"/>
    <n v="1"/>
  </r>
  <r>
    <s v="SE"/>
    <s v="Cachoeira Dourada"/>
    <s v="HIDROELÉTRICA"/>
    <x v="0"/>
    <x v="449"/>
    <n v="0.89474515277885203"/>
    <n v="0.91813134670559504"/>
    <n v="0.92135414281676398"/>
    <n v="0.93127359659940501"/>
    <n v="0.92406217580581695"/>
    <n v="0.93147255412513097"/>
    <n v="0.92633281804386802"/>
  </r>
  <r>
    <s v="SE"/>
    <s v="Caconde"/>
    <s v="HIDROELÉTRICA"/>
    <x v="0"/>
    <x v="450"/>
    <n v="0.77136529256269204"/>
    <n v="0.79097663785096795"/>
    <n v="0.79137672358362499"/>
    <n v="0.78966207044366599"/>
    <n v="0.79485604058012405"/>
    <n v="0.78763306422804802"/>
    <n v="0.79044080874473099"/>
  </r>
  <r>
    <s v="SE"/>
    <s v="Camargos"/>
    <s v="HIDROELÉTRICA"/>
    <x v="0"/>
    <x v="451"/>
    <n v="0.71871206730567905"/>
    <n v="0.72894604662843698"/>
    <n v="0.72670670963961304"/>
    <n v="0.73566405759491005"/>
    <n v="0.73566405759491005"/>
    <n v="0.73894981373738999"/>
    <n v="0.73518270478422798"/>
  </r>
  <r>
    <s v="SE"/>
    <s v="Campos"/>
    <s v="TÉRMICA"/>
    <x v="1"/>
    <x v="29"/>
    <n v="1"/>
    <n v="1"/>
    <n v="1"/>
    <n v="1"/>
    <n v="1"/>
    <n v="1"/>
    <n v="1"/>
  </r>
  <r>
    <s v="SE"/>
    <s v="Cana Brava"/>
    <s v="HIDROELÉTRICA"/>
    <x v="0"/>
    <x v="452"/>
    <n v="0.84049126128080198"/>
    <n v="0.85071655963734905"/>
    <n v="0.85046678804689502"/>
    <n v="0.90263618576871496"/>
    <n v="0.85257341422427302"/>
    <n v="0.99222202503412404"/>
    <n v="0.85233131105984195"/>
  </r>
  <r>
    <s v="SE"/>
    <s v="Canoas I"/>
    <s v="HIDROELÉTRICA"/>
    <x v="0"/>
    <x v="453"/>
    <n v="0.78141842917146698"/>
    <n v="0.80397477356924196"/>
    <n v="0.79423608271692103"/>
    <n v="0.81614194203868196"/>
    <n v="0.80154010085616201"/>
    <n v="0.85140442825459295"/>
    <n v="0.80234546333122703"/>
  </r>
  <r>
    <s v="SE"/>
    <s v="Canoas II"/>
    <s v="HIDROELÉTRICA"/>
    <x v="0"/>
    <x v="454"/>
    <n v="0.81895569980640004"/>
    <n v="0.84223750142352805"/>
    <n v="0.84050079717572002"/>
    <n v="0.84018050335952599"/>
    <n v="0.84140473750142297"/>
    <n v="0.83822315226056199"/>
    <n v="0.84173214895797699"/>
  </r>
  <r>
    <s v="SE"/>
    <s v="Capivara"/>
    <s v="HIDROELÉTRICA"/>
    <x v="0"/>
    <x v="455"/>
    <n v="0.85002828031116495"/>
    <n v="0.858277933979818"/>
    <n v="0.91313190101071295"/>
    <n v="0.87971604928151603"/>
    <n v="0.93679555384325297"/>
    <n v="0.88984613871287699"/>
    <n v="0.93662259309960405"/>
  </r>
  <r>
    <s v="SE"/>
    <s v="Caramuru Itumbiara"/>
    <s v="TÉRMICA"/>
    <x v="2"/>
    <x v="29"/>
    <n v="0.5"/>
    <n v="1"/>
    <n v="0.5"/>
    <n v="1"/>
    <n v="0.5"/>
    <n v="1"/>
    <n v="0.5"/>
  </r>
  <r>
    <s v="SE"/>
    <s v="Caçu"/>
    <s v="HIDROELÉTRICA"/>
    <x v="0"/>
    <x v="456"/>
    <n v="0.87749116165566399"/>
    <n v="0.96912054563088501"/>
    <n v="0.99410255608046805"/>
    <n v="0.98962081156337001"/>
    <n v="0.99232706566967999"/>
    <n v="0.99053593217157299"/>
    <n v="0.99232706566967999"/>
  </r>
  <r>
    <s v="SE"/>
    <s v="Caçú I"/>
    <s v="TÉRMICA"/>
    <x v="2"/>
    <x v="457"/>
    <n v="0.80726547333343501"/>
    <n v="0.82245219278802795"/>
    <n v="0.91515461868876002"/>
    <n v="0.86681239395282705"/>
    <n v="0.91345022088384098"/>
    <n v="0.84134578639233204"/>
    <n v="0.91015607086626205"/>
  </r>
  <r>
    <s v="SE"/>
    <s v="Chavantes"/>
    <s v="HIDROELÉTRICA"/>
    <x v="0"/>
    <x v="458"/>
    <n v="0.80844513853200395"/>
    <n v="0.88565808315412897"/>
    <n v="0.81371648962444398"/>
    <n v="0.88984048736921395"/>
    <n v="0.88030440618092698"/>
    <n v="0.89779616111923199"/>
    <n v="0.90247501534255004"/>
  </r>
  <r>
    <s v="SE"/>
    <s v="Cocal II"/>
    <s v="TÉRMICA"/>
    <x v="2"/>
    <x v="0"/>
    <n v="0"/>
    <n v="0"/>
    <n v="0"/>
    <n v="0"/>
    <n v="0"/>
    <n v="0"/>
    <n v="0"/>
  </r>
  <r>
    <s v="SE"/>
    <s v="Codora"/>
    <s v="TÉRMICA"/>
    <x v="2"/>
    <x v="459"/>
    <n v="0.90198218651763795"/>
    <n v="0.89262428687856499"/>
    <n v="0.96857899639073197"/>
    <n v="0.94082547444405595"/>
    <n v="0.98030911631156104"/>
    <n v="0.97978519035976197"/>
    <n v="0.98030911631156104"/>
  </r>
  <r>
    <s v="SE"/>
    <s v="Colíder"/>
    <s v="HIDROELÉTRICA"/>
    <x v="0"/>
    <x v="460"/>
    <n v="0.78727917189877195"/>
    <n v="0.81250955067004105"/>
    <n v="0.91384631227867297"/>
    <n v="0.92291197438094996"/>
    <n v="0.91692245852517695"/>
    <n v="0.99270328808807196"/>
    <n v="0.96919701288260796"/>
  </r>
  <r>
    <s v="SE"/>
    <s v="Conj. Alta Mogiana"/>
    <s v="TÉRMICA"/>
    <x v="2"/>
    <x v="0"/>
    <n v="0"/>
    <n v="0"/>
    <n v="0"/>
    <n v="0"/>
    <n v="0"/>
    <n v="0"/>
    <n v="0"/>
  </r>
  <r>
    <s v="SE"/>
    <s v="Conj. Araxá"/>
    <s v="FOTOVOLTAICA"/>
    <x v="6"/>
    <x v="461"/>
    <n v="0.91743259803921495"/>
    <n v="0.97752700617283905"/>
    <n v="0.97832697893972298"/>
    <n v="0.99979575163398604"/>
    <n v="1"/>
    <n v="0.99988652868554795"/>
    <n v="0.99990922294843798"/>
  </r>
  <r>
    <s v="SE"/>
    <s v="Conj. Arinos 2 500 kV"/>
    <s v="FOTOVOLTAICA"/>
    <x v="6"/>
    <x v="462"/>
    <n v="0.82996409729735199"/>
    <n v="0.95029601726895996"/>
    <n v="0.92574793010803302"/>
    <n v="0.995796349034621"/>
    <n v="0.986038838014343"/>
    <n v="0.99979682567986194"/>
    <n v="0.99559917564377098"/>
  </r>
  <r>
    <s v="SE"/>
    <s v="Conj. Bio Ipê"/>
    <s v="TÉRMICA"/>
    <x v="2"/>
    <x v="463"/>
    <n v="0.86511258056415796"/>
    <n v="0.93075667531597805"/>
    <n v="0.98203523897212597"/>
    <n v="0.92984640495521798"/>
    <n v="0.98238051393655301"/>
    <n v="0.93055788063949096"/>
    <n v="0.98153302084205196"/>
  </r>
  <r>
    <s v="SE"/>
    <s v="Conj. Biopav"/>
    <s v="TÉRMICA"/>
    <x v="2"/>
    <x v="0"/>
    <n v="0"/>
    <n v="0"/>
    <n v="0"/>
    <n v="0"/>
    <n v="0"/>
    <n v="0"/>
    <n v="0"/>
  </r>
  <r>
    <s v="SE"/>
    <s v="Conj. Boa Hora"/>
    <s v="FOTOVOLTAICA"/>
    <x v="6"/>
    <x v="464"/>
    <n v="0.84319042891085305"/>
    <n v="0.94678996063089305"/>
    <n v="0.94339394298641999"/>
    <n v="0.98132313787090597"/>
    <n v="0.98013514915309397"/>
    <n v="0.99732023334963404"/>
    <n v="1"/>
  </r>
  <r>
    <s v="SE"/>
    <s v="Conj. Boa Sorte"/>
    <s v="FOTOVOLTAICA"/>
    <x v="6"/>
    <x v="465"/>
    <n v="0.98349725465481697"/>
    <n v="0.95714389289668"/>
    <n v="0.98349725465481697"/>
    <n v="0.99947156636652301"/>
    <n v="0.99990797725643898"/>
    <n v="1"/>
    <n v="0.99990797725643898"/>
  </r>
  <r>
    <s v="SE"/>
    <s v="Conj. Bracell"/>
    <s v="TÉRMICA"/>
    <x v="2"/>
    <x v="466"/>
    <n v="0.662496356511319"/>
    <n v="0.88474916604592402"/>
    <n v="0.75467500080966399"/>
    <n v="0.88474916604592402"/>
    <n v="0.75467500080966399"/>
    <n v="0.88474916604592402"/>
    <n v="0.75467500080966399"/>
  </r>
  <r>
    <s v="SE"/>
    <s v="Conj. Cachoeira Dourada"/>
    <s v="TÉRMICA"/>
    <x v="2"/>
    <x v="467"/>
    <n v="0.91254506578433903"/>
    <n v="0.849593432491064"/>
    <n v="0.96541444914394503"/>
    <n v="0.96661620339300403"/>
    <n v="0.97828258392770695"/>
    <n v="0.96876219312346801"/>
    <n v="0.97811090474926998"/>
  </r>
  <r>
    <s v="SE"/>
    <s v="Conj. Castilho"/>
    <s v="FOTOVOLTAICA"/>
    <x v="6"/>
    <x v="468"/>
    <n v="0.87793588205040296"/>
    <n v="0.976527638314026"/>
    <n v="0.95095393206142298"/>
    <n v="0.99724963875486705"/>
    <n v="0.99654674144644995"/>
    <n v="0.99964487766647803"/>
    <n v="0.99894687859714404"/>
  </r>
  <r>
    <s v="SE"/>
    <s v="Conj. Chapadão"/>
    <s v="TÉRMICA"/>
    <x v="2"/>
    <x v="469"/>
    <n v="0.57959704880817198"/>
    <n v="0.59299669097135299"/>
    <n v="0.62373987571903999"/>
    <n v="0.59841233959868401"/>
    <n v="0.613230823986609"/>
    <n v="0.60959714500086504"/>
    <n v="0.66067306027434103"/>
  </r>
  <r>
    <s v="SE"/>
    <s v="Conj. Complexo do Prata"/>
    <s v="HIDROELÉTRICA"/>
    <x v="0"/>
    <x v="0"/>
    <n v="0"/>
    <n v="0"/>
    <n v="0"/>
    <n v="0"/>
    <n v="0"/>
    <n v="0"/>
    <n v="0"/>
  </r>
  <r>
    <s v="SE"/>
    <s v="Conj. Da Mata"/>
    <s v="TÉRMICA"/>
    <x v="2"/>
    <x v="470"/>
    <n v="0.84116997599060594"/>
    <n v="0.84245807118697502"/>
    <n v="0.91060444086153403"/>
    <n v="0.93379891694852801"/>
    <n v="0.88406266977445103"/>
    <n v="0.94617164087555405"/>
    <n v="0.89297418552075802"/>
  </r>
  <r>
    <s v="SE"/>
    <s v="Conj. Dourados"/>
    <s v="TÉRMICA"/>
    <x v="2"/>
    <x v="0"/>
    <n v="0"/>
    <n v="0"/>
    <n v="0"/>
    <n v="0"/>
    <n v="0"/>
    <n v="0"/>
    <n v="0"/>
  </r>
  <r>
    <s v="SE"/>
    <s v="Conj. Dracena"/>
    <s v="FOTOVOLTAICA"/>
    <x v="6"/>
    <x v="471"/>
    <n v="0.86032571816331105"/>
    <n v="0.96423486834227001"/>
    <n v="0.94270660084888902"/>
    <n v="0.98859720318799305"/>
    <n v="0.99820376012879697"/>
    <n v="0.99457136394480805"/>
    <n v="1"/>
  </r>
  <r>
    <s v="SE"/>
    <s v="Conj. Edéia"/>
    <s v="TÉRMICA"/>
    <x v="2"/>
    <x v="472"/>
    <n v="0.87941851294185103"/>
    <n v="0.84019860901985999"/>
    <n v="0.91361941636194099"/>
    <n v="0.88747580124757997"/>
    <n v="0.92036817953681804"/>
    <n v="0.91120850362085004"/>
    <n v="0.924078654907865"/>
  </r>
  <r>
    <s v="SE"/>
    <s v="Conj. Fazenda"/>
    <s v="HIDROELÉTRICA"/>
    <x v="0"/>
    <x v="473"/>
    <n v="0.90410331401187405"/>
    <n v="0.87679486953610797"/>
    <n v="0.98527105833436102"/>
    <n v="0.87782554308567795"/>
    <n v="0.98496273718705396"/>
    <n v="0.95336422417590105"/>
    <n v="0.99139343540231495"/>
  </r>
  <r>
    <s v="SE"/>
    <s v="Conj. Francisco Sá"/>
    <s v="FOTOVOLTAICA"/>
    <x v="6"/>
    <x v="474"/>
    <n v="0.95164993159102995"/>
    <n v="0.99257356862926904"/>
    <n v="0.98497321614915401"/>
    <n v="0.99815063887020805"/>
    <n v="0.99916517867495303"/>
    <n v="1"/>
    <n v="0.99929851819214799"/>
  </r>
  <r>
    <s v="SE"/>
    <s v="Conj. Fíbria"/>
    <s v="TÉRMICA"/>
    <x v="10"/>
    <x v="475"/>
    <n v="0.71019424486406402"/>
    <n v="0.73819065843472798"/>
    <n v="0.83795778122780995"/>
    <n v="0.74649480689846004"/>
    <n v="0.83858059236258997"/>
    <n v="0.753144143168333"/>
    <n v="0.85886858985931003"/>
  </r>
  <r>
    <s v="SE"/>
    <s v="Conj. Guaimbê"/>
    <s v="FOTOVOLTAICA"/>
    <x v="6"/>
    <x v="476"/>
    <n v="0.86030694713920797"/>
    <n v="0.91405759271925302"/>
    <n v="0.88129702265462495"/>
    <n v="0.94837802375734503"/>
    <n v="0.93381583171647498"/>
    <n v="0.99747002414818298"/>
    <n v="1"/>
  </r>
  <r>
    <s v="SE"/>
    <s v="Conj. Guarani Tanabi"/>
    <s v="TÉRMICA"/>
    <x v="2"/>
    <x v="477"/>
    <n v="0.84215022610988799"/>
    <n v="0.74858623283282699"/>
    <n v="0.92548588089998196"/>
    <n v="0.77204223194138699"/>
    <n v="0.89226583465656295"/>
    <n v="0.79967685321893101"/>
    <n v="0.87538420109387005"/>
  </r>
  <r>
    <s v="SE"/>
    <s v="Conj. Helio Valgas"/>
    <s v="FOTOVOLTAICA"/>
    <x v="6"/>
    <x v="478"/>
    <n v="0.90502723996982803"/>
    <n v="0.98886592492852299"/>
    <n v="0.97913536354305597"/>
    <n v="0.99867751597084498"/>
    <n v="0.99862249583347495"/>
    <n v="0.99917869940398096"/>
    <n v="0.99996798828371103"/>
  </r>
  <r>
    <s v="SE"/>
    <s v="Conj. Interlagos"/>
    <s v="TÉRMICA"/>
    <x v="2"/>
    <x v="479"/>
    <n v="0.68754208106496295"/>
    <n v="0.81833484023623104"/>
    <n v="0.796221841755958"/>
    <n v="0.83691783852413204"/>
    <n v="0.79672200527095305"/>
    <n v="0.86496546948040698"/>
    <n v="0.79672200527095305"/>
  </r>
  <r>
    <s v="SE"/>
    <s v="Conj. Ivinhema 2"/>
    <s v="TÉRMICA"/>
    <x v="2"/>
    <x v="480"/>
    <n v="0.89249197749801801"/>
    <n v="0.87450468358212796"/>
    <n v="0.92881734679294803"/>
    <n v="0.91993088305985304"/>
    <n v="0.93129880084707195"/>
    <n v="0.94060100557352699"/>
    <n v="0.92971378830988205"/>
  </r>
  <r>
    <s v="SE"/>
    <s v="Conj. Jaiba V"/>
    <s v="FOTOVOLTAICA"/>
    <x v="6"/>
    <x v="481"/>
    <n v="0.82268889524899802"/>
    <n v="0.94583469621391703"/>
    <n v="0.91275247362825995"/>
    <n v="0.98807854280807905"/>
    <n v="0.99315356938425003"/>
    <n v="0.99847084798429897"/>
    <n v="0.99875296426527105"/>
  </r>
  <r>
    <s v="SE"/>
    <s v="Conj. Janaúba"/>
    <s v="FOTOVOLTAICA"/>
    <x v="6"/>
    <x v="482"/>
    <n v="0.80363874965542104"/>
    <n v="0.89341010479070904"/>
    <n v="0.89167148753110903"/>
    <n v="0.98064924425669997"/>
    <n v="0.96620645206378197"/>
    <n v="1"/>
    <n v="0.98939901615539605"/>
  </r>
  <r>
    <s v="SE"/>
    <s v="Conj. Jataí"/>
    <s v="TÉRMICA"/>
    <x v="2"/>
    <x v="483"/>
    <n v="0.65159323510198097"/>
    <n v="0.65661713622082296"/>
    <n v="0.68103412519831097"/>
    <n v="0.68666981200551602"/>
    <n v="0.71442310683437105"/>
    <n v="0.75074399361254196"/>
    <n v="0.77348375657151103"/>
  </r>
  <r>
    <s v="SE"/>
    <s v="Conj. Jaíba 138 kV"/>
    <s v="FOTOVOLTAICA"/>
    <x v="6"/>
    <x v="484"/>
    <n v="0.87087568115574698"/>
    <n v="0.92377898872132802"/>
    <n v="0.927649220631098"/>
    <n v="0.969788366493473"/>
    <n v="0.97695349131922404"/>
    <n v="1"/>
    <n v="1"/>
  </r>
  <r>
    <s v="SE"/>
    <s v="Conj. Jaíba V"/>
    <s v="FOTOVOLTAICA"/>
    <x v="6"/>
    <x v="485"/>
    <n v="0.81443543797392004"/>
    <n v="0.88642431495957497"/>
    <n v="0.91005339716442601"/>
    <n v="0.97865054987362099"/>
    <n v="0.979968740061264"/>
    <n v="0.99923628663731701"/>
    <n v="0.99879584372541397"/>
  </r>
  <r>
    <s v="SE"/>
    <s v="Conj. Lar do Sol"/>
    <s v="FOTOVOLTAICA"/>
    <x v="6"/>
    <x v="486"/>
    <n v="0.86810422488697303"/>
    <n v="0.95691819232610198"/>
    <n v="0.96278220083732702"/>
    <n v="0.99545385189380997"/>
    <n v="0.98552757264953605"/>
    <n v="1"/>
    <n v="0.99279200379577204"/>
  </r>
  <r>
    <s v="SE"/>
    <s v="Conj. Paracatu"/>
    <s v="FOTOVOLTAICA"/>
    <x v="6"/>
    <x v="487"/>
    <n v="0.87627534768083204"/>
    <n v="0.95796907777173401"/>
    <n v="0.96771657213891604"/>
    <n v="0.97693263926656804"/>
    <n v="0.98126175122368098"/>
    <n v="0.999804211017015"/>
    <n v="0.99687980731877801"/>
  </r>
  <r>
    <s v="SE"/>
    <s v="Conj. Parecis"/>
    <s v="HIDROELÉTRICA"/>
    <x v="0"/>
    <x v="488"/>
    <n v="0.93110463572642299"/>
    <n v="0.86689544392523299"/>
    <n v="0.98359839634664403"/>
    <n v="0.92190486937128202"/>
    <n v="0.99039533772302402"/>
    <n v="0.92190486937128202"/>
    <n v="0.99039533772302402"/>
  </r>
  <r>
    <s v="SE"/>
    <s v="Conj. Pedranópolis"/>
    <s v="FOTOVOLTAICA"/>
    <x v="6"/>
    <x v="489"/>
    <n v="0.90315689938024002"/>
    <n v="0.96296254101348899"/>
    <n v="0.95727761574917902"/>
    <n v="0.99924238971928503"/>
    <n v="0.99581890266131901"/>
    <n v="1"/>
    <n v="0.99898605541378005"/>
  </r>
  <r>
    <s v="SE"/>
    <s v="Conj. Pereira Barreto"/>
    <s v="FOTOVOLTAICA"/>
    <x v="6"/>
    <x v="490"/>
    <n v="0.85289967034622005"/>
    <n v="0.95414688836952399"/>
    <n v="0.90756586103224501"/>
    <n v="1"/>
    <n v="0.98383664567517604"/>
    <n v="1"/>
    <n v="0.99113253643761901"/>
  </r>
  <r>
    <s v="SE"/>
    <s v="Conj. Pirapora 2"/>
    <s v="FOTOVOLTAICA"/>
    <x v="6"/>
    <x v="491"/>
    <n v="0.90795542605622803"/>
    <n v="0.99263816992653597"/>
    <n v="0.96154334955519005"/>
    <n v="0.99323021605033901"/>
    <n v="0.98766157279687505"/>
    <n v="1"/>
    <n v="0.99462198939896396"/>
  </r>
  <r>
    <s v="SE"/>
    <s v="Conj. Quirinópolis"/>
    <s v="TÉRMICA"/>
    <x v="2"/>
    <x v="492"/>
    <n v="0.79151479723998797"/>
    <n v="0.79537170758544795"/>
    <n v="0.80809435389588002"/>
    <n v="0.79278133094926995"/>
    <n v="0.82755656419778501"/>
    <n v="0.80836370721866901"/>
    <n v="0.82059349425761596"/>
  </r>
  <r>
    <s v="SE"/>
    <s v="Conj. Rio Brilhante"/>
    <s v="TÉRMICA"/>
    <x v="2"/>
    <x v="493"/>
    <n v="0.86629236073361904"/>
    <n v="0.73607336197716899"/>
    <n v="0.852460664368209"/>
    <n v="0.755039354247801"/>
    <n v="0.86577483562061996"/>
    <n v="0.81585041662633195"/>
    <n v="0.88693379401755801"/>
  </r>
  <r>
    <s v="SE"/>
    <s v="Conj. Rio Vermelho"/>
    <s v="TÉRMICA"/>
    <x v="2"/>
    <x v="494"/>
    <n v="0.65546109339945602"/>
    <n v="0.650702562285984"/>
    <n v="0.68488605502420596"/>
    <n v="0.72149014051245697"/>
    <n v="0.71373833982760604"/>
    <n v="0.72154917936001794"/>
    <n v="0.772393434880151"/>
  </r>
  <r>
    <s v="SE"/>
    <s v="Conj. Santa Cabeça"/>
    <s v="HIDROELÉTRICA"/>
    <x v="0"/>
    <x v="495"/>
    <n v="0.98253333333333304"/>
    <n v="0.96586666666666599"/>
    <n v="0.98253333333333304"/>
    <n v="0.96586666666666599"/>
    <n v="0.98253333333333304"/>
    <n v="0.96586666666666599"/>
    <n v="0.98253333333333304"/>
  </r>
  <r>
    <s v="SE"/>
    <s v="Conj. Sol do Cerrado"/>
    <s v="FOTOVOLTAICA"/>
    <x v="6"/>
    <x v="496"/>
    <n v="0.81986590922351399"/>
    <n v="0.909886542653915"/>
    <n v="0.90426229740075303"/>
    <n v="0.96398785686375399"/>
    <n v="0.98242003440673098"/>
    <n v="0.99886578015407002"/>
    <n v="0.99778813869484195"/>
  </r>
  <r>
    <s v="SE"/>
    <s v="Conj. Três Marias 3 138 kV"/>
    <s v="FOTOVOLTAICA"/>
    <x v="6"/>
    <x v="497"/>
    <n v="0.90559984028976004"/>
    <n v="0.94789453420223302"/>
    <n v="0.98437834215066899"/>
    <n v="0.99296989747172903"/>
    <n v="0.99842428736435296"/>
    <n v="0.99919431887860599"/>
    <n v="1"/>
  </r>
  <r>
    <s v="SE"/>
    <s v="Conj. Três Marias 3 138kV"/>
    <s v="FOTOVOLTAICA"/>
    <x v="6"/>
    <x v="498"/>
    <n v="0.88353948347935596"/>
    <n v="0.92467645879860205"/>
    <n v="0.95791816984481404"/>
    <n v="0.98729456565309504"/>
    <n v="0.99216199965641605"/>
    <n v="1"/>
    <n v="0.99600584092080402"/>
  </r>
  <r>
    <s v="SE"/>
    <s v="Conj. Varzea da Palma"/>
    <s v="FOTOVOLTAICA"/>
    <x v="6"/>
    <x v="29"/>
    <n v="1"/>
    <n v="1"/>
    <n v="1"/>
    <n v="1"/>
    <n v="1"/>
    <n v="0.98829175084451604"/>
    <n v="1"/>
  </r>
  <r>
    <s v="SE"/>
    <s v="Conj. Viralcool Castilho"/>
    <s v="TÉRMICA"/>
    <x v="2"/>
    <x v="499"/>
    <n v="0.91775920134712496"/>
    <n v="0.96313447197498203"/>
    <n v="0.90678373827279202"/>
    <n v="0.963705797450084"/>
    <n v="1"/>
    <n v="1"/>
    <n v="1"/>
  </r>
  <r>
    <s v="SE"/>
    <s v="Conj. Vista Alegre - Janaúba"/>
    <s v="FOTOVOLTAICA"/>
    <x v="6"/>
    <x v="500"/>
    <n v="0.85056164978864002"/>
    <n v="0.98666723731514205"/>
    <n v="0.97039717133939896"/>
    <n v="0.99887340821997095"/>
    <n v="0.99872460065580604"/>
    <n v="0.99892147438007795"/>
    <n v="1"/>
  </r>
  <r>
    <s v="SE"/>
    <s v="Conj. Votuporanga 2"/>
    <s v="TÉRMICA"/>
    <x v="2"/>
    <x v="501"/>
    <n v="0.91644903026929803"/>
    <n v="0.81939033266258499"/>
    <n v="0.92588945498137598"/>
    <n v="0.90659117181144799"/>
    <n v="0.93591856830928599"/>
    <n v="0.94285439054673104"/>
    <n v="0.94754249261463297"/>
  </r>
  <r>
    <s v="SE"/>
    <s v="Conjunto Jaiba 4 Dist"/>
    <s v="FOTOVOLTAICA"/>
    <x v="6"/>
    <x v="502"/>
    <n v="0.84919403031408303"/>
    <n v="0.96481983065711496"/>
    <n v="0.92963966131423104"/>
    <n v="0.98268542735407505"/>
    <n v="0.98688019495386103"/>
    <n v="0.99753979402565696"/>
    <n v="0.99735741282566603"/>
  </r>
  <r>
    <s v="SE"/>
    <s v="Conquista do Pontal"/>
    <s v="TÉRMICA"/>
    <x v="2"/>
    <x v="0"/>
    <n v="0"/>
    <n v="0"/>
    <n v="0"/>
    <n v="0"/>
    <n v="0"/>
    <n v="0"/>
    <n v="0"/>
  </r>
  <r>
    <s v="SE"/>
    <s v="Corumbá"/>
    <s v="HIDROELÉTRICA"/>
    <x v="0"/>
    <x v="503"/>
    <n v="0.86914828471290195"/>
    <n v="0.89012651300960199"/>
    <n v="0.99059556227280399"/>
    <n v="0.89151411707990702"/>
    <n v="0.99059556227280399"/>
    <n v="0.89269586064025197"/>
    <n v="0.98988417089028102"/>
  </r>
  <r>
    <s v="SE"/>
    <s v="Corumbá III"/>
    <s v="HIDROELÉTRICA"/>
    <x v="0"/>
    <x v="504"/>
    <n v="0.97958854166666598"/>
    <n v="1"/>
    <n v="0.996"/>
    <n v="1"/>
    <n v="1"/>
    <n v="1"/>
    <n v="1"/>
  </r>
  <r>
    <s v="SE"/>
    <s v="Corumbá IV"/>
    <s v="HIDROELÉTRICA"/>
    <x v="0"/>
    <x v="505"/>
    <n v="0.96821884666033697"/>
    <n v="0.99926882675405004"/>
    <n v="0.99605319572474105"/>
    <n v="0.99926882675405004"/>
    <n v="0.99603788319603004"/>
    <n v="0.99926882675405004"/>
    <n v="0.99615272716136305"/>
  </r>
  <r>
    <s v="SE"/>
    <s v="Cubatão"/>
    <s v="TÉRMICA"/>
    <x v="1"/>
    <x v="506"/>
    <n v="0.90008555100055498"/>
    <n v="0.88541377153974399"/>
    <n v="0.97410453724291202"/>
    <n v="0.89909324624791498"/>
    <n v="0.97410453724291202"/>
    <n v="0.89909324624791498"/>
    <n v="0.971257903696498"/>
  </r>
  <r>
    <s v="SE"/>
    <s v="Cuiabá"/>
    <s v="TÉRMICA"/>
    <x v="1"/>
    <x v="507"/>
    <n v="0.80691109298876396"/>
    <n v="0.62265647777641597"/>
    <n v="0.92493123132893595"/>
    <n v="0.65299286326971195"/>
    <n v="1"/>
    <n v="0.71463853665338395"/>
    <n v="1"/>
  </r>
  <r>
    <s v="SE"/>
    <s v="Da Pedra"/>
    <s v="TÉRMICA"/>
    <x v="2"/>
    <x v="508"/>
    <n v="0.91074191709422503"/>
    <n v="0.80482938350028499"/>
    <n v="0.97803159866438605"/>
    <n v="0.90875682058799501"/>
    <n v="0.98886309960094398"/>
    <n v="0.90040923527974503"/>
    <n v="0.981146673181855"/>
  </r>
  <r>
    <s v="SE"/>
    <s v="Daia"/>
    <s v="TÉRMICA"/>
    <x v="5"/>
    <x v="0"/>
    <n v="0"/>
    <n v="0"/>
    <n v="0"/>
    <n v="0"/>
    <n v="0"/>
    <n v="0"/>
    <n v="0"/>
  </r>
  <r>
    <s v="SE"/>
    <s v="Dardanelos"/>
    <s v="HIDROELÉTRICA"/>
    <x v="0"/>
    <x v="509"/>
    <n v="0.95712872881161004"/>
    <n v="0.90914196125332503"/>
    <n v="0.99274362335840205"/>
    <n v="0.98911351840352002"/>
    <n v="0.99306370125041199"/>
    <n v="0.99253279360917501"/>
    <n v="0.99309628402983796"/>
  </r>
  <r>
    <s v="SE"/>
    <s v="Decasa"/>
    <s v="TÉRMICA"/>
    <x v="2"/>
    <x v="29"/>
    <n v="1"/>
    <n v="1"/>
    <n v="1"/>
    <n v="1"/>
    <n v="0.99643370562866296"/>
    <n v="1"/>
    <n v="0.99930194625677304"/>
  </r>
  <r>
    <s v="SE"/>
    <s v="Do Atlântico"/>
    <s v="TÉRMICA"/>
    <x v="10"/>
    <x v="510"/>
    <n v="0.76119531497625204"/>
    <n v="0.75021401064687299"/>
    <n v="0.84442736241548699"/>
    <n v="0.84549180021014203"/>
    <n v="0.88607271120916598"/>
    <n v="0.82279419288661004"/>
    <n v="0.89643631717001804"/>
  </r>
  <r>
    <s v="SE"/>
    <s v="Eldorado"/>
    <s v="TÉRMICA"/>
    <x v="2"/>
    <x v="511"/>
    <n v="0.85117590806684196"/>
    <n v="0.73029482794949496"/>
    <n v="0.95227482697700006"/>
    <n v="0.80460962445499695"/>
    <n v="0.96312624600871999"/>
    <n v="0.91371541566040404"/>
    <n v="0.96326401607857703"/>
  </r>
  <r>
    <s v="SE"/>
    <s v="Eldorado Brasil"/>
    <s v="TÉRMICA"/>
    <x v="10"/>
    <x v="448"/>
    <n v="1"/>
    <n v="0.5"/>
    <n v="1"/>
    <n v="0.5"/>
    <n v="1"/>
    <n v="0.5"/>
    <n v="1"/>
  </r>
  <r>
    <s v="SE"/>
    <s v="Eng. J.L.M. Godoy Pereira"/>
    <s v="HIDROELÉTRICA"/>
    <x v="0"/>
    <x v="512"/>
    <n v="0.74316992118574199"/>
    <n v="0.987927890836372"/>
    <n v="0.85149541230443404"/>
    <n v="0.952343841900952"/>
    <n v="0.85131896247500205"/>
    <n v="0.952343841900952"/>
    <n v="0.85132631455122898"/>
  </r>
  <r>
    <s v="SE"/>
    <s v="Espora"/>
    <s v="HIDROELÉTRICA"/>
    <x v="0"/>
    <x v="513"/>
    <n v="0.90490141369047605"/>
    <n v="0.9931640625"/>
    <n v="0.98494853670634896"/>
    <n v="0.993985615079365"/>
    <n v="0.98479352678571397"/>
    <n v="0.99145895337301504"/>
    <n v="0.984452504960317"/>
  </r>
  <r>
    <s v="SE"/>
    <s v="Euclides da Cunha"/>
    <s v="HIDROELÉTRICA"/>
    <x v="0"/>
    <x v="514"/>
    <n v="0.73986652167423606"/>
    <n v="0.83081728821510004"/>
    <n v="0.79024606068359604"/>
    <n v="0.83299750527729799"/>
    <n v="0.80152561888313101"/>
    <n v="0.83302948890168205"/>
    <n v="0.79439860124949302"/>
  </r>
  <r>
    <s v="SE"/>
    <s v="FS Sorriso"/>
    <s v="TÉRMICA"/>
    <x v="2"/>
    <x v="0"/>
    <n v="0"/>
    <n v="0"/>
    <n v="0"/>
    <n v="0"/>
    <n v="0"/>
    <n v="0"/>
    <n v="0"/>
  </r>
  <r>
    <s v="SE"/>
    <s v="Fartura"/>
    <s v="TÉRMICA"/>
    <x v="2"/>
    <x v="0"/>
    <n v="0"/>
    <n v="0"/>
    <n v="0"/>
    <n v="0"/>
    <n v="0"/>
    <n v="0"/>
    <n v="0"/>
  </r>
  <r>
    <s v="SE"/>
    <s v="Fontes Nova"/>
    <s v="HIDROELÉTRICA"/>
    <x v="0"/>
    <x v="515"/>
    <n v="0.66364397970740097"/>
    <n v="0.77233659649068298"/>
    <n v="0.66628527545495397"/>
    <n v="0.79166731309244898"/>
    <n v="0.69630916735187798"/>
    <n v="0.79165567742836296"/>
    <n v="0.78990257070605197"/>
  </r>
  <r>
    <s v="SE"/>
    <s v="Funil (MG)"/>
    <s v="HIDROELÉTRICA"/>
    <x v="0"/>
    <x v="516"/>
    <n v="0.64012169032867505"/>
    <n v="0.69262078737532295"/>
    <n v="0.72208484983191101"/>
    <n v="0.69413219237073798"/>
    <n v="0.72228488872836305"/>
    <n v="0.70909065651654402"/>
    <n v="0.722334898452476"/>
  </r>
  <r>
    <s v="SE"/>
    <s v="Funil (RJ)"/>
    <s v="HIDROELÉTRICA"/>
    <x v="0"/>
    <x v="517"/>
    <n v="0.62146716955595704"/>
    <n v="0.69383794757478601"/>
    <n v="0.670180423143522"/>
    <n v="0.70759359512767905"/>
    <n v="0.67059092808948495"/>
    <n v="0.70778516410246195"/>
    <n v="0.68153026292219798"/>
  </r>
  <r>
    <s v="SE"/>
    <s v="Furnas"/>
    <s v="HIDROELÉTRICA"/>
    <x v="0"/>
    <x v="518"/>
    <n v="0.83230456413441301"/>
    <n v="0.94264563539780899"/>
    <n v="0.94112601913395"/>
    <n v="0.94399594658879105"/>
    <n v="0.94634433183133504"/>
    <n v="0.94428211345587099"/>
    <n v="0.94629601794468599"/>
  </r>
  <r>
    <s v="SE"/>
    <s v="GNA I"/>
    <s v="TÉRMICA"/>
    <x v="1"/>
    <x v="519"/>
    <n v="0.93449119276107995"/>
    <n v="0.86545808511409095"/>
    <n v="0.98964041266810898"/>
    <n v="0.97573027659824596"/>
    <n v="0.99087112661528798"/>
    <n v="0.99055134062420702"/>
    <n v="0.99126817881693197"/>
  </r>
  <r>
    <s v="SE"/>
    <s v="GNA II"/>
    <s v="TÉRMICA"/>
    <x v="1"/>
    <x v="0"/>
    <n v="0"/>
    <n v="0"/>
    <n v="0"/>
    <n v="0"/>
    <n v="0"/>
    <n v="0"/>
    <n v="0"/>
  </r>
  <r>
    <s v="SE"/>
    <s v="Gasa"/>
    <s v="TÉRMICA"/>
    <x v="2"/>
    <x v="520"/>
    <n v="0.86779702666175196"/>
    <n v="0.90172830405045601"/>
    <n v="0.97345087439079303"/>
    <n v="0.93754351476430298"/>
    <n v="0.97345087439079303"/>
    <n v="0.90172830405045601"/>
    <n v="0.95854322807879699"/>
  </r>
  <r>
    <s v="SE"/>
    <s v="Goiânia II"/>
    <s v="TÉRMICA"/>
    <x v="5"/>
    <x v="0"/>
    <n v="0"/>
    <n v="0"/>
    <n v="0"/>
    <n v="0"/>
    <n v="0"/>
    <n v="0"/>
    <n v="0"/>
  </r>
  <r>
    <s v="SE"/>
    <s v="Guaporé"/>
    <s v="HIDROELÉTRICA"/>
    <x v="0"/>
    <x v="521"/>
    <n v="0.75854582938536597"/>
    <n v="0.77066565321060798"/>
    <n v="0.79765933299320002"/>
    <n v="0.83194677273247797"/>
    <n v="0.79748232525692098"/>
    <n v="0.86782207598837902"/>
    <n v="0.79764371466352901"/>
  </r>
  <r>
    <s v="SE"/>
    <s v="Guilman Amorim"/>
    <s v="HIDROELÉTRICA"/>
    <x v="0"/>
    <x v="522"/>
    <n v="0.78815279837583296"/>
    <n v="0.98969417287008099"/>
    <n v="0.97191185152121595"/>
    <n v="0.99004333990871196"/>
    <n v="0.97230421448215298"/>
    <n v="0.99023412189889204"/>
    <n v="0.97234381074426501"/>
  </r>
  <r>
    <s v="SE"/>
    <s v="Henry Borden Externa"/>
    <s v="HIDROELÉTRICA"/>
    <x v="0"/>
    <x v="523"/>
    <n v="0.951671897416553"/>
    <n v="0.97905439626691804"/>
    <n v="0.97963080300663896"/>
    <n v="0.97924088080035698"/>
    <n v="0.983001299034306"/>
    <n v="0.98149776748345396"/>
    <n v="0.97933200392465103"/>
  </r>
  <r>
    <s v="SE"/>
    <s v="Henry Borden Subterrânea"/>
    <s v="HIDROELÉTRICA"/>
    <x v="0"/>
    <x v="524"/>
    <n v="0.93011563530866703"/>
    <n v="0.96464444267729799"/>
    <n v="0.96454161308102104"/>
    <n v="0.97844143237514403"/>
    <n v="0.97868548128364197"/>
    <n v="0.97861829928074096"/>
    <n v="0.97920374244887998"/>
  </r>
  <r>
    <s v="SE"/>
    <s v="Ibirité"/>
    <s v="TÉRMICA"/>
    <x v="1"/>
    <x v="525"/>
    <n v="0.95701673249670804"/>
    <n v="0.97980517640784603"/>
    <n v="0.99513565988367203"/>
    <n v="0.99007966268353198"/>
    <n v="0.99529190207156304"/>
    <n v="0.99625227071979705"/>
    <n v="0.99529190207156304"/>
  </r>
  <r>
    <s v="SE"/>
    <s v="Ibitinga"/>
    <s v="HIDROELÉTRICA"/>
    <x v="0"/>
    <x v="526"/>
    <n v="0.88442535246727005"/>
    <n v="0.91344489551862995"/>
    <n v="0.91672567346424905"/>
    <n v="0.91599005538771405"/>
    <n v="0.91800022029204398"/>
    <n v="0.91608840005035197"/>
    <n v="0.91806316087613304"/>
  </r>
  <r>
    <s v="SE"/>
    <s v="Igarapava"/>
    <s v="HIDROELÉTRICA"/>
    <x v="0"/>
    <x v="527"/>
    <n v="0.84205230440048795"/>
    <n v="0.89551844887148202"/>
    <n v="0.894330783623415"/>
    <n v="0.91471668056988997"/>
    <n v="0.89478558400610797"/>
    <n v="0.91450695396854498"/>
    <n v="0.90991889000428805"/>
  </r>
  <r>
    <s v="SE"/>
    <s v="Ilha Solteira"/>
    <s v="HIDROELÉTRICA"/>
    <x v="0"/>
    <x v="528"/>
    <n v="0.67438594580771705"/>
    <n v="0.76008679868370399"/>
    <n v="0.72678924401087197"/>
    <n v="0.85927286219699495"/>
    <n v="0.79066883561413304"/>
    <n v="0.86049595402386003"/>
    <n v="0.862874383559883"/>
  </r>
  <r>
    <s v="SE"/>
    <s v="Ilha dos Pombos"/>
    <s v="HIDROELÉTRICA"/>
    <x v="0"/>
    <x v="529"/>
    <n v="0.77864087901360501"/>
    <n v="0.97257519704037299"/>
    <n v="0.81846216991230902"/>
    <n v="0.89898942277293004"/>
    <n v="0.85184394291514298"/>
    <n v="0.898287787102105"/>
    <n v="0.86556605081728"/>
  </r>
  <r>
    <s v="SE"/>
    <s v="Ipaussu Bioenergia"/>
    <s v="TÉRMICA"/>
    <x v="2"/>
    <x v="530"/>
    <n v="0.81994044604695404"/>
    <n v="0.85999756922640602"/>
    <n v="0.92946705288958198"/>
    <n v="0.87468349302165405"/>
    <n v="0.94768772661899603"/>
    <n v="0.88178337755990799"/>
    <n v="0.97659367593736701"/>
  </r>
  <r>
    <s v="SE"/>
    <s v="Irapé"/>
    <s v="HIDROELÉTRICA"/>
    <x v="0"/>
    <x v="531"/>
    <n v="0.60085159728526305"/>
    <n v="0.71253950938435195"/>
    <n v="0.69147843289825295"/>
    <n v="0.85374217122979301"/>
    <n v="0.85031696506899901"/>
    <n v="0.88620407312192095"/>
    <n v="0.88823453126549501"/>
  </r>
  <r>
    <s v="SE"/>
    <s v="Itaipu 50 Hz"/>
    <s v="HIDROELÉTRICA"/>
    <x v="0"/>
    <x v="532"/>
    <n v="0.65035163860589995"/>
    <n v="0.70492596441633204"/>
    <n v="0.65029848352085995"/>
    <n v="0.79422048304033799"/>
    <n v="0.68798886436405104"/>
    <n v="0.79608150162878999"/>
    <n v="0.70188632040892995"/>
  </r>
  <r>
    <s v="SE"/>
    <s v="Itaipu 60 Hz"/>
    <s v="HIDROELÉTRICA"/>
    <x v="0"/>
    <x v="533"/>
    <n v="0.468445081810974"/>
    <n v="0.52732604448725195"/>
    <n v="0.51848564905958205"/>
    <n v="0.566368403652036"/>
    <n v="0.56127892831180504"/>
    <n v="0.57961196011735405"/>
    <n v="0.58142226734921698"/>
  </r>
  <r>
    <s v="SE"/>
    <s v="Itiquira I"/>
    <s v="HIDROELÉTRICA"/>
    <x v="0"/>
    <x v="534"/>
    <n v="0.95451270631385898"/>
    <n v="0.99959064710505596"/>
    <n v="0.99941871888917999"/>
    <n v="0.99948421535237097"/>
    <n v="0.99928772596279802"/>
    <n v="0.99948421535237097"/>
    <n v="1"/>
  </r>
  <r>
    <s v="SE"/>
    <s v="Itiquira II"/>
    <s v="HIDROELÉTRICA"/>
    <x v="0"/>
    <x v="535"/>
    <n v="0.94636883116883097"/>
    <n v="0.99324675324675304"/>
    <n v="0.99684155844155797"/>
    <n v="0.99661818181818096"/>
    <n v="0.99995324675324604"/>
    <n v="0.99732467532467495"/>
    <n v="0.99995324675324604"/>
  </r>
  <r>
    <s v="SE"/>
    <s v="Ituiutaba"/>
    <s v="TÉRMICA"/>
    <x v="2"/>
    <x v="536"/>
    <n v="0.93067241379310295"/>
    <n v="0.84434482758620599"/>
    <n v="0.93067241379310295"/>
    <n v="0.84434482758620599"/>
    <n v="0.93067241379310295"/>
    <n v="0.83572413793103395"/>
    <n v="0.91343103448275798"/>
  </r>
  <r>
    <s v="SE"/>
    <s v="Itumbiara"/>
    <s v="HIDROELÉTRICA"/>
    <x v="0"/>
    <x v="537"/>
    <n v="0.75514059885569496"/>
    <n v="0.88944853600214102"/>
    <n v="0.87007461803014596"/>
    <n v="0.893245530074256"/>
    <n v="0.90372381676478297"/>
    <n v="0.89387911527256503"/>
    <n v="0.90395276331111396"/>
  </r>
  <r>
    <s v="SE"/>
    <s v="Itutinga"/>
    <s v="HIDROELÉTRICA"/>
    <x v="0"/>
    <x v="538"/>
    <n v="0.584372549019607"/>
    <n v="0.65226470588235297"/>
    <n v="0.62801960784313704"/>
    <n v="0.65476470588235203"/>
    <n v="0.65375490196078401"/>
    <n v="0.67853921568627396"/>
    <n v="0.67227450980392101"/>
  </r>
  <r>
    <s v="SE"/>
    <s v="Jaguara"/>
    <s v="HIDROELÉTRICA"/>
    <x v="0"/>
    <x v="539"/>
    <n v="0.86485393886086204"/>
    <n v="0.89715325945544599"/>
    <n v="0.90042165767081295"/>
    <n v="0.98914127369527405"/>
    <n v="0.99324147190623002"/>
    <n v="0.99087225071113305"/>
    <n v="0.99341175202314802"/>
  </r>
  <r>
    <s v="SE"/>
    <s v="Jaguari"/>
    <s v="HIDROELÉTRICA"/>
    <x v="0"/>
    <x v="540"/>
    <n v="0.73581740148263697"/>
    <n v="0.89319157237612101"/>
    <n v="0.89451814280140396"/>
    <n v="0.89832227857978897"/>
    <n v="0.89451814280140396"/>
    <n v="0.89832227857978897"/>
    <n v="0.89451814280140396"/>
  </r>
  <r>
    <s v="SE"/>
    <s v="Jauru"/>
    <s v="HIDROELÉTRICA"/>
    <x v="0"/>
    <x v="541"/>
    <n v="0.72710554257804205"/>
    <n v="0.83951582076873998"/>
    <n v="0.76794648545338695"/>
    <n v="0.84044595455510696"/>
    <n v="0.78294754724994697"/>
    <n v="0.84044595455510696"/>
    <n v="0.78291781694627305"/>
  </r>
  <r>
    <s v="SE"/>
    <s v="Jirau"/>
    <s v="HIDROELÉTRICA"/>
    <x v="0"/>
    <x v="542"/>
    <n v="0.68369698486175401"/>
    <n v="0.76111277923738796"/>
    <n v="0.736765642159111"/>
    <n v="0.86062763251178098"/>
    <n v="0.77892558766698605"/>
    <n v="0.91984875655087095"/>
    <n v="0.86037463335974496"/>
  </r>
  <r>
    <s v="SE"/>
    <s v="Juiz de Fora"/>
    <s v="TÉRMICA"/>
    <x v="1"/>
    <x v="543"/>
    <n v="0.98648816234498204"/>
    <n v="0.99887260428410296"/>
    <n v="0.99915445321307705"/>
    <n v="1"/>
    <n v="0.99915445321307705"/>
    <n v="1"/>
    <n v="1"/>
  </r>
  <r>
    <s v="SE"/>
    <s v="Jupiá"/>
    <s v="HIDROELÉTRICA"/>
    <x v="0"/>
    <x v="544"/>
    <n v="0.57287641916591503"/>
    <n v="0.633061397794771"/>
    <n v="0.65921874116971602"/>
    <n v="0.66953585801350901"/>
    <n v="0.72045294332854404"/>
    <n v="0.70504586541979297"/>
    <n v="0.752116665328181"/>
  </r>
  <r>
    <s v="SE"/>
    <s v="Jurumirim"/>
    <s v="HIDROELÉTRICA"/>
    <x v="0"/>
    <x v="545"/>
    <n v="0.61935318800532102"/>
    <n v="0.77785282980247605"/>
    <n v="0.63305188824071201"/>
    <n v="0.846182581107358"/>
    <n v="0.66424112168662297"/>
    <n v="0.84626445604339295"/>
    <n v="0.664655613550302"/>
  </r>
  <r>
    <s v="SE"/>
    <s v="Karkey 013"/>
    <s v="TÉRMICA"/>
    <x v="1"/>
    <x v="546"/>
    <n v="0.92041371003846995"/>
    <n v="0.94246411435861399"/>
    <n v="0.980606103827669"/>
    <n v="0.98062789472224499"/>
    <n v="0.98067940047306001"/>
    <n v="0.98066949552098004"/>
    <n v="0.98068534344430802"/>
  </r>
  <r>
    <s v="SE"/>
    <s v="Karkey 019"/>
    <s v="TÉRMICA"/>
    <x v="1"/>
    <x v="547"/>
    <n v="0.928339501730578"/>
    <n v="0.96924796956923998"/>
    <n v="0.999434563585894"/>
    <n v="0.97226363044446695"/>
    <n v="0.999901476988451"/>
    <n v="0.98182036256468197"/>
    <n v="1"/>
  </r>
  <r>
    <s v="SE"/>
    <s v="LDC Bioen Rio Brilhante"/>
    <s v="TÉRMICA"/>
    <x v="2"/>
    <x v="548"/>
    <n v="0.501066143545567"/>
    <n v="1"/>
    <n v="0.501066143545567"/>
    <n v="1"/>
    <n v="0.501066143545567"/>
    <n v="1"/>
    <n v="0.501066143545567"/>
  </r>
  <r>
    <s v="SE"/>
    <s v="Lajari"/>
    <s v="HIDROELÉTRICA"/>
    <x v="0"/>
    <x v="0"/>
    <n v="0"/>
    <n v="0"/>
    <n v="0"/>
    <n v="0"/>
    <n v="0"/>
    <n v="0"/>
    <n v="0"/>
  </r>
  <r>
    <s v="SE"/>
    <s v="Lajeado"/>
    <s v="HIDROELÉTRICA"/>
    <x v="0"/>
    <x v="549"/>
    <n v="0.78554702680080901"/>
    <n v="0.82899828280848797"/>
    <n v="0.83053334794772904"/>
    <n v="0.82952085817503796"/>
    <n v="0.83058981265894505"/>
    <n v="0.831777785896886"/>
    <n v="0.83060420562454895"/>
  </r>
  <r>
    <s v="SE"/>
    <s v="Limoeiro"/>
    <s v="HIDROELÉTRICA"/>
    <x v="0"/>
    <x v="550"/>
    <n v="0.81002282297727302"/>
    <n v="0.84324472017744001"/>
    <n v="0.84581632325050604"/>
    <n v="0.84711819730624505"/>
    <n v="0.84607348355781198"/>
    <n v="0.84625028126908597"/>
    <n v="0.84795396830499203"/>
  </r>
  <r>
    <s v="SE"/>
    <s v="Luiz Carlos Barreto"/>
    <s v="HIDROELÉTRICA"/>
    <x v="0"/>
    <x v="551"/>
    <n v="0.82635707312012396"/>
    <n v="0.89236554319050398"/>
    <n v="0.91102211444228498"/>
    <n v="0.93298186493461199"/>
    <n v="0.92987320830778297"/>
    <n v="0.932693323057599"/>
    <n v="0.92927806173962402"/>
  </r>
  <r>
    <s v="SE"/>
    <s v="Luiz Oscar Rodrigues de Melo"/>
    <s v="TÉRMICA"/>
    <x v="1"/>
    <x v="552"/>
    <n v="0.917260654261704"/>
    <n v="0.82085750967053395"/>
    <n v="0.92657062825129999"/>
    <n v="0.91249833266639901"/>
    <n v="0.92809415432839804"/>
    <n v="0.91457207883153202"/>
    <n v="0.92657062825129999"/>
  </r>
  <r>
    <s v="SE"/>
    <s v="Manso"/>
    <s v="HIDROELÉTRICA"/>
    <x v="0"/>
    <x v="553"/>
    <n v="0.76095671353735805"/>
    <n v="0.85161014612627495"/>
    <n v="0.84505100634132801"/>
    <n v="0.85033636614281705"/>
    <n v="0.84762338020402495"/>
    <n v="0.85092638544251398"/>
    <n v="0.84764267990074404"/>
  </r>
  <r>
    <s v="SE"/>
    <s v="Marimbondo"/>
    <s v="HIDROELÉTRICA"/>
    <x v="0"/>
    <x v="554"/>
    <n v="0.73567635429593903"/>
    <n v="0.85908467776847797"/>
    <n v="0.86250901901930699"/>
    <n v="0.89011840168547396"/>
    <n v="0.87753614822938597"/>
    <n v="0.88994595803630705"/>
    <n v="0.88820276198447201"/>
  </r>
  <r>
    <s v="SE"/>
    <s v="Marlim Azul"/>
    <s v="TÉRMICA"/>
    <x v="1"/>
    <x v="555"/>
    <n v="0.95442450123665901"/>
    <n v="0.88217165134155895"/>
    <n v="0.98236978730813995"/>
    <n v="0.97710616672837203"/>
    <n v="0.99810147875025501"/>
    <n v="0.98286428193463105"/>
    <n v="0.99832294471972705"/>
  </r>
  <r>
    <s v="SE"/>
    <s v="Mascarenhas"/>
    <s v="HIDROELÉTRICA"/>
    <x v="0"/>
    <x v="556"/>
    <n v="0.90457799115319604"/>
    <n v="0.91816961985275702"/>
    <n v="0.97058973587138897"/>
    <n v="0.92197823502701404"/>
    <n v="0.96337300959679195"/>
    <n v="0.92138130538818297"/>
    <n v="0.965230124028713"/>
  </r>
  <r>
    <s v="SE"/>
    <s v="Mascarenhas de Moraes"/>
    <s v="HIDROELÉTRICA"/>
    <x v="0"/>
    <x v="557"/>
    <n v="0.72139327156423505"/>
    <n v="0.77852402219699401"/>
    <n v="0.78596418479972596"/>
    <n v="0.82066228436897404"/>
    <n v="0.81819242682763704"/>
    <n v="0.82374054259824403"/>
    <n v="0.81901495736663299"/>
  </r>
  <r>
    <s v="SE"/>
    <s v="Meridiano I"/>
    <s v="TÉRMICA"/>
    <x v="2"/>
    <x v="0"/>
    <n v="0"/>
    <n v="0"/>
    <n v="0"/>
    <n v="0"/>
    <n v="0"/>
    <n v="0"/>
    <n v="0"/>
  </r>
  <r>
    <s v="SE"/>
    <s v="Miranda"/>
    <s v="HIDROELÉTRICA"/>
    <x v="0"/>
    <x v="558"/>
    <n v="0.87824095531502999"/>
    <n v="0.89108580832728101"/>
    <n v="0.89591393638668604"/>
    <n v="0.89743202079961504"/>
    <n v="0.89942597820402503"/>
    <n v="0.89761419092916594"/>
    <n v="0.89879272013463196"/>
  </r>
  <r>
    <s v="SE"/>
    <s v="Mosquitão"/>
    <s v="HIDROELÉTRICA"/>
    <x v="0"/>
    <x v="0"/>
    <n v="0"/>
    <n v="0"/>
    <n v="0"/>
    <n v="0"/>
    <n v="0"/>
    <n v="0"/>
    <n v="0"/>
  </r>
  <r>
    <s v="SE"/>
    <s v="Nilo Peçanha"/>
    <s v="HIDROELÉTRICA"/>
    <x v="0"/>
    <x v="559"/>
    <n v="0.44736286299399503"/>
    <n v="0.48475171237454601"/>
    <n v="0.45336753626597998"/>
    <n v="0.48517278808262099"/>
    <n v="0.45474706049053298"/>
    <n v="0.48536394308660502"/>
    <n v="0.45515610546409202"/>
  </r>
  <r>
    <s v="SE"/>
    <s v="Norte Fluminense"/>
    <s v="TÉRMICA"/>
    <x v="1"/>
    <x v="560"/>
    <n v="0.79429034582132496"/>
    <n v="0.80593780019212202"/>
    <n v="0.96141330451488904"/>
    <n v="0.89245917387127705"/>
    <n v="0.99313160422670499"/>
    <n v="0.93505643611911604"/>
    <n v="0.99890129682997097"/>
  </r>
  <r>
    <s v="SE"/>
    <s v="Nova Avanhandava"/>
    <s v="HIDROELÉTRICA"/>
    <x v="0"/>
    <x v="561"/>
    <n v="0.89252228520975396"/>
    <n v="0.905082109559324"/>
    <n v="0.91418768985186005"/>
    <n v="0.92169697961952102"/>
    <n v="0.92164727826618198"/>
    <n v="0.92169113240148104"/>
    <n v="0.921612194957943"/>
  </r>
  <r>
    <s v="SE"/>
    <s v="Nova Piratininga"/>
    <s v="TÉRMICA"/>
    <x v="1"/>
    <x v="562"/>
    <n v="0.90035837706386701"/>
    <n v="0.97492512479201299"/>
    <n v="1"/>
    <n v="0.99714066299756798"/>
    <n v="1"/>
    <n v="0.99993600409573702"/>
    <n v="1"/>
  </r>
  <r>
    <s v="SE"/>
    <s v="Nova Ponte"/>
    <s v="HIDROELÉTRICA"/>
    <x v="0"/>
    <x v="563"/>
    <n v="0.84759563846352404"/>
    <n v="0.96709383485003797"/>
    <n v="0.93603040712368601"/>
    <n v="0.99715764599097001"/>
    <n v="0.96141206112723798"/>
    <n v="0.99733663800186201"/>
    <n v="0.991054311849075"/>
  </r>
  <r>
    <s v="SE"/>
    <s v="Onça Pintada"/>
    <s v="TÉRMICA"/>
    <x v="2"/>
    <x v="564"/>
    <n v="0.88768464209349296"/>
    <n v="0.99739098024599304"/>
    <n v="0.99723404672695504"/>
    <n v="0.99764599721443004"/>
    <n v="0.99723404672695504"/>
    <n v="0.997783314043588"/>
    <n v="0.99756753045491098"/>
  </r>
  <r>
    <s v="SE"/>
    <s v="Ourinhos"/>
    <s v="HIDROELÉTRICA"/>
    <x v="0"/>
    <x v="565"/>
    <n v="0.74716078188614499"/>
    <n v="0.97826242232327798"/>
    <n v="0.83411109259303295"/>
    <n v="0.97826242232327798"/>
    <n v="0.85314635365824598"/>
    <n v="0.98350039284778901"/>
    <n v="0.97298873836337196"/>
  </r>
  <r>
    <s v="SE"/>
    <s v="PIE-RP"/>
    <s v="TÉRMICA"/>
    <x v="2"/>
    <x v="0"/>
    <n v="0"/>
    <n v="0"/>
    <n v="0"/>
    <n v="0"/>
    <n v="0"/>
    <n v="0"/>
    <n v="0"/>
  </r>
  <r>
    <s v="SE"/>
    <s v="PQU DFDF FOTOV MMGD"/>
    <s v="FOTOVOLTAICA"/>
    <x v="6"/>
    <x v="566"/>
    <n v="0.75785963798031097"/>
    <n v="0.87393240962043095"/>
    <n v="0.85710166970299595"/>
    <n v="0.92001777228081305"/>
    <n v="0.91431281442730294"/>
    <n v="0.99801663574624"/>
    <n v="0.99892474915456297"/>
  </r>
  <r>
    <s v="SE"/>
    <s v="PQU DFDF HID - CARGA GLOBAL"/>
    <s v="HIDROELÉTRICA"/>
    <x v="0"/>
    <x v="567"/>
    <n v="0.829059829059829"/>
    <n v="0.829059829059829"/>
    <n v="0.829059829059829"/>
    <n v="0.829059829059829"/>
    <n v="0.829059829059829"/>
    <n v="0.829059829059829"/>
    <n v="0.829059829059829"/>
  </r>
  <r>
    <s v="SE"/>
    <s v="PQU DFGO FOTOV MMGD"/>
    <s v="FOTOVOLTAICA"/>
    <x v="6"/>
    <x v="568"/>
    <n v="0.67346033881719702"/>
    <n v="0.74490092349091797"/>
    <n v="0.76810286832609598"/>
    <n v="0.91239832426151302"/>
    <n v="0.91787199559659904"/>
    <n v="0.99640694758730297"/>
    <n v="0.99339489939453196"/>
  </r>
  <r>
    <s v="SE"/>
    <s v="PQU DFGO HID - CARGA GLOBAL"/>
    <s v="HIDROELÉTRICA"/>
    <x v="0"/>
    <x v="569"/>
    <n v="0.97509868989595205"/>
    <n v="0.97509868989595205"/>
    <n v="0.97509868989595205"/>
    <n v="0.97475301600470099"/>
    <n v="0.97509868989595205"/>
    <n v="0.97473607798402995"/>
    <n v="0.97509868989595205"/>
  </r>
  <r>
    <s v="SE"/>
    <s v="PQU ESES FOTOV MMGD"/>
    <s v="FOTOVOLTAICA"/>
    <x v="6"/>
    <x v="570"/>
    <n v="0.74642407298489799"/>
    <n v="0.73551366855467004"/>
    <n v="0.83268072329602905"/>
    <n v="0.91322703578075504"/>
    <n v="0.89994319875601203"/>
    <n v="0.98946625630117802"/>
    <n v="0.98302676775408104"/>
  </r>
  <r>
    <s v="SE"/>
    <s v="PQU ESES HID - CARGA GLOBAL"/>
    <s v="HIDROELÉTRICA"/>
    <x v="0"/>
    <x v="571"/>
    <n v="0.98067632850241504"/>
    <n v="0.98188405797101397"/>
    <n v="0.98429951690821205"/>
    <n v="0.98067632850241504"/>
    <n v="0.99033816425120702"/>
    <n v="0.98188405797101397"/>
    <n v="0.99045652173913001"/>
  </r>
  <r>
    <s v="SE"/>
    <s v="PQU ESES TERM - CARGA GLOBAL"/>
    <s v="TÉRMICA"/>
    <x v="7"/>
    <x v="572"/>
    <n v="0.75741793893129705"/>
    <n v="0.75954198473282397"/>
    <n v="0.757633587786259"/>
    <n v="0.75954198473282397"/>
    <n v="0.757633587786259"/>
    <n v="0.75954198473282397"/>
    <n v="0.757633587786259"/>
  </r>
  <r>
    <s v="SE"/>
    <s v="PQU GOGO FOTOV MMGD"/>
    <s v="FOTOVOLTAICA"/>
    <x v="6"/>
    <x v="573"/>
    <n v="0.69104528800904896"/>
    <n v="0.73721610489485101"/>
    <n v="0.76595369298601401"/>
    <n v="0.92525516345300796"/>
    <n v="0.88305220009431495"/>
    <n v="0.99950203965874795"/>
    <n v="0.99047840468016701"/>
  </r>
  <r>
    <s v="SE"/>
    <s v="PQU GOGO HID - CARGA GLOBAL"/>
    <s v="HIDROELÉTRICA"/>
    <x v="0"/>
    <x v="574"/>
    <n v="0.68318085106382898"/>
    <n v="0.68672695035460896"/>
    <n v="0.68672695035460896"/>
    <n v="0.68318085106382898"/>
    <n v="0.68672695035460896"/>
    <n v="0.68672695035460896"/>
    <n v="0.68672695035460896"/>
  </r>
  <r>
    <s v="SE"/>
    <s v="PQU GOGO TERM - CARGA GLOBAL"/>
    <s v="TÉRMICA"/>
    <x v="7"/>
    <x v="575"/>
    <n v="0.99939209282985597"/>
    <n v="0.99939209282985597"/>
    <n v="0.99939209282985597"/>
    <n v="0.99939209282985597"/>
    <n v="0.99939209282985597"/>
    <n v="0.99939209282985597"/>
    <n v="0.99939209282985597"/>
  </r>
  <r>
    <s v="SE"/>
    <s v="PQU MGGO HID - CARGA GLOBAL"/>
    <s v="HIDROELÉTRICA"/>
    <x v="0"/>
    <x v="576"/>
    <n v="0.64118478260869505"/>
    <n v="0.72807608695652104"/>
    <n v="0.64661956521739095"/>
    <n v="0.72807608695652104"/>
    <n v="0.65217391304347805"/>
    <n v="0.72807608695652104"/>
    <n v="0.65217391304347805"/>
  </r>
  <r>
    <s v="SE"/>
    <s v="PQU MGMG FOTOV - CARGA GLOBAL"/>
    <s v="FOTOVOLTAICA"/>
    <x v="6"/>
    <x v="577"/>
    <n v="0.83108108108108103"/>
    <n v="0.88513513513513498"/>
    <n v="0.83108108108108103"/>
    <n v="0.96621621621621601"/>
    <n v="0.94599999999999895"/>
    <n v="1"/>
    <n v="0.99667567567567505"/>
  </r>
  <r>
    <s v="SE"/>
    <s v="PQU MGMG FOTOV MMGD"/>
    <s v="FOTOVOLTAICA"/>
    <x v="6"/>
    <x v="578"/>
    <n v="0.74145191629802498"/>
    <n v="0.73980962883344803"/>
    <n v="0.82986144291838904"/>
    <n v="0.90336282741802498"/>
    <n v="0.90347812017000095"/>
    <n v="0.99478603328380499"/>
    <n v="0.99267214490466604"/>
  </r>
  <r>
    <s v="SE"/>
    <s v="PQU MGMG HID - CARGA GLOBAL"/>
    <s v="HIDROELÉTRICA"/>
    <x v="0"/>
    <x v="579"/>
    <n v="0.66976431718061602"/>
    <n v="0.67159985315712101"/>
    <n v="0.67306828193832602"/>
    <n v="0.66939720998531504"/>
    <n v="0.67563803230543296"/>
    <n v="0.67233406754772396"/>
    <n v="0.67710646108663697"/>
  </r>
  <r>
    <s v="SE"/>
    <s v="PQU MGMG TERM - CARGA GLOBAL"/>
    <s v="TÉRMICA"/>
    <x v="7"/>
    <x v="580"/>
    <n v="0.971170616113744"/>
    <n v="0.94865876777251101"/>
    <n v="0.96880094786729798"/>
    <n v="0.94865876777251101"/>
    <n v="0.96761611374407497"/>
    <n v="0.947473933649289"/>
    <n v="0.96287677725118404"/>
  </r>
  <r>
    <s v="SE"/>
    <s v="PQU MSGO HID - CARGA GLOBAL"/>
    <s v="HIDROELÉTRICA"/>
    <x v="0"/>
    <x v="581"/>
    <n v="0.703595011005135"/>
    <n v="0.703595011005135"/>
    <n v="0.703595011005135"/>
    <n v="0.703595011005135"/>
    <n v="0.703595011005135"/>
    <n v="0.703595011005135"/>
    <n v="0.703595011005135"/>
  </r>
  <r>
    <s v="SE"/>
    <s v="PQU MSMS FOTOV MMGD"/>
    <s v="FOTOVOLTAICA"/>
    <x v="6"/>
    <x v="582"/>
    <n v="0.63899667247718395"/>
    <n v="0.74733065645980701"/>
    <n v="0.72625970819914598"/>
    <n v="0.93244637407041198"/>
    <n v="0.90240787025380598"/>
    <n v="1"/>
    <n v="0.97556073540622801"/>
  </r>
  <r>
    <s v="SE"/>
    <s v="PQU MSMS HID - CARGA GLOBAL"/>
    <s v="HIDROELÉTRICA"/>
    <x v="0"/>
    <x v="583"/>
    <n v="0.74462376237623695"/>
    <n v="0.72729702970297005"/>
    <n v="0.74709900990098999"/>
    <n v="0.72234653465346499"/>
    <n v="0.74957425742574202"/>
    <n v="0.72234653465346499"/>
    <n v="0.74709900990098999"/>
  </r>
  <r>
    <s v="SE"/>
    <s v="PQU MSMS TERM - CARGA GLOBAL"/>
    <s v="TÉRMICA"/>
    <x v="7"/>
    <x v="584"/>
    <n v="0.768073170731707"/>
    <n v="0.78026829268292597"/>
    <n v="0.768073170731707"/>
    <n v="0.78026829268292597"/>
    <n v="0.768073170731707"/>
    <n v="0.78026829268292597"/>
    <n v="0.768073170731707"/>
  </r>
  <r>
    <s v="SE"/>
    <s v="PQU MTGO HID - CARGA GLOBAL"/>
    <s v="HIDROELÉTRICA"/>
    <x v="0"/>
    <x v="585"/>
    <n v="0.94885714285714196"/>
    <n v="0.63254081632653003"/>
    <n v="0.96428571428571397"/>
    <n v="0.63254081632653003"/>
    <n v="0.96938775510204001"/>
    <n v="0.64274489795918299"/>
    <n v="0.96938775510204001"/>
  </r>
  <r>
    <s v="SE"/>
    <s v="PQU MTGO TERM - CARGA GLOBAL"/>
    <s v="TÉRMICA"/>
    <x v="7"/>
    <x v="0"/>
    <n v="0"/>
    <n v="0"/>
    <n v="0"/>
    <n v="0"/>
    <n v="0"/>
    <n v="0"/>
    <n v="0"/>
  </r>
  <r>
    <s v="SE"/>
    <s v="PQU MTMS HID - CARGA GLOBAL"/>
    <s v="HIDROELÉTRICA"/>
    <x v="0"/>
    <x v="586"/>
    <n v="0.91019831299353904"/>
    <n v="0.91019831299353904"/>
    <n v="0.91019831299353904"/>
    <n v="0.91019831299353904"/>
    <n v="0.91019831299353904"/>
    <n v="0.91019831299353904"/>
    <n v="0.91019831299353904"/>
  </r>
  <r>
    <s v="SE"/>
    <s v="PQU MTMS TERM - CARGA GLOBAL"/>
    <s v="TÉRMICA"/>
    <x v="7"/>
    <x v="587"/>
    <n v="0.97960000000000003"/>
    <n v="0.97960000000000003"/>
    <n v="0.97960000000000003"/>
    <n v="0.97960000000000003"/>
    <n v="0.97960000000000003"/>
    <n v="0.97960000000000003"/>
    <n v="0.97960000000000003"/>
  </r>
  <r>
    <s v="SE"/>
    <s v="PQU MTMT FOTOV - CARGA GLOBAL"/>
    <s v="FOTOVOLTAICA"/>
    <x v="6"/>
    <x v="29"/>
    <n v="1"/>
    <n v="1"/>
    <n v="1"/>
    <n v="1"/>
    <n v="1"/>
    <n v="0.999999999999999"/>
    <n v="0.999999999999999"/>
  </r>
  <r>
    <s v="SE"/>
    <s v="PQU MTMT FOTOV MMGD"/>
    <s v="FOTOVOLTAICA"/>
    <x v="6"/>
    <x v="588"/>
    <n v="0.639569235195101"/>
    <n v="0.74617449318073703"/>
    <n v="0.72629124580418503"/>
    <n v="0.91331916519623302"/>
    <n v="0.89180755197210104"/>
    <n v="0.98844359847989904"/>
    <n v="0.972255193367071"/>
  </r>
  <r>
    <s v="SE"/>
    <s v="PQU MTMT HID - CARGA GLOBAL"/>
    <s v="HIDROELÉTRICA"/>
    <x v="0"/>
    <x v="589"/>
    <n v="0.69723809523809499"/>
    <n v="0.67263492063492003"/>
    <n v="0.69842857142857095"/>
    <n v="0.67263492063492003"/>
    <n v="0.69961904761904703"/>
    <n v="0.67184126984126902"/>
    <n v="0.698031746031746"/>
  </r>
  <r>
    <s v="SE"/>
    <s v="PQU MTMT TERM - CARGA GLOBAL"/>
    <s v="TÉRMICA"/>
    <x v="7"/>
    <x v="590"/>
    <n v="0.80668333333333297"/>
    <n v="0.80668333333333297"/>
    <n v="0.80668333333333297"/>
    <n v="0.80668333333333297"/>
    <n v="0.79557222222222201"/>
    <n v="0.80112777777777699"/>
    <n v="0.79557222222222201"/>
  </r>
  <r>
    <s v="SE"/>
    <s v="PQU MTPA HID - CARGA GLOBAL"/>
    <s v="HIDROELÉTRICA"/>
    <x v="0"/>
    <x v="591"/>
    <n v="0.91774193548387095"/>
    <n v="0.91774193548387095"/>
    <n v="0.91774193548387095"/>
    <n v="0.91774193548387095"/>
    <n v="0.91774193548387095"/>
    <n v="0.91774193548386995"/>
    <n v="0.929838709677419"/>
  </r>
  <r>
    <s v="SE"/>
    <s v="PQU PRMS FOTOV MMGD"/>
    <s v="FOTOVOLTAICA"/>
    <x v="6"/>
    <x v="592"/>
    <n v="0.62206380179460996"/>
    <n v="0.73239020207843597"/>
    <n v="0.73172128845329398"/>
    <n v="0.917708841485949"/>
    <n v="0.90876535544813497"/>
    <n v="0.996049344390734"/>
    <n v="0.99696217127145303"/>
  </r>
  <r>
    <s v="SE"/>
    <s v="PQU RJES HID - CARGA GLOBAL"/>
    <s v="HIDROELÉTRICA"/>
    <x v="0"/>
    <x v="593"/>
    <n v="0.74980555555555495"/>
    <n v="0.88888888888888795"/>
    <n v="0.75"/>
    <n v="0.88888888888888795"/>
    <n v="0.75"/>
    <n v="0.88888888888888795"/>
    <n v="0.75"/>
  </r>
  <r>
    <s v="SE"/>
    <s v="PQU RJMG HID - CARGA GLOBAL"/>
    <s v="HIDROELÉTRICA"/>
    <x v="0"/>
    <x v="594"/>
    <n v="0.84837931034482705"/>
    <n v="0.84837931034482705"/>
    <n v="0.84837931034482705"/>
    <n v="0.84837931034482705"/>
    <n v="0.84837931034482705"/>
    <n v="0.84837931034482705"/>
    <n v="0.84837931034482705"/>
  </r>
  <r>
    <s v="SE"/>
    <s v="PQU RJRJ EOL - CARGA GLOBAL"/>
    <s v="EOLIELÉTRICA"/>
    <x v="3"/>
    <x v="595"/>
    <n v="0.76120454545454497"/>
    <n v="0.76099999999999901"/>
    <n v="0.77238636363636304"/>
    <n v="0.76099999999999901"/>
    <n v="0.78413636363636297"/>
    <n v="0.78372727272727205"/>
    <n v="0.79531818181818104"/>
  </r>
  <r>
    <s v="SE"/>
    <s v="PQU RJRJ FOTOV MMGD"/>
    <s v="FOTOVOLTAICA"/>
    <x v="6"/>
    <x v="596"/>
    <n v="0.742185539066753"/>
    <n v="0.82668655820529302"/>
    <n v="0.76815187014782005"/>
    <n v="0.95326901556398502"/>
    <n v="0.81279612720625405"/>
    <n v="1"/>
    <n v="0.91968488465128195"/>
  </r>
  <r>
    <s v="SE"/>
    <s v="PQU RJRJ HID - CARGA GLOBAL"/>
    <s v="HIDROELÉTRICA"/>
    <x v="0"/>
    <x v="597"/>
    <n v="0.68390853658536499"/>
    <n v="0.68594105691056895"/>
    <n v="0.68695731707316998"/>
    <n v="0.68289227642276396"/>
    <n v="0.68797357723577202"/>
    <n v="0.68695731707316998"/>
    <n v="0.69010569105691"/>
  </r>
  <r>
    <s v="SE"/>
    <s v="PQU RJRJ TERM - CARGA GLOBAL"/>
    <s v="TÉRMICA"/>
    <x v="7"/>
    <x v="598"/>
    <n v="0.69554347826086904"/>
    <n v="0.69565217391304301"/>
    <n v="0.69565217391304301"/>
    <n v="0.69565217391304301"/>
    <n v="0.69565217391304301"/>
    <n v="0.69565217391304301"/>
    <n v="0.69565217391304301"/>
  </r>
  <r>
    <s v="SE"/>
    <s v="PQU ROMT HID - CARGA GLOBAL"/>
    <s v="HIDROELÉTRICA"/>
    <x v="0"/>
    <x v="599"/>
    <n v="0.66649999999999998"/>
    <n v="0.66649999999999998"/>
    <n v="0.66649999999999998"/>
    <n v="0.66649999999999998"/>
    <n v="0.66649999999999998"/>
    <n v="0.66649999999999998"/>
    <n v="0.66649999999999998"/>
  </r>
  <r>
    <s v="SE"/>
    <s v="PQU RORO FOTOV MMGD"/>
    <s v="FOTOVOLTAICA"/>
    <x v="6"/>
    <x v="600"/>
    <n v="0.63901730205638096"/>
    <n v="0.74854079042562305"/>
    <n v="0.74788169366408697"/>
    <n v="0.92994567816458396"/>
    <n v="0.90911055658422302"/>
    <n v="0.99768396463562603"/>
    <n v="0.97451594707606204"/>
  </r>
  <r>
    <s v="SE"/>
    <s v="PQU RORO HID - CARGA GLOBAL"/>
    <s v="HIDROELÉTRICA"/>
    <x v="0"/>
    <x v="601"/>
    <n v="0.74387195902688796"/>
    <n v="0.74387195902688796"/>
    <n v="0.74387195902688796"/>
    <n v="0.74387195902688796"/>
    <n v="0.74387195902688796"/>
    <n v="0.73606402048655495"/>
    <n v="0.74387195902688796"/>
  </r>
  <r>
    <s v="SE"/>
    <s v="PQU SPMG FOTOV MMGD"/>
    <s v="FOTOVOLTAICA"/>
    <x v="6"/>
    <x v="602"/>
    <n v="0.63151995562848096"/>
    <n v="0.73702941924152399"/>
    <n v="0.71068382981673595"/>
    <n v="0.90155069214947603"/>
    <n v="0.86649257008157798"/>
    <n v="0.98849113725127602"/>
    <n v="0.97375840632294097"/>
  </r>
  <r>
    <s v="SE"/>
    <s v="PQU SPMG HID - CARGA GLOBAL"/>
    <s v="HIDROELÉTRICA"/>
    <x v="0"/>
    <x v="603"/>
    <n v="0.83299999999999996"/>
    <n v="0.83333333333333304"/>
    <n v="0.83333333333333304"/>
    <n v="0.83333333333333304"/>
    <n v="0.83333333333333304"/>
    <n v="0.83333333333333304"/>
    <n v="0.83333333333333304"/>
  </r>
  <r>
    <s v="SE"/>
    <s v="PQU SPMS FOTOV MMGD"/>
    <s v="FOTOVOLTAICA"/>
    <x v="6"/>
    <x v="604"/>
    <n v="0.62513256307211396"/>
    <n v="0.74037871176601899"/>
    <n v="0.71445914266577304"/>
    <n v="0.92180871846394197"/>
    <n v="0.88267470417503902"/>
    <n v="0.99674871623130101"/>
    <n v="0.98985543648135699"/>
  </r>
  <r>
    <s v="SE"/>
    <s v="PQU SPSP FOTOV - CARGA GLOBAL"/>
    <s v="FOTOVOLTAICA"/>
    <x v="6"/>
    <x v="605"/>
    <n v="0.88500000000000001"/>
    <n v="0.88500000000000001"/>
    <n v="0.85"/>
    <n v="0.95079999999999898"/>
    <n v="1"/>
    <n v="1"/>
    <n v="1"/>
  </r>
  <r>
    <s v="SE"/>
    <s v="PQU SPSP FOTOV MMGD"/>
    <s v="FOTOVOLTAICA"/>
    <x v="6"/>
    <x v="606"/>
    <n v="0.69155988223419995"/>
    <n v="0.74504539321148899"/>
    <n v="0.75858603848149597"/>
    <n v="0.92566834815832599"/>
    <n v="0.89420376026168602"/>
    <n v="0.99876921571115396"/>
    <n v="0.99099880200971702"/>
  </r>
  <r>
    <s v="SE"/>
    <s v="PQU SPSP HID - CARGA GLOBAL"/>
    <s v="HIDROELÉTRICA"/>
    <x v="0"/>
    <x v="607"/>
    <n v="0.91123655913978496"/>
    <n v="0.91123655913978496"/>
    <n v="0.91258064516129"/>
    <n v="0.91123655913978496"/>
    <n v="0.91392473118279505"/>
    <n v="0.91258064516129"/>
    <n v="0.91661290322580602"/>
  </r>
  <r>
    <s v="SE"/>
    <s v="PQU SPSP TERM - CARGA GLOBAL"/>
    <s v="TÉRMICA"/>
    <x v="7"/>
    <x v="608"/>
    <n v="0.97482544378698199"/>
    <n v="0.95522522189349102"/>
    <n v="0.97353106508875698"/>
    <n v="0.95263609467455601"/>
    <n v="0.96909319526627202"/>
    <n v="0.95060207100591698"/>
    <n v="0.96373076923076895"/>
  </r>
  <r>
    <s v="SE"/>
    <s v="Palmeiras de Goiás"/>
    <s v="TÉRMICA"/>
    <x v="5"/>
    <x v="609"/>
    <n v="0.83953238264173002"/>
    <n v="0.99521628001173201"/>
    <n v="0.99508359288796999"/>
    <n v="1"/>
    <n v="0.99508359288796999"/>
    <n v="1"/>
    <n v="1"/>
  </r>
  <r>
    <s v="SE"/>
    <s v="Paraibuna"/>
    <s v="HIDROELÉTRICA"/>
    <x v="0"/>
    <x v="610"/>
    <n v="0.85313051665293604"/>
    <n v="0.98252324349770503"/>
    <n v="0.97477344945274802"/>
    <n v="0.98252324349770503"/>
    <n v="0.97530304813463498"/>
    <n v="0.98252324349770503"/>
    <n v="0.97535012357302497"/>
  </r>
  <r>
    <s v="SE"/>
    <s v="Paranapanema"/>
    <s v="HIDROELÉTRICA"/>
    <x v="0"/>
    <x v="611"/>
    <n v="0.99995170068027195"/>
    <n v="0.72789047619047598"/>
    <n v="0.77683673469387704"/>
    <n v="0.94000884353741498"/>
    <n v="1"/>
    <n v="1"/>
    <n v="1"/>
  </r>
  <r>
    <s v="SE"/>
    <s v="Paranatinga II"/>
    <s v="HIDROELÉTRICA"/>
    <x v="0"/>
    <x v="448"/>
    <n v="1"/>
    <n v="0.5"/>
    <n v="1"/>
    <n v="0.5"/>
    <n v="1"/>
    <n v="0.5"/>
    <n v="0.999999999999999"/>
  </r>
  <r>
    <s v="SE"/>
    <s v="Paulínia Verde"/>
    <s v="TÉRMICA"/>
    <x v="1"/>
    <x v="29"/>
    <n v="0.76879831342234695"/>
    <n v="0.77556219255094805"/>
    <n v="0.82689739985945099"/>
    <n v="0.82580815179198797"/>
    <n v="0.82868938861560004"/>
    <n v="0.82475404075895997"/>
    <n v="0.81410751932536796"/>
  </r>
  <r>
    <s v="SE"/>
    <s v="Peixe Angical"/>
    <s v="HIDROELÉTRICA"/>
    <x v="0"/>
    <x v="612"/>
    <n v="0.90697429853227995"/>
    <n v="0.99233698229489697"/>
    <n v="0.95904392841765196"/>
    <n v="0.99234987965768395"/>
    <n v="0.89631314003162799"/>
    <n v="0.99237567438325802"/>
    <n v="0.89618714271824795"/>
  </r>
  <r>
    <s v="SE"/>
    <s v="Pereira Passos"/>
    <s v="HIDROELÉTRICA"/>
    <x v="0"/>
    <x v="613"/>
    <n v="0.81175028933215299"/>
    <n v="0.79147661515419698"/>
    <n v="0.85235210021104202"/>
    <n v="0.855728776635577"/>
    <n v="0.85570835318946104"/>
    <n v="0.85549050309755503"/>
    <n v="0.85444209953025996"/>
  </r>
  <r>
    <s v="SE"/>
    <s v="Picada"/>
    <s v="HIDROELÉTRICA"/>
    <x v="0"/>
    <x v="614"/>
    <n v="0.97793712621970397"/>
    <n v="0.990183349071451"/>
    <n v="0.99665564998426104"/>
    <n v="0.99401951526597399"/>
    <n v="0.99666548630783702"/>
    <n v="0.999999999999999"/>
    <n v="0.99661630468995899"/>
  </r>
  <r>
    <s v="SE"/>
    <s v="Pioneiros"/>
    <s v="TÉRMICA"/>
    <x v="2"/>
    <x v="0"/>
    <n v="0"/>
    <n v="0"/>
    <n v="0"/>
    <n v="0"/>
    <n v="0"/>
    <n v="0"/>
    <n v="0"/>
  </r>
  <r>
    <s v="SE"/>
    <s v="Pirajú"/>
    <s v="HIDROELÉTRICA"/>
    <x v="0"/>
    <x v="615"/>
    <n v="0.63887089192931601"/>
    <n v="0.83511820826505001"/>
    <n v="0.63925200401437998"/>
    <n v="0.85033093232719703"/>
    <n v="0.67381251826162003"/>
    <n v="0.85110586023349399"/>
    <n v="0.73108096091060304"/>
  </r>
  <r>
    <s v="SE"/>
    <s v="Piratininga"/>
    <s v="TÉRMICA"/>
    <x v="1"/>
    <x v="0"/>
    <n v="0"/>
    <n v="0"/>
    <n v="0"/>
    <n v="0"/>
    <n v="0"/>
    <n v="0"/>
    <n v="0"/>
  </r>
  <r>
    <s v="SE"/>
    <s v="Ponte de Pedra"/>
    <s v="HIDROELÉTRICA"/>
    <x v="0"/>
    <x v="616"/>
    <n v="0.84810348236224398"/>
    <n v="0.90737424803004996"/>
    <n v="0.90915355720620195"/>
    <n v="0.90605812409975395"/>
    <n v="0.91056853164628404"/>
    <n v="0.905860423080181"/>
    <n v="0.90769904256220502"/>
  </r>
  <r>
    <s v="SE"/>
    <s v="Porsud I"/>
    <s v="TÉRMICA"/>
    <x v="1"/>
    <x v="617"/>
    <n v="0.93355421530815597"/>
    <n v="0.98818367716718802"/>
    <n v="0.98419744777780604"/>
    <n v="1"/>
    <n v="0.99959878860041895"/>
    <n v="1"/>
    <n v="0.98818367716718802"/>
  </r>
  <r>
    <s v="SE"/>
    <s v="Porsud II"/>
    <s v="TÉRMICA"/>
    <x v="1"/>
    <x v="618"/>
    <n v="0.95778788327256503"/>
    <n v="0.99858059655306897"/>
    <n v="1"/>
    <n v="0.99985200532780805"/>
    <n v="1"/>
    <n v="1"/>
    <n v="1"/>
  </r>
  <r>
    <s v="SE"/>
    <s v="Porto Colômbia"/>
    <s v="HIDROELÉTRICA"/>
    <x v="0"/>
    <x v="619"/>
    <n v="0.81099270778776"/>
    <n v="0.90688529873897095"/>
    <n v="0.87341364167438795"/>
    <n v="0.90949196245115005"/>
    <n v="0.90840417388501604"/>
    <n v="0.90949196245115005"/>
    <n v="0.90840417388501604"/>
  </r>
  <r>
    <s v="SE"/>
    <s v="Porto Estrela"/>
    <s v="HIDROELÉTRICA"/>
    <x v="0"/>
    <x v="620"/>
    <n v="0.79415525033072598"/>
    <n v="0.88178210261828405"/>
    <n v="0.836958741376708"/>
    <n v="0.90949205813674705"/>
    <n v="0.90759648764549705"/>
    <n v="0.90920350525166205"/>
    <n v="0.90884392396409497"/>
  </r>
  <r>
    <s v="SE"/>
    <s v="Porto Primavera"/>
    <s v="HIDROELÉTRICA"/>
    <x v="0"/>
    <x v="621"/>
    <n v="0.55073432032263903"/>
    <n v="0.58696336723540099"/>
    <n v="0.56110279369852001"/>
    <n v="0.68333485438645003"/>
    <n v="0.56426008196966804"/>
    <n v="0.68318925128656705"/>
    <n v="0.56864698493599997"/>
  </r>
  <r>
    <s v="SE"/>
    <s v="Potirendaba I"/>
    <s v="TÉRMICA"/>
    <x v="2"/>
    <x v="0"/>
    <n v="0"/>
    <n v="0"/>
    <n v="0"/>
    <n v="0"/>
    <n v="0"/>
    <n v="0"/>
    <n v="0"/>
  </r>
  <r>
    <s v="SE"/>
    <s v="Povoação 1"/>
    <s v="TÉRMICA"/>
    <x v="1"/>
    <x v="622"/>
    <n v="0.98524179470436901"/>
    <n v="0.99963354343509703"/>
    <n v="0.99972682328798101"/>
    <n v="1"/>
    <n v="1"/>
    <n v="1"/>
    <n v="1"/>
  </r>
  <r>
    <s v="SE"/>
    <s v="Predilecta"/>
    <s v="TÉRMICA"/>
    <x v="2"/>
    <x v="0"/>
    <n v="0"/>
    <n v="0"/>
    <n v="0"/>
    <n v="0"/>
    <n v="0"/>
    <n v="0"/>
    <n v="0"/>
  </r>
  <r>
    <s v="SE"/>
    <s v="Promissão"/>
    <s v="HIDROELÉTRICA"/>
    <x v="0"/>
    <x v="623"/>
    <n v="0.88206876065102102"/>
    <n v="0.89922179140413605"/>
    <n v="0.90320273291537001"/>
    <n v="0.90727748159034405"/>
    <n v="0.90743382686324403"/>
    <n v="0.90744750707462296"/>
    <n v="0.90747682181329203"/>
  </r>
  <r>
    <s v="SE"/>
    <s v="Quatá"/>
    <s v="TÉRMICA"/>
    <x v="2"/>
    <x v="0"/>
    <n v="0"/>
    <n v="0"/>
    <n v="0"/>
    <n v="0"/>
    <n v="0"/>
    <n v="0"/>
    <n v="0"/>
  </r>
  <r>
    <s v="SE"/>
    <s v="Queimado"/>
    <s v="HIDROELÉTRICA"/>
    <x v="0"/>
    <x v="624"/>
    <n v="0.79705807855755795"/>
    <n v="0.82352692852519305"/>
    <n v="0.82125200521590602"/>
    <n v="0.82300158541047097"/>
    <n v="0.82146308057450002"/>
    <n v="0.82462921095340302"/>
    <n v="0.82204940101503698"/>
  </r>
  <r>
    <s v="SE"/>
    <s v="Queixada"/>
    <s v="HIDROELÉTRICA"/>
    <x v="0"/>
    <x v="0"/>
    <n v="0"/>
    <n v="0"/>
    <n v="0"/>
    <n v="0"/>
    <n v="0"/>
    <n v="0"/>
    <n v="0"/>
  </r>
  <r>
    <s v="SE"/>
    <s v="Quirinópolis"/>
    <s v="TÉRMICA"/>
    <x v="2"/>
    <x v="0"/>
    <n v="0"/>
    <n v="0"/>
    <n v="0"/>
    <n v="0"/>
    <n v="0"/>
    <n v="0"/>
    <n v="0"/>
  </r>
  <r>
    <s v="SE"/>
    <s v="Retiro Baixo"/>
    <s v="HIDROELÉTRICA"/>
    <x v="0"/>
    <x v="625"/>
    <n v="0.72117202268431002"/>
    <n v="0.75768251339655301"/>
    <n v="0.75768251339655301"/>
    <n v="0.75774500460872596"/>
    <n v="0.75776843881329103"/>
    <n v="0.75776843881329103"/>
    <n v="0.75776843881329103"/>
  </r>
  <r>
    <s v="SE"/>
    <s v="Risoleta Neves"/>
    <s v="HIDROELÉTRICA"/>
    <x v="0"/>
    <x v="626"/>
    <n v="0.70907668347123898"/>
    <n v="0.76667232560027698"/>
    <n v="0.76080794809527597"/>
    <n v="0.83662412624834803"/>
    <n v="0.84100118837605797"/>
    <n v="0.84143668022350304"/>
    <n v="0.84141453657024301"/>
  </r>
  <r>
    <s v="SE"/>
    <s v="Rondon II"/>
    <s v="HIDROELÉTRICA"/>
    <x v="0"/>
    <x v="29"/>
    <n v="1"/>
    <n v="0.91231514289232096"/>
    <n v="0.91242458650833802"/>
    <n v="0.95779580557341604"/>
    <n v="0.91242458650833802"/>
    <n v="0.92246603827790397"/>
    <n v="0.99099142235659399"/>
  </r>
  <r>
    <s v="SE"/>
    <s v="Rosal"/>
    <s v="HIDROELÉTRICA"/>
    <x v="0"/>
    <x v="627"/>
    <n v="0.96967350281278897"/>
    <n v="0.98938973153884402"/>
    <n v="0.99162394075339999"/>
    <n v="0.99099195328633405"/>
    <n v="0.99163284198532997"/>
    <n v="0.99100975575019501"/>
    <n v="0.99161503952146901"/>
  </r>
  <r>
    <s v="SE"/>
    <s v="Rosana"/>
    <s v="HIDROELÉTRICA"/>
    <x v="0"/>
    <x v="628"/>
    <n v="0.80731428571428498"/>
    <n v="0.84859857142857098"/>
    <n v="0.81660999999999995"/>
    <n v="0.85811285714285701"/>
    <n v="0.81987285714285696"/>
    <n v="0.85813428571428496"/>
    <n v="0.82234285714285704"/>
  </r>
  <r>
    <s v="SE"/>
    <s v="Sacre 2"/>
    <s v="HIDROELÉTRICA"/>
    <x v="0"/>
    <x v="0"/>
    <n v="0"/>
    <n v="0"/>
    <n v="0"/>
    <n v="0"/>
    <n v="0"/>
    <n v="0"/>
    <n v="0"/>
  </r>
  <r>
    <s v="SE"/>
    <s v="Salto"/>
    <s v="HIDROELÉTRICA"/>
    <x v="0"/>
    <x v="629"/>
    <n v="0.77128535347004901"/>
    <n v="0.88832570448335002"/>
    <n v="0.95329592179782197"/>
    <n v="0.88832570448335002"/>
    <n v="0.95678278034946096"/>
    <n v="0.88833432465282203"/>
    <n v="0.95678278034946096"/>
  </r>
  <r>
    <s v="SE"/>
    <s v="Salto Apiacás"/>
    <s v="HIDROELÉTRICA"/>
    <x v="0"/>
    <x v="630"/>
    <n v="0.96859110860023401"/>
    <n v="0.99073269305984102"/>
    <n v="0.986517317804528"/>
    <n v="0.99099343792099404"/>
    <n v="0.987647212202859"/>
    <n v="0.99124331841293301"/>
    <n v="0.99204728173482204"/>
  </r>
  <r>
    <s v="SE"/>
    <s v="Salto Grande (MG)"/>
    <s v="HIDROELÉTRICA"/>
    <x v="0"/>
    <x v="631"/>
    <n v="0.76765936623023801"/>
    <n v="0.89744934136281396"/>
    <n v="0.88432153878419195"/>
    <n v="0.89907720885639797"/>
    <n v="0.89594131687489298"/>
    <n v="0.90071506326712003"/>
    <n v="0.89648061040037497"/>
  </r>
  <r>
    <s v="SE"/>
    <s v="Salto Grande (SP)"/>
    <s v="HIDROELÉTRICA"/>
    <x v="0"/>
    <x v="632"/>
    <n v="0.75085198227876804"/>
    <n v="0.88658695899125295"/>
    <n v="0.90061626718164201"/>
    <n v="0.89350931500624697"/>
    <n v="0.90061626718164201"/>
    <n v="0.89706634102010596"/>
    <n v="0.88901510848574306"/>
  </r>
  <r>
    <s v="SE"/>
    <s v="Salto do Rio Verdinho"/>
    <s v="HIDROELÉTRICA"/>
    <x v="0"/>
    <x v="633"/>
    <n v="0.75598841513871295"/>
    <n v="0.818164496319846"/>
    <n v="0.99347807151256395"/>
    <n v="0.81954727581551301"/>
    <n v="0.99357061974652605"/>
    <n v="0.81997735290274798"/>
    <n v="0.99357061974652605"/>
  </r>
  <r>
    <s v="SE"/>
    <s v="Samuel"/>
    <s v="HIDROELÉTRICA"/>
    <x v="0"/>
    <x v="634"/>
    <n v="0.79092300807838101"/>
    <n v="0.92408676605666595"/>
    <n v="0.87805412280081896"/>
    <n v="0.97912574483619497"/>
    <n v="0.88305895098801201"/>
    <n v="0.96470006359075799"/>
    <n v="0.89344073105819699"/>
  </r>
  <r>
    <s v="SE"/>
    <s v="Santa Branca"/>
    <s v="HIDROELÉTRICA"/>
    <x v="0"/>
    <x v="635"/>
    <n v="0.84153184821277305"/>
    <n v="0.84900686091817701"/>
    <n v="0.86847789259698405"/>
    <n v="0.85038327968829397"/>
    <n v="0.89864263933593003"/>
    <n v="0.851103252583432"/>
    <n v="0.90089784855158395"/>
  </r>
  <r>
    <s v="SE"/>
    <s v="Santa Clara (MG)"/>
    <s v="HIDROELÉTRICA"/>
    <x v="0"/>
    <x v="636"/>
    <n v="0.95967468927828703"/>
    <n v="0.95539470926764702"/>
    <n v="0.97519062434510595"/>
    <n v="0.98066351780503902"/>
    <n v="0.97687521158093205"/>
    <n v="0.98079248142117803"/>
    <n v="0.97797140231812096"/>
  </r>
  <r>
    <s v="SE"/>
    <s v="Santa Cruz"/>
    <s v="TÉRMICA"/>
    <x v="1"/>
    <x v="637"/>
    <n v="0.85977406484187702"/>
    <n v="0.78963919660420301"/>
    <n v="0.91891281148709403"/>
    <n v="0.90965679676985101"/>
    <n v="0.92490662355555198"/>
    <n v="0.90878475236328005"/>
    <n v="0.92490662355555198"/>
  </r>
  <r>
    <s v="SE"/>
    <s v="Santa Luzia I"/>
    <s v="TÉRMICA"/>
    <x v="2"/>
    <x v="638"/>
    <n v="0.76968497247332202"/>
    <n v="0.82781383810235798"/>
    <n v="0.85798273635560396"/>
    <n v="0.82653095901583595"/>
    <n v="0.907394820906681"/>
    <n v="0.88454937810099898"/>
    <n v="0.920436008971657"/>
  </r>
  <r>
    <s v="SE"/>
    <s v="Santa Vitória"/>
    <s v="TÉRMICA"/>
    <x v="2"/>
    <x v="639"/>
    <n v="0.99150063535447897"/>
    <n v="0.98999016998729195"/>
    <n v="0.99389819942937896"/>
    <n v="0.99422187057949096"/>
    <n v="0.99406602891462204"/>
    <n v="0.99422187057949096"/>
    <n v="0.994054041094248"/>
  </r>
  <r>
    <s v="SE"/>
    <s v="Santo Antônio"/>
    <s v="HIDROELÉTRICA"/>
    <x v="0"/>
    <x v="640"/>
    <n v="0.66304413335575696"/>
    <n v="0.75600735737692104"/>
    <n v="0.71657108811460402"/>
    <n v="0.86982026142852897"/>
    <n v="0.81208353590323001"/>
    <n v="0.90447980337470402"/>
    <n v="0.88442954499405002"/>
  </r>
  <r>
    <s v="SE"/>
    <s v="Seropédica"/>
    <s v="TÉRMICA"/>
    <x v="1"/>
    <x v="641"/>
    <n v="0.951166101694915"/>
    <n v="0.97226847457627097"/>
    <n v="0.99837288135593205"/>
    <n v="1"/>
    <n v="1"/>
    <n v="1"/>
    <n v="1"/>
  </r>
  <r>
    <s v="SE"/>
    <s v="Serra da Mesa"/>
    <s v="HIDROELÉTRICA"/>
    <x v="0"/>
    <x v="642"/>
    <n v="0.81600229271009095"/>
    <n v="0.85432924930047405"/>
    <n v="0.85623111753313996"/>
    <n v="0.98934988111714695"/>
    <n v="0.85948741798112804"/>
    <n v="0.98934730696659501"/>
    <n v="0.85996964218449201"/>
  </r>
  <r>
    <s v="SE"/>
    <s v="Serra do Facão"/>
    <s v="HIDROELÉTRICA"/>
    <x v="0"/>
    <x v="643"/>
    <n v="0.83524586013065205"/>
    <n v="0.84547526206512302"/>
    <n v="0.84300653263786895"/>
    <n v="0.84458651947131202"/>
    <n v="0.84690839114802197"/>
    <n v="0.84496632399858196"/>
    <n v="0.84491821542512702"/>
  </r>
  <r>
    <s v="SE"/>
    <s v="Simplício"/>
    <s v="HIDROELÉTRICA"/>
    <x v="0"/>
    <x v="644"/>
    <n v="0.97206064729069397"/>
    <n v="0.99634299961916395"/>
    <n v="0.99749038959178904"/>
    <n v="0.99863289705389302"/>
    <n v="0.99780612527220003"/>
    <n v="0.99862313203284903"/>
    <n v="0.99822113866655304"/>
  </r>
  <r>
    <s v="SE"/>
    <s v="Sinop"/>
    <s v="HIDROELÉTRICA"/>
    <x v="0"/>
    <x v="645"/>
    <n v="0.85746705787645106"/>
    <n v="0.87076571900686295"/>
    <n v="0.879566615117363"/>
    <n v="0.879664594102194"/>
    <n v="0.88063908778916999"/>
    <n v="0.88027497669689003"/>
    <n v="0.88107866918057698"/>
  </r>
  <r>
    <s v="SE"/>
    <s v="Sobragi"/>
    <s v="HIDROELÉTRICA"/>
    <x v="0"/>
    <x v="646"/>
    <n v="0.90920067823316797"/>
    <n v="0.95493859934574399"/>
    <n v="0.99788480312398298"/>
    <n v="0.95596622535838405"/>
    <n v="0.998818230085464"/>
    <n v="0.95383390138215696"/>
    <n v="0.96193501978179996"/>
  </r>
  <r>
    <s v="SE"/>
    <s v="Suíça"/>
    <s v="HIDROELÉTRICA"/>
    <x v="0"/>
    <x v="647"/>
    <n v="0.77158057319375295"/>
    <n v="0.81264556620657502"/>
    <n v="0.82686508617519405"/>
    <n v="0.82561474907450505"/>
    <n v="0.86725587781019298"/>
    <n v="0.82484248204172606"/>
    <n v="0.90472921621025204"/>
  </r>
  <r>
    <s v="SE"/>
    <s v="Sá Carvalho"/>
    <s v="HIDROELÉTRICA"/>
    <x v="0"/>
    <x v="648"/>
    <n v="0.871568129742189"/>
    <n v="0.933050231192459"/>
    <n v="0.93200060370731097"/>
    <n v="0.93483391188617304"/>
    <n v="0.93283070126092504"/>
    <n v="0.93582179657807696"/>
    <n v="0.89417285237984101"/>
  </r>
  <r>
    <s v="SE"/>
    <s v="São Domingos"/>
    <s v="HIDROELÉTRICA"/>
    <x v="0"/>
    <x v="649"/>
    <n v="0.87877807261665897"/>
    <n v="0.965439130153388"/>
    <n v="0.98600953552089299"/>
    <n v="0.99123034107824703"/>
    <n v="0.98934265311846004"/>
    <n v="0.99286993290617598"/>
    <n v="0.99004379436066703"/>
  </r>
  <r>
    <s v="SE"/>
    <s v="São Fernando Açúcar e Álcool"/>
    <s v="TÉRMICA"/>
    <x v="2"/>
    <x v="0"/>
    <n v="0"/>
    <n v="0"/>
    <n v="0"/>
    <n v="0"/>
    <n v="0"/>
    <n v="0"/>
    <n v="0"/>
  </r>
  <r>
    <s v="SE"/>
    <s v="São José"/>
    <s v="TÉRMICA"/>
    <x v="2"/>
    <x v="29"/>
    <n v="1"/>
    <n v="0.99170490645958298"/>
    <n v="0.99226379574067503"/>
    <n v="0.99350904027924802"/>
    <n v="0.99249911754324005"/>
    <n v="0.99508765737145499"/>
    <n v="0.99468564929207304"/>
  </r>
  <r>
    <s v="SE"/>
    <s v="São João da Boa Vista"/>
    <s v="TÉRMICA"/>
    <x v="2"/>
    <x v="650"/>
    <n v="0.73122914739114497"/>
    <n v="0.76685731909047505"/>
    <n v="0.74148372445117305"/>
    <n v="0.754647152830347"/>
    <n v="0.82953430341772505"/>
    <n v="0.77264698460762005"/>
    <n v="0.84114868085344896"/>
  </r>
  <r>
    <s v="SE"/>
    <s v="São Lourenço"/>
    <s v="HIDROELÉTRICA"/>
    <x v="0"/>
    <x v="651"/>
    <n v="0.86683840285346203"/>
    <n v="0.96183493510353701"/>
    <n v="0.92843554939066597"/>
    <n v="0.99997027642920799"/>
    <n v="0.93392450213018896"/>
    <n v="1"/>
    <n v="0.943673833349846"/>
  </r>
  <r>
    <s v="SE"/>
    <s v="São Manoel"/>
    <s v="HIDROELÉTRICA"/>
    <x v="0"/>
    <x v="652"/>
    <n v="0.753176287918503"/>
    <n v="0.900160712290622"/>
    <n v="0.87137645350086301"/>
    <n v="0.95564011332937904"/>
    <n v="0.90787046188311205"/>
    <n v="0.95573321759756602"/>
    <n v="0.91037066957724899"/>
  </r>
  <r>
    <s v="SE"/>
    <s v="São Salvador"/>
    <s v="HIDROELÉTRICA"/>
    <x v="0"/>
    <x v="653"/>
    <n v="0.89258195886784697"/>
    <n v="0.99027896558745598"/>
    <n v="0.98590103848503297"/>
    <n v="0.99095296273671296"/>
    <n v="0.98663815923437104"/>
    <n v="0.99139482793728295"/>
    <n v="0.98827530034616096"/>
  </r>
  <r>
    <s v="SE"/>
    <s v="São Simão"/>
    <s v="HIDROELÉTRICA"/>
    <x v="0"/>
    <x v="654"/>
    <n v="0.552327738644803"/>
    <n v="0.60042566167550004"/>
    <n v="0.59782088857098103"/>
    <n v="0.64854323887618603"/>
    <n v="0.59815381829898495"/>
    <n v="0.64930320011578002"/>
    <n v="0.59979315475038297"/>
  </r>
  <r>
    <s v="SE"/>
    <s v="Taquaruçu"/>
    <s v="HIDROELÉTRICA"/>
    <x v="0"/>
    <x v="655"/>
    <n v="0.88032843049014797"/>
    <n v="0.90245800258981601"/>
    <n v="0.88028100859594405"/>
    <n v="0.91376280149194999"/>
    <n v="0.90203314112949196"/>
    <n v="0.913854741899082"/>
    <n v="0.98128770766434503"/>
  </r>
  <r>
    <s v="SE"/>
    <s v="Teles Pires"/>
    <s v="HIDROELÉTRICA"/>
    <x v="0"/>
    <x v="656"/>
    <n v="0.78265506807450003"/>
    <n v="0.92983727915807701"/>
    <n v="0.85846912690396104"/>
    <n v="0.93897541360762604"/>
    <n v="0.93085342339765798"/>
    <n v="0.93924570577113697"/>
    <n v="0.93606997949526705"/>
  </r>
  <r>
    <s v="SE"/>
    <s v="Termo Norte II"/>
    <s v="TÉRMICA"/>
    <x v="5"/>
    <x v="0"/>
    <n v="0"/>
    <n v="0"/>
    <n v="0"/>
    <n v="0"/>
    <n v="0"/>
    <n v="0"/>
    <n v="0"/>
  </r>
  <r>
    <s v="SE"/>
    <s v="Termomacaé"/>
    <s v="TÉRMICA"/>
    <x v="1"/>
    <x v="657"/>
    <n v="0.88205542092141898"/>
    <n v="0.90753988626920301"/>
    <n v="0.98438105037830403"/>
    <n v="0.99756625232225704"/>
    <n v="1"/>
    <n v="0.99881983632163096"/>
    <n v="1"/>
  </r>
  <r>
    <s v="SE"/>
    <s v="Termonorte 1"/>
    <s v="TÉRMICA"/>
    <x v="5"/>
    <x v="0"/>
    <n v="0"/>
    <n v="0"/>
    <n v="0"/>
    <n v="0"/>
    <n v="0"/>
    <n v="0"/>
    <n v="0"/>
  </r>
  <r>
    <s v="SE"/>
    <s v="Termonorte I"/>
    <s v="TÉRMICA"/>
    <x v="5"/>
    <x v="0"/>
    <n v="0"/>
    <n v="0"/>
    <n v="0"/>
    <n v="0"/>
    <n v="0"/>
    <n v="0"/>
    <n v="0"/>
  </r>
  <r>
    <s v="SE"/>
    <s v="Termorio"/>
    <s v="TÉRMICA"/>
    <x v="1"/>
    <x v="658"/>
    <n v="0.73104834681849895"/>
    <n v="0.64059534512036698"/>
    <n v="0.85443512136649602"/>
    <n v="0.70477324942563102"/>
    <n v="0.89464888622515204"/>
    <n v="0.78705923484167395"/>
    <n v="0.89508091099790199"/>
  </r>
  <r>
    <s v="SE"/>
    <s v="Theodomiro Carneiro Santiago (Emborcação)"/>
    <s v="HIDROELÉTRICA"/>
    <x v="0"/>
    <x v="659"/>
    <n v="0.82263149456823703"/>
    <n v="0.89159884933712996"/>
    <n v="0.87889163984033503"/>
    <n v="0.91214034953479695"/>
    <n v="0.91634784779040301"/>
    <n v="0.93680417780255398"/>
    <n v="0.92065417989764997"/>
  </r>
  <r>
    <s v="SE"/>
    <s v="Três Irmãos"/>
    <s v="HIDROELÉTRICA"/>
    <x v="0"/>
    <x v="660"/>
    <n v="0.77470068917103996"/>
    <n v="0.72345409488579504"/>
    <n v="0.89860211667739098"/>
    <n v="0.91070586199900605"/>
    <n v="0.91176071563261896"/>
    <n v="0.91123857864229396"/>
    <n v="0.91171964168582398"/>
  </r>
  <r>
    <s v="SE"/>
    <s v="Três Lagoas"/>
    <s v="TÉRMICA"/>
    <x v="1"/>
    <x v="661"/>
    <n v="0.81127975584944001"/>
    <n v="0.68112987453373997"/>
    <n v="0.97487555103424794"/>
    <n v="0.70169820278060302"/>
    <n v="0.98478535096642905"/>
    <n v="0.73988606307222704"/>
    <n v="0.98548524923702896"/>
  </r>
  <r>
    <s v="SE"/>
    <s v="Três Marias"/>
    <s v="HIDROELÉTRICA"/>
    <x v="0"/>
    <x v="662"/>
    <n v="0.653827728142509"/>
    <n v="0.79655153425751302"/>
    <n v="0.79084814361035705"/>
    <n v="0.88123098525625998"/>
    <n v="0.88614694180972098"/>
    <n v="0.88530581902782102"/>
    <n v="0.90044465246899097"/>
  </r>
  <r>
    <s v="SE"/>
    <s v="Usi Conjunto Parecis"/>
    <s v="HIDROELÉTRICA"/>
    <x v="0"/>
    <x v="0"/>
    <n v="0"/>
    <n v="0"/>
    <n v="0"/>
    <n v="0"/>
    <n v="0"/>
    <n v="0"/>
    <n v="0"/>
  </r>
  <r>
    <s v="SE"/>
    <s v="Vale do Paraná"/>
    <s v="TÉRMICA"/>
    <x v="2"/>
    <x v="29"/>
    <n v="1"/>
    <n v="1"/>
    <n v="1"/>
    <n v="1"/>
    <n v="1"/>
    <n v="1"/>
    <n v="1"/>
  </r>
  <r>
    <s v="SE"/>
    <s v="Vale do São Simão"/>
    <s v="TÉRMICA"/>
    <x v="2"/>
    <x v="0"/>
    <n v="0"/>
    <n v="0"/>
    <n v="0"/>
    <n v="0"/>
    <n v="0"/>
    <n v="0"/>
    <n v="0"/>
  </r>
  <r>
    <s v="SE"/>
    <s v="Vale do Verdão"/>
    <s v="TÉRMICA"/>
    <x v="2"/>
    <x v="29"/>
    <n v="1"/>
    <n v="1"/>
    <n v="1"/>
    <n v="1"/>
    <n v="1"/>
    <n v="1"/>
    <n v="1"/>
  </r>
  <r>
    <s v="SE"/>
    <s v="Verde 8"/>
    <s v="HIDROELÉTRICA"/>
    <x v="0"/>
    <x v="0"/>
    <n v="0"/>
    <n v="0"/>
    <n v="0"/>
    <n v="0"/>
    <n v="0"/>
    <n v="0"/>
    <n v="0"/>
  </r>
  <r>
    <s v="SE"/>
    <s v="Viana"/>
    <s v="TÉRMICA"/>
    <x v="4"/>
    <x v="663"/>
    <n v="0.89490094334254999"/>
    <n v="0.97882030974407996"/>
    <n v="0.99832155577555504"/>
    <n v="0.998950261154542"/>
    <n v="1"/>
    <n v="1"/>
    <n v="1"/>
  </r>
  <r>
    <s v="SE"/>
    <s v="Viana 1"/>
    <s v="TÉRMICA"/>
    <x v="1"/>
    <x v="664"/>
    <n v="0.99113719142047696"/>
    <n v="0.99897477404559498"/>
    <n v="1"/>
    <n v="0.99913665182787004"/>
    <n v="1"/>
    <n v="0.99946040739241804"/>
    <n v="1"/>
  </r>
  <r>
    <s v="SE"/>
    <s v="Viralcool Castilho"/>
    <s v="TÉRMICA"/>
    <x v="2"/>
    <x v="665"/>
    <n v="0.93701005812971805"/>
    <n v="0.89898453894208696"/>
    <n v="0.96673822330495096"/>
    <n v="0.95411129067271205"/>
    <n v="0.96058756844111004"/>
    <n v="0.982898767457005"/>
    <n v="0.99351166212402597"/>
  </r>
  <r>
    <s v="SE"/>
    <s v="Volta Grande"/>
    <s v="HIDROELÉTRICA"/>
    <x v="0"/>
    <x v="666"/>
    <n v="0.848826385866287"/>
    <n v="0.90338921722349497"/>
    <n v="0.90286612513306697"/>
    <n v="0.91026151982505898"/>
    <n v="0.90677686123769596"/>
    <n v="0.90919304851253002"/>
    <n v="0.91374224538918503"/>
  </r>
  <r>
    <s v="SE"/>
    <s v="William Arjona"/>
    <s v="TÉRMICA"/>
    <x v="1"/>
    <x v="667"/>
    <n v="0.87392444669396696"/>
    <n v="0.90681222104633497"/>
    <n v="0.904856669580821"/>
    <n v="0.91800487737541903"/>
    <n v="1"/>
    <n v="0.91800487737541903"/>
    <n v="1"/>
  </r>
  <r>
    <s v="SE"/>
    <s v="Xavantes Aruanã"/>
    <s v="TÉRMICA"/>
    <x v="5"/>
    <x v="29"/>
    <n v="1"/>
    <n v="1"/>
    <n v="1"/>
    <n v="1"/>
    <n v="1"/>
    <n v="1"/>
    <n v="1"/>
  </r>
  <r>
    <s v="SE"/>
    <s v="Ypê"/>
    <s v="HIDROELÉTRICA"/>
    <x v="0"/>
    <x v="448"/>
    <n v="1"/>
    <n v="0.5"/>
    <n v="1"/>
    <n v="0.5"/>
    <n v="1"/>
    <n v="0.5"/>
    <n v="1"/>
  </r>
  <r>
    <s v="SE"/>
    <s v="Água Vermelha"/>
    <s v="HIDROELÉTRICA"/>
    <x v="0"/>
    <x v="668"/>
    <n v="0.746859780679344"/>
    <n v="0.80662104131533297"/>
    <n v="0.81141812688464798"/>
    <n v="0.83293043819829804"/>
    <n v="0.84710572637784198"/>
    <n v="0.84305363993726901"/>
    <n v="0.852251684185344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s v="Aparecida"/>
    <s v="TÉRMICA"/>
    <x v="0"/>
    <n v="0.75390999374956502"/>
    <n v="0.88878394332939703"/>
    <n v="0.81008403361344505"/>
    <n v="0.90802139037433105"/>
    <n v="0.86471282727967202"/>
    <n v="0.90858740190290999"/>
    <n v="0.91163969720119398"/>
    <n v="0.90731995277449795"/>
  </r>
  <r>
    <x v="0"/>
    <s v="BBF Baliza"/>
    <s v="TÉRMICA"/>
    <x v="1"/>
    <n v="0.75936446497690002"/>
    <n v="0.77865526282931696"/>
    <n v="0.80977650143588398"/>
    <n v="0.76176801098763802"/>
    <n v="0.76298539143463595"/>
    <n v="1"/>
    <n v="0.79482457235609905"/>
    <n v="0.96753652141340996"/>
  </r>
  <r>
    <x v="0"/>
    <s v="Balbina"/>
    <s v="HIDROELÉTRICA"/>
    <x v="2"/>
    <n v="0.84816004254709798"/>
    <n v="0.81427373330333197"/>
    <n v="0.89179536482091304"/>
    <n v="0.853795487552928"/>
    <n v="0.87631681224047198"/>
    <n v="0.85550350809008502"/>
    <n v="0.87738662630147002"/>
    <n v="0.859003416041074"/>
  </r>
  <r>
    <x v="0"/>
    <s v="Belo Monte"/>
    <s v="HIDROELÉTRICA"/>
    <x v="2"/>
    <n v="0.644303466225988"/>
    <n v="0.66310677105589499"/>
    <n v="0.77210175459750796"/>
    <n v="0.77581541505426399"/>
    <n v="0.87297676854123496"/>
    <n v="0.87899986601252"/>
    <n v="0.93352766230339301"/>
    <n v="0.90122099168794201"/>
  </r>
  <r>
    <x v="0"/>
    <s v="Bonfim"/>
    <s v="TÉRMICA"/>
    <x v="1"/>
    <n v="0.88337412745897903"/>
    <n v="0.93491070619164096"/>
    <n v="0.97479829571208398"/>
    <n v="0.985359441573746"/>
    <n v="0.97860574743903495"/>
    <n v="0.985359441573746"/>
    <n v="0.97189738011059701"/>
    <n v="0.985359441573746"/>
  </r>
  <r>
    <x v="0"/>
    <s v="Cachoeira Caldeirão"/>
    <s v="HIDROELÉTRICA"/>
    <x v="2"/>
    <n v="0.768040419866728"/>
    <n v="0.85243577727105202"/>
    <n v="0.84708019156069703"/>
    <n v="0.86445495199324696"/>
    <n v="0.86070580884032999"/>
    <n v="0.86450857779705104"/>
    <n v="0.888975933671875"/>
    <n v="0.86570932949092705"/>
  </r>
  <r>
    <x v="0"/>
    <s v="Cantá"/>
    <s v="TÉRMICA"/>
    <x v="1"/>
    <n v="0.95594549187978295"/>
    <n v="0.93195818555161403"/>
    <n v="0.979839462385663"/>
    <n v="0.98305954825462005"/>
    <n v="0.98441291767780403"/>
    <n v="0.98445958558894897"/>
    <n v="0.985859622923277"/>
    <n v="0.98445958558894897"/>
  </r>
  <r>
    <x v="0"/>
    <s v="Coaracy Nunes"/>
    <s v="HIDROELÉTRICA"/>
    <x v="2"/>
    <n v="0.86906237370335404"/>
    <n v="0.86814630203421705"/>
    <n v="0.98101845614980399"/>
    <n v="0.97027482150073996"/>
    <n v="0.97494274552067794"/>
    <n v="0.98577394584399802"/>
    <n v="0.97812205307827005"/>
    <n v="0.98579415330728803"/>
  </r>
  <r>
    <x v="0"/>
    <s v="Cristiano Rocha"/>
    <s v="TÉRMICA"/>
    <x v="0"/>
    <n v="0.78841900274077903"/>
    <n v="0.91141751214117395"/>
    <n v="0.92073375967687598"/>
    <n v="0.93228590662114696"/>
    <n v="0.93252031543011005"/>
    <n v="0.93238808481992597"/>
    <n v="0.93241813723133105"/>
    <n v="0.93243616867817403"/>
  </r>
  <r>
    <x v="0"/>
    <s v="Curuá-Una"/>
    <s v="HIDROELÉTRICA"/>
    <x v="2"/>
    <n v="0.80899056517358203"/>
    <n v="0.80068929193001703"/>
    <n v="0.96766510946230599"/>
    <n v="0.96719565814784203"/>
    <n v="0.96836356141797197"/>
    <n v="0.96623385545479501"/>
    <n v="0.96720710817990296"/>
    <n v="0.96297059631766901"/>
  </r>
  <r>
    <x v="0"/>
    <s v="Distrito"/>
    <s v="TÉRMICA"/>
    <x v="3"/>
    <n v="0.88699754901960703"/>
    <n v="0.90952205882352899"/>
    <n v="0.97844362745098001"/>
    <n v="0.99007352941176396"/>
    <n v="0.99431372549019603"/>
    <n v="0.99599264705882296"/>
    <n v="0.99803921568627396"/>
    <n v="1"/>
  </r>
  <r>
    <x v="0"/>
    <s v="Estreito"/>
    <s v="HIDROELÉTRICA"/>
    <x v="2"/>
    <n v="0.81795421901419896"/>
    <n v="0.74799412737950199"/>
    <n v="0.90448400938164697"/>
    <n v="0.86989372920492303"/>
    <n v="0.92378820385083904"/>
    <n v="0.91100934528463096"/>
    <n v="0.99175105907165295"/>
    <n v="0.91631243068307799"/>
  </r>
  <r>
    <x v="0"/>
    <s v="Ferreira Gomes"/>
    <s v="HIDROELÉTRICA"/>
    <x v="2"/>
    <n v="0.74112239330993601"/>
    <n v="0.91739611917693298"/>
    <n v="0.92834401387520404"/>
    <n v="0.97532550545969698"/>
    <n v="0.98479345976272004"/>
    <n v="0.97963911439715301"/>
    <n v="0.98636704150347199"/>
    <n v="0.98100912799550499"/>
  </r>
  <r>
    <x v="0"/>
    <s v="Floresta"/>
    <s v="TÉRMICA"/>
    <x v="3"/>
    <n v="0.89832128898011898"/>
    <n v="0.88691898883671205"/>
    <n v="0.938405083935551"/>
    <n v="0.95981778815060503"/>
    <n v="0.98213030396760603"/>
    <n v="0.99031296572280103"/>
    <n v="0.99273120940303095"/>
    <n v="0.99841127014031406"/>
  </r>
  <r>
    <x v="0"/>
    <s v="Geramar I"/>
    <s v="TÉRMICA"/>
    <x v="3"/>
    <n v="0.93491892225168005"/>
    <n v="0.98872310253406404"/>
    <n v="0.99620815093408899"/>
    <n v="0.99814106911646805"/>
    <n v="0.99906899315617403"/>
    <n v="1"/>
    <n v="1"/>
    <n v="1"/>
  </r>
  <r>
    <x v="0"/>
    <s v="Geramar II"/>
    <s v="TÉRMICA"/>
    <x v="3"/>
    <n v="0.92156639061719503"/>
    <n v="0.97882764276772904"/>
    <n v="0.99701854238479504"/>
    <n v="0.99805758190529603"/>
    <n v="1"/>
    <n v="0.99969167966750705"/>
    <n v="1"/>
    <n v="0.99969167966750705"/>
  </r>
  <r>
    <x v="0"/>
    <s v="Jaguatirica II"/>
    <s v="TÉRMICA"/>
    <x v="0"/>
    <n v="0.72275575103629397"/>
    <n v="0.92478562161819999"/>
    <n v="0.78625842483308495"/>
    <n v="0.98549583900262605"/>
    <n v="0.89755719393728395"/>
    <n v="0.99341043571812804"/>
    <n v="0.979602411163497"/>
    <n v="0.99563332595006804"/>
  </r>
  <r>
    <x v="0"/>
    <s v="Jaraqui"/>
    <s v="TÉRMICA"/>
    <x v="0"/>
    <n v="0.831732384737494"/>
    <n v="0.84971553711921899"/>
    <n v="0.86429208718120998"/>
    <n v="0.87130806576828101"/>
    <n v="0.86990023521777904"/>
    <n v="0.87104156286571699"/>
    <n v="0.87020149936850399"/>
    <n v="0.86937881649537097"/>
  </r>
  <r>
    <x v="0"/>
    <s v="MC2 Nova Venécia 2"/>
    <s v="TÉRMICA"/>
    <x v="0"/>
    <n v="0.83300242204286701"/>
    <n v="0.88456384246850905"/>
    <n v="0.86998982590143203"/>
    <n v="0.95779077801483603"/>
    <n v="0.94928895199192098"/>
    <n v="0.96824580318434095"/>
    <n v="0.95476702073541997"/>
    <n v="0.97299687943693203"/>
  </r>
  <r>
    <x v="0"/>
    <s v="Manauara"/>
    <s v="TÉRMICA"/>
    <x v="0"/>
    <n v="0.85002773005803001"/>
    <n v="0.97476564719250003"/>
    <n v="0.97862756503036696"/>
    <n v="0.99528589013486202"/>
    <n v="0.99147807972729796"/>
    <n v="0.99548879299849802"/>
    <n v="0.98984132996063601"/>
    <n v="0.99548202956970999"/>
  </r>
  <r>
    <x v="0"/>
    <s v="Maranhão III"/>
    <s v="TÉRMICA"/>
    <x v="0"/>
    <n v="0.81402059533264004"/>
    <n v="0.95344668275398603"/>
    <n v="0.87089735170138605"/>
    <n v="0.99200279491722099"/>
    <n v="0.93440344553729604"/>
    <n v="0.99600139745861005"/>
    <n v="0.96883686388905799"/>
    <n v="0.99777303897611302"/>
  </r>
  <r>
    <x v="0"/>
    <s v="Maranhão IV"/>
    <s v="TÉRMICA"/>
    <x v="0"/>
    <n v="0.82075643568937495"/>
    <n v="0.82401693435047396"/>
    <n v="0.91579961018605804"/>
    <n v="0.98612516844704801"/>
    <n v="0.96668507776036205"/>
    <n v="0.98612516844704801"/>
    <n v="0.97475896890163805"/>
    <n v="0.98612516844704801"/>
  </r>
  <r>
    <x v="0"/>
    <s v="Maranhão V"/>
    <s v="TÉRMICA"/>
    <x v="0"/>
    <n v="0.76584258934374805"/>
    <n v="0.80893696326164299"/>
    <n v="0.95287918965090701"/>
    <n v="0.98065584897412095"/>
    <n v="0.96144399514526802"/>
    <n v="0.98256265422689504"/>
    <n v="0.98506479686628201"/>
    <n v="0.98256265422689504"/>
  </r>
  <r>
    <x v="0"/>
    <s v="Mauá 3"/>
    <s v="TÉRMICA"/>
    <x v="0"/>
    <n v="0.73873759404689499"/>
    <n v="0.85371446898226899"/>
    <n v="0.78376793966978198"/>
    <n v="0.975973241872928"/>
    <n v="0.82249081219012499"/>
    <n v="0.98601542605675097"/>
    <n v="0.82292982914266299"/>
    <n v="0.98891241217470205"/>
  </r>
  <r>
    <x v="0"/>
    <s v="Monte Cristo"/>
    <s v="TÉRMICA"/>
    <x v="3"/>
    <n v="0.82492312307807603"/>
    <n v="0.70597014925373103"/>
    <n v="0.86914422860571505"/>
    <n v="0.76589664741618502"/>
    <n v="0.90134253356333904"/>
    <n v="0.83510837770944202"/>
    <n v="0.96077401935048301"/>
    <n v="0.96132903322582997"/>
  </r>
  <r>
    <x v="0"/>
    <s v="Monte Cristo II"/>
    <s v="TÉRMICA"/>
    <x v="3"/>
    <n v="0.96234398138354105"/>
    <n v="0.92430011987871097"/>
    <n v="0.99457019956279502"/>
    <n v="0.99457019956279502"/>
    <n v="0.995363514561737"/>
    <n v="0.99783160566955698"/>
    <n v="0.998536774557506"/>
    <n v="0.999999999999999"/>
  </r>
  <r>
    <x v="0"/>
    <s v="Monte Cristo Sucuba"/>
    <s v="TÉRMICA"/>
    <x v="4"/>
    <n v="0.90276013995075799"/>
    <n v="0.90610340806012701"/>
    <n v="0.97484773875858399"/>
    <n v="0.99543864195930998"/>
    <n v="0.99460930413373005"/>
    <n v="1"/>
    <n v="0.99909291175327097"/>
    <n v="1"/>
  </r>
  <r>
    <x v="0"/>
    <s v="Novo Paraíso"/>
    <s v="TÉRMICA"/>
    <x v="3"/>
    <n v="1"/>
    <n v="1"/>
    <n v="1"/>
    <n v="1"/>
    <n v="1"/>
    <n v="1"/>
    <n v="1"/>
    <n v="1"/>
  </r>
  <r>
    <x v="0"/>
    <s v="PQU MAMA TERM - CARGA GLOBAL"/>
    <s v="TÉRMICA"/>
    <x v="5"/>
    <n v="0.99925686471221997"/>
    <n v="0.99925686471221997"/>
    <n v="0.99925686471221997"/>
    <n v="0.99925686471221997"/>
    <n v="0.99925686471221997"/>
    <n v="0.99925686471221997"/>
    <n v="0.99925686471221997"/>
    <n v="0.99925686471221997"/>
  </r>
  <r>
    <x v="0"/>
    <s v="PQU PA TERM - CARGA GLOBAL"/>
    <s v="TÉRMICA"/>
    <x v="5"/>
    <n v="1"/>
    <n v="1"/>
    <n v="1"/>
    <n v="1"/>
    <n v="1"/>
    <n v="1"/>
    <n v="1"/>
    <n v="1"/>
  </r>
  <r>
    <x v="0"/>
    <s v="PQU TO NORTE HIDRA - CARGA GLOBAL"/>
    <s v="HIDROELÉTRICA"/>
    <x v="2"/>
    <n v="0.92353012048192695"/>
    <n v="0.91750602409638504"/>
    <n v="0.92353012048192695"/>
    <n v="0.92353012048192695"/>
    <n v="0.91750602409638504"/>
    <n v="0.92353012048192695"/>
    <n v="0.92353012048192695"/>
    <n v="0.92955421686746897"/>
  </r>
  <r>
    <x v="0"/>
    <s v="PQU TO NORTE TER - CARGA GLOBAL"/>
    <s v="TÉRMICA"/>
    <x v="5"/>
    <n v="0.93467741935483795"/>
    <n v="0.99958064516128997"/>
    <n v="0.98345161290322503"/>
    <n v="0.99958064516128997"/>
    <n v="0.98345161290322503"/>
    <n v="0.99151612903225805"/>
    <n v="0.98345161290322503"/>
    <n v="0.98345161290322503"/>
  </r>
  <r>
    <x v="0"/>
    <s v="Palmaplan"/>
    <s v="TÉRMICA"/>
    <x v="6"/>
    <n v="0.95970833333333305"/>
    <n v="0.96329166666666599"/>
    <n v="0.98399999999999999"/>
    <n v="1"/>
    <n v="1"/>
    <n v="1"/>
    <n v="1"/>
    <n v="1"/>
  </r>
  <r>
    <x v="0"/>
    <s v="Parnaíba IV"/>
    <s v="TÉRMICA"/>
    <x v="0"/>
    <n v="0.940381346930104"/>
    <n v="0.95760746406061803"/>
    <n v="0.99571560087812405"/>
    <n v="0.99571560087812405"/>
    <n v="0.99571560087812405"/>
    <n v="0.99571560087812405"/>
    <n v="0.99571560087812405"/>
    <n v="0.99726471213086798"/>
  </r>
  <r>
    <x v="0"/>
    <s v="Parnaíba V"/>
    <s v="TÉRMICA"/>
    <x v="0"/>
    <n v="0.710425567551903"/>
    <n v="0.96198817971302697"/>
    <n v="0.85155649730281502"/>
    <n v="0.99892458252798799"/>
    <n v="0.90218087750875298"/>
    <n v="0.99892458252798799"/>
    <n v="0.99292138684986397"/>
    <n v="0.99892458252798799"/>
  </r>
  <r>
    <x v="0"/>
    <s v="Pau Rainha"/>
    <s v="TÉRMICA"/>
    <x v="1"/>
    <n v="0.90894194756554303"/>
    <n v="0.95795880149812696"/>
    <n v="0.98787453183520602"/>
    <n v="0.98707865168539299"/>
    <n v="0.99049625468164704"/>
    <n v="0.98707865168539299"/>
    <n v="0.992041198501872"/>
    <n v="0.98721910112359501"/>
  </r>
  <r>
    <x v="0"/>
    <s v="Pimental"/>
    <s v="HIDROELÉTRICA"/>
    <x v="2"/>
    <n v="0.72003474983575899"/>
    <n v="0.988025569655267"/>
    <n v="0.86416012586010105"/>
    <n v="0.99845484250198802"/>
    <n v="0.92203978078213"/>
    <n v="0.99873578022889897"/>
    <n v="0.99892811451886099"/>
    <n v="0.99894972511323898"/>
  </r>
  <r>
    <x v="0"/>
    <s v="Ponta Negra"/>
    <s v="TÉRMICA"/>
    <x v="0"/>
    <n v="0.89280441531562604"/>
    <n v="0.91207312866505597"/>
    <n v="0.94129699896515995"/>
    <n v="0.94451190065539803"/>
    <n v="0.94467057606071003"/>
    <n v="0.94476026215936504"/>
    <n v="0.94449810279406698"/>
    <n v="0.94456709210072398"/>
  </r>
  <r>
    <x v="0"/>
    <s v="Porto do Itaqui"/>
    <s v="TÉRMICA"/>
    <x v="7"/>
    <n v="0.74580372575379295"/>
    <n v="0.97243545776290097"/>
    <n v="0.89824000658454195"/>
    <n v="0.99124255809487205"/>
    <n v="0.99583939202721605"/>
    <n v="0.997696781804713"/>
    <n v="0.99603967187028397"/>
    <n v="0.99820571209086595"/>
  </r>
  <r>
    <x v="0"/>
    <s v="Santa Luz"/>
    <s v="TÉRMICA"/>
    <x v="1"/>
    <n v="0.91655826054636602"/>
    <n v="0.92129715666233003"/>
    <n v="0.98332094406244097"/>
    <n v="0.987316483924921"/>
    <n v="0.98805984017840498"/>
    <n v="0.987316483924921"/>
    <n v="0.98917487455863196"/>
    <n v="0.987316483924921"/>
  </r>
  <r>
    <x v="0"/>
    <s v="Santo Antônio do Jari"/>
    <s v="HIDROELÉTRICA"/>
    <x v="2"/>
    <n v="0.97975134886444404"/>
    <n v="0.96911858505165405"/>
    <n v="0.979770954452298"/>
    <n v="0.98482919611861597"/>
    <n v="0.98639502906855103"/>
    <n v="0.98518078966079703"/>
    <n v="0.98572190388556602"/>
    <n v="0.985889204901919"/>
  </r>
  <r>
    <x v="0"/>
    <s v="Suzano Maranhão"/>
    <s v="TÉRMICA"/>
    <x v="8"/>
    <n v="0.71453528121369203"/>
    <n v="0.92563744426688099"/>
    <n v="0.75316782222445899"/>
    <n v="0.95799515965991699"/>
    <n v="0.94471148804805005"/>
    <n v="0.97429250921719801"/>
    <n v="0.98859751775280702"/>
    <n v="0.97125366485887898"/>
  </r>
  <r>
    <x v="0"/>
    <s v="Tambaqui"/>
    <s v="TÉRMICA"/>
    <x v="0"/>
    <n v="0.75518400543895603"/>
    <n v="0.87448222896496097"/>
    <n v="0.89092500031475397"/>
    <n v="0.89835320482959102"/>
    <n v="0.90218691376987603"/>
    <n v="0.89911491054679105"/>
    <n v="0.90387399750714403"/>
    <n v="0.89911491054679105"/>
  </r>
  <r>
    <x v="0"/>
    <s v="Tucuruí"/>
    <s v="HIDROELÉTRICA"/>
    <x v="2"/>
    <n v="0.56268905620592102"/>
    <n v="0.62998786880684099"/>
    <n v="0.64016724805116498"/>
    <n v="0.69194730732965704"/>
    <n v="0.71592276612267902"/>
    <n v="0.74265670635749903"/>
    <n v="0.74479345375651196"/>
    <n v="0.74292146126416003"/>
  </r>
  <r>
    <x v="1"/>
    <s v="Apolônio Sales"/>
    <s v="HIDROELÉTRICA"/>
    <x v="2"/>
    <n v="0.88405990173106896"/>
    <n v="0.83801103370451901"/>
    <n v="0.98474049635997396"/>
    <n v="0.91241409304986298"/>
    <n v="1"/>
    <n v="0.98705224553127102"/>
    <n v="1"/>
    <n v="1"/>
  </r>
  <r>
    <x v="1"/>
    <s v="Boa Esperança"/>
    <s v="HIDROELÉTRICA"/>
    <x v="2"/>
    <n v="0.53912699955213395"/>
    <n v="0.53360261621274396"/>
    <n v="0.59192447122250402"/>
    <n v="0.57942436559375998"/>
    <n v="0.59194559697141202"/>
    <n v="0.59142167839849902"/>
    <n v="0.592120940687347"/>
    <n v="0.59121887120898398"/>
  </r>
  <r>
    <x v="1"/>
    <s v="CSP"/>
    <s v="TÉRMICA"/>
    <x v="8"/>
    <n v="0.87385381384300198"/>
    <n v="0.79454938580787204"/>
    <n v="0.88208850119267801"/>
    <n v="0.88208850119267801"/>
    <n v="0.88225959225775696"/>
    <n v="0.88225959225775696"/>
    <n v="0.88225959225775696"/>
    <n v="0.88309025177661904"/>
  </r>
  <r>
    <x v="1"/>
    <s v="Camaçari Muricy II"/>
    <s v="TÉRMICA"/>
    <x v="3"/>
    <n v="0.93489321564793504"/>
    <n v="0.78787367638351402"/>
    <n v="0.99420982333420505"/>
    <n v="0.99985197526954195"/>
    <n v="1"/>
    <n v="0.99985197526954195"/>
    <n v="1"/>
    <n v="1"/>
  </r>
  <r>
    <x v="1"/>
    <s v="Campina Grande"/>
    <s v="TÉRMICA"/>
    <x v="3"/>
    <n v="0.87852968942317999"/>
    <n v="0.86699210114360103"/>
    <n v="0.95781998733314999"/>
    <n v="0.99813880955510603"/>
    <n v="1"/>
    <n v="0.99925910877956103"/>
    <n v="1"/>
    <n v="0.99969527861094798"/>
  </r>
  <r>
    <x v="1"/>
    <s v="ERB Candeias"/>
    <s v="TÉRMICA"/>
    <x v="1"/>
    <n v="0.74128243265575899"/>
    <n v="0.87749958684514895"/>
    <n v="0.85700710626342702"/>
    <n v="0.89043133366385696"/>
    <n v="0.97624359609981803"/>
    <n v="0.88534952900346997"/>
    <n v="0.98710956866633603"/>
    <n v="0.90051231201454296"/>
  </r>
  <r>
    <x v="1"/>
    <s v="Global I"/>
    <s v="TÉRMICA"/>
    <x v="3"/>
    <n v="0.81021410872741895"/>
    <n v="0.85039214440514699"/>
    <n v="0.93381901353268804"/>
    <n v="0.98948163521746102"/>
    <n v="0.99722569304729003"/>
    <n v="0.99926230260417703"/>
    <n v="1"/>
    <n v="1"/>
  </r>
  <r>
    <x v="1"/>
    <s v="Global II"/>
    <s v="TÉRMICA"/>
    <x v="3"/>
    <n v="0.77541822953064099"/>
    <n v="0.85898212986864797"/>
    <n v="0.906905600638932"/>
    <n v="0.98806994024273698"/>
    <n v="0.99794272430366304"/>
    <n v="1"/>
    <n v="1"/>
    <n v="1"/>
  </r>
  <r>
    <x v="1"/>
    <s v="Itapebi"/>
    <s v="HIDROELÉTRICA"/>
    <x v="2"/>
    <n v="0.72623284132263499"/>
    <n v="0.70684356386036395"/>
    <n v="0.88225518199325803"/>
    <n v="0.83440660110003395"/>
    <n v="0.99900688248333003"/>
    <n v="0.98458207422882404"/>
    <n v="0.99993960771858004"/>
    <n v="0.99970698559755899"/>
  </r>
  <r>
    <x v="1"/>
    <s v="Luiz Gonzaga"/>
    <s v="HIDROELÉTRICA"/>
    <x v="2"/>
    <n v="0.75661599721038097"/>
    <n v="0.73003033641954096"/>
    <n v="0.83185412416928295"/>
    <n v="0.86144589778604597"/>
    <n v="0.893672310930967"/>
    <n v="0.88917486706149995"/>
    <n v="0.89550146856003598"/>
    <n v="0.89237980136884298"/>
  </r>
  <r>
    <x v="1"/>
    <s v="Maracanaú I"/>
    <s v="TÉRMICA"/>
    <x v="3"/>
    <n v="0.85909752649679605"/>
    <n v="0.90497373177576002"/>
    <n v="0.93881648814589203"/>
    <n v="0.99418723230674999"/>
    <n v="1"/>
    <n v="0.99978549375118597"/>
    <n v="1"/>
    <n v="1"/>
  </r>
  <r>
    <x v="1"/>
    <s v="PECÉM II"/>
    <s v="TÉRMICA"/>
    <x v="3"/>
    <n v="0.93210662092719199"/>
    <n v="0.80053877596187695"/>
    <n v="0.99582258432639104"/>
    <n v="0.99967493619758296"/>
    <n v="1"/>
    <n v="0.99967493619758296"/>
    <n v="1"/>
    <n v="1"/>
  </r>
  <r>
    <x v="1"/>
    <s v="PQU ALPEAL HID - CARGA GLOBAL"/>
    <s v="HIDROELÉTRICA"/>
    <x v="2"/>
    <n v="0.99673362730687498"/>
    <n v="0.99673362730687498"/>
    <n v="0.99673362730687498"/>
    <n v="0.99673362730687498"/>
    <n v="0.99673362730687498"/>
    <n v="0.99673362730687498"/>
    <n v="0.99673362730687498"/>
    <n v="0.99673362730687498"/>
  </r>
  <r>
    <x v="1"/>
    <s v="PQU ALPEAL TERM - CARGA GLOBAL"/>
    <s v="TÉRMICA"/>
    <x v="5"/>
    <n v="0.69178082191780799"/>
    <n v="0.79427397260273902"/>
    <n v="0.69178082191780799"/>
    <n v="0.79452054794520499"/>
    <n v="0.69178082191780799"/>
    <n v="0.79452054794520499"/>
    <n v="0.69178082191780799"/>
    <n v="0.79452054794520499"/>
  </r>
  <r>
    <x v="1"/>
    <s v="PQU ALPEPB TERM - CARGA GLOBAL"/>
    <s v="TÉRMICA"/>
    <x v="5"/>
    <n v="0.85870000000000002"/>
    <n v="0.89964999999999995"/>
    <n v="0.99965000000000004"/>
    <n v="0.89964999999999995"/>
    <n v="0.99965000000000004"/>
    <n v="0.89964999999999995"/>
    <n v="0.99965000000000004"/>
    <n v="0.89964999999999995"/>
  </r>
  <r>
    <x v="1"/>
    <s v="PQU ALPEPE HID - CARGA GLOBAL"/>
    <s v="HIDROELÉTRICA"/>
    <x v="2"/>
    <n v="0.76865625000000004"/>
    <n v="0.87437500000000001"/>
    <n v="0.87437500000000001"/>
    <n v="0.87437500000000001"/>
    <n v="0.87437500000000001"/>
    <n v="0.87437500000000001"/>
    <n v="0.87437500000000001"/>
    <n v="0.87437500000000001"/>
  </r>
  <r>
    <x v="1"/>
    <s v="PQU ALPEPE TERM - CARGA GLOBAL"/>
    <s v="TÉRMICA"/>
    <x v="5"/>
    <n v="0.81603225806451596"/>
    <n v="0.81603225806451596"/>
    <n v="0.82678494623655896"/>
    <n v="0.81603225806451596"/>
    <n v="0.81603225806451596"/>
    <n v="0.81603225806451596"/>
    <n v="0.81603225806451596"/>
    <n v="0.81603225806451596"/>
  </r>
  <r>
    <x v="1"/>
    <s v="PQU BAOEBA HID - CARGA GLOBAL"/>
    <s v="HIDROELÉTRICA"/>
    <x v="2"/>
    <n v="0.91928205128205098"/>
    <n v="0.91928205128205098"/>
    <n v="0.91928205128205098"/>
    <n v="0.92569230769230704"/>
    <n v="0.91928205128205098"/>
    <n v="0.93210256410256398"/>
    <n v="0.92569230769230704"/>
    <n v="0.93273076923076903"/>
  </r>
  <r>
    <x v="1"/>
    <s v="PQU BAOEBA TERM - CARGA GLOBAL"/>
    <s v="TÉRMICA"/>
    <x v="5"/>
    <n v="0.74975000000000003"/>
    <n v="0.75"/>
    <n v="0.75"/>
    <n v="0.75"/>
    <n v="0.75"/>
    <n v="0.75"/>
    <n v="0.75"/>
    <n v="0.75"/>
  </r>
  <r>
    <x v="1"/>
    <s v="PQU BAOETO HID - CARGA GLOBAL"/>
    <s v="HIDROELÉTRICA"/>
    <x v="2"/>
    <n v="0.83823529411764697"/>
    <n v="0.83529411764705797"/>
    <n v="0.84117647058823497"/>
    <n v="0.84117647058823497"/>
    <n v="0.83529411764705797"/>
    <n v="0.84117647058823497"/>
    <n v="0.84117647058823497"/>
    <n v="0.841464705882353"/>
  </r>
  <r>
    <x v="1"/>
    <s v="PQU BASEBA HID - CARGA GLOBAL"/>
    <s v="HIDROELÉTRICA"/>
    <x v="2"/>
    <n v="0.84248837209302296"/>
    <n v="0.84248837209302296"/>
    <n v="0.84248837209302296"/>
    <n v="0.84248837209302296"/>
    <n v="0.84248837209302296"/>
    <n v="0.84248837209302296"/>
    <n v="0.84248837209302296"/>
    <n v="0.84248837209302296"/>
  </r>
  <r>
    <x v="1"/>
    <s v="PQU BASEBA TERM - CARGA GLOBAL"/>
    <s v="TÉRMICA"/>
    <x v="5"/>
    <n v="0.75306329113923998"/>
    <n v="0.74335443037974602"/>
    <n v="0.75306329113923998"/>
    <n v="0.74335443037974602"/>
    <n v="0.75306329113923998"/>
    <n v="0.74335443037974602"/>
    <n v="0.75306329113923998"/>
    <n v="0.74335443037974602"/>
  </r>
  <r>
    <x v="1"/>
    <s v="PQU BASESE TERM - CARGA GLOBAL"/>
    <s v="TÉRMICA"/>
    <x v="5"/>
    <n v="0.84615384615384603"/>
    <n v="0.84615384615384603"/>
    <n v="0.84615384615384603"/>
    <n v="0.84615384615384603"/>
    <n v="0.84615384615384603"/>
    <n v="0.84615384615384603"/>
    <n v="0.84615384615384603"/>
    <n v="0.84615384615384603"/>
  </r>
  <r>
    <x v="1"/>
    <s v="PQU PBRNRN TERM - CARGA GLOBAL"/>
    <s v="TÉRMICA"/>
    <x v="5"/>
    <n v="0.81455555555555503"/>
    <n v="0.81455555555555503"/>
    <n v="0.81481481481481399"/>
    <n v="0.81481481481481399"/>
    <n v="0.81481481481481399"/>
    <n v="0.81481481481481399"/>
    <n v="0.81481481481481399"/>
    <n v="0.81481481481481399"/>
  </r>
  <r>
    <x v="1"/>
    <s v="PQU PIPI TERM - CARGA GLOBAL"/>
    <s v="TÉRMICA"/>
    <x v="5"/>
    <n v="0.85860000000000003"/>
    <n v="0.99960000000000004"/>
    <n v="0.99960000000000004"/>
    <n v="0.99960000000000004"/>
    <n v="0.99960000000000004"/>
    <n v="0.99960000000000004"/>
    <n v="0.99960000000000004"/>
    <n v="0.99960000000000004"/>
  </r>
  <r>
    <x v="1"/>
    <s v="Paulo Afonso I"/>
    <s v="HIDROELÉTRICA"/>
    <x v="2"/>
    <n v="0.93738012719135899"/>
    <n v="0.91168388348643403"/>
    <n v="0.99775676615408704"/>
    <n v="0.97161187567997997"/>
    <n v="0.99775676615408704"/>
    <n v="0.99559484953508903"/>
    <n v="0.99775676615408704"/>
    <n v="0.99775676615408704"/>
  </r>
  <r>
    <x v="1"/>
    <s v="Paulo Afonso II"/>
    <s v="HIDROELÉTRICA"/>
    <x v="2"/>
    <n v="0.79666319627007798"/>
    <n v="0.82115212524069303"/>
    <n v="0.93663798656643105"/>
    <n v="0.96394385617933698"/>
    <n v="0.99982589983669401"/>
    <n v="0.97979393504671097"/>
    <n v="0.99982589983669401"/>
    <n v="1"/>
  </r>
  <r>
    <x v="1"/>
    <s v="Paulo Afonso III"/>
    <s v="HIDROELÉTRICA"/>
    <x v="2"/>
    <n v="0.885198772465977"/>
    <n v="0.83872219067609999"/>
    <n v="0.98072184614991997"/>
    <n v="0.94979679335447198"/>
    <n v="1"/>
    <n v="0.99722720225600803"/>
    <n v="1"/>
    <n v="0.99722720225600803"/>
  </r>
  <r>
    <x v="1"/>
    <s v="Paulo Afonso IV"/>
    <s v="HIDROELÉTRICA"/>
    <x v="2"/>
    <n v="0.65543779009023895"/>
    <n v="0.65731870367963097"/>
    <n v="0.77863127740861005"/>
    <n v="0.69231693955958495"/>
    <n v="0.78960058562921398"/>
    <n v="0.69962288879788603"/>
    <n v="0.79021680595559096"/>
    <n v="0.74516186412268504"/>
  </r>
  <r>
    <x v="1"/>
    <s v="Pedra do Cavalo"/>
    <s v="HIDROELÉTRICA"/>
    <x v="2"/>
    <n v="0.96535475349939504"/>
    <n v="0.98844335546942497"/>
    <n v="1"/>
    <n v="0.99967289604265896"/>
    <n v="1"/>
    <n v="0.99967289604265896"/>
    <n v="1"/>
    <n v="1"/>
  </r>
  <r>
    <x v="1"/>
    <s v="Pernambuco III"/>
    <s v="TÉRMICA"/>
    <x v="3"/>
    <n v="0.86084998635412502"/>
    <n v="0.97023177770365199"/>
    <n v="0.99928485510103005"/>
    <n v="0.99515318757517801"/>
    <n v="1"/>
    <n v="0.99915850441216603"/>
    <n v="0.999999999999999"/>
    <n v="0.99961083987829802"/>
  </r>
  <r>
    <x v="1"/>
    <s v="Porto de Sergipe I"/>
    <s v="TÉRMICA"/>
    <x v="0"/>
    <n v="0.70272896892999104"/>
    <n v="0.80139758254238602"/>
    <n v="0.82420118439198498"/>
    <n v="0.97326616370568597"/>
    <n v="0.95463421757118505"/>
    <n v="0.99850863957167102"/>
    <n v="0.95758968118763699"/>
    <n v="0.99942986939238998"/>
  </r>
  <r>
    <x v="1"/>
    <s v="Porto do Pecém I"/>
    <s v="TÉRMICA"/>
    <x v="7"/>
    <n v="0.61531719439944899"/>
    <n v="0.73483091841036596"/>
    <n v="0.70385897663478802"/>
    <n v="0.74600178622939095"/>
    <n v="0.88353174162912895"/>
    <n v="0.82123283111811296"/>
    <n v="0.985570095635387"/>
    <n v="0.956887800386091"/>
  </r>
  <r>
    <x v="1"/>
    <s v="Porto do Pecém II"/>
    <s v="TÉRMICA"/>
    <x v="7"/>
    <n v="0.67814474166859096"/>
    <n v="0.91071365495129497"/>
    <n v="0.78227342508185305"/>
    <n v="0.99071827407719304"/>
    <n v="0.97507438151262704"/>
    <n v="0.99345714402162799"/>
    <n v="0.99926773268846703"/>
    <n v="0.99507791378537302"/>
  </r>
  <r>
    <x v="1"/>
    <s v="Prosperidade I"/>
    <s v="TÉRMICA"/>
    <x v="0"/>
    <n v="0.95044567062818297"/>
    <n v="0.95129456706281801"/>
    <n v="0.99906267685342398"/>
    <n v="0.99911573288058797"/>
    <n v="0.999982314657611"/>
    <n v="0.99955786644029399"/>
    <n v="1"/>
    <n v="0.99955786644029399"/>
  </r>
  <r>
    <x v="1"/>
    <s v="Prosperidade II"/>
    <s v="TÉRMICA"/>
    <x v="0"/>
    <n v="0.93024223869373701"/>
    <n v="0.960938339241594"/>
    <n v="0.99713986464711502"/>
    <n v="0.99944945751423298"/>
    <n v="1"/>
    <n v="1"/>
    <n v="1"/>
    <n v="1"/>
  </r>
  <r>
    <x v="1"/>
    <s v="Prosperidade III"/>
    <s v="TÉRMICA"/>
    <x v="0"/>
    <n v="0.89532473102905896"/>
    <n v="0.95347070808163803"/>
    <n v="0.999892769060299"/>
    <n v="1"/>
    <n v="0.999892769060299"/>
    <n v="1"/>
    <n v="1"/>
    <n v="1"/>
  </r>
  <r>
    <x v="1"/>
    <s v="Prosperidade IV"/>
    <s v="TÉRMICA"/>
    <x v="0"/>
    <n v="1"/>
    <n v="1"/>
    <n v="1"/>
    <n v="1"/>
    <n v="1"/>
    <n v="1"/>
    <n v="1"/>
    <n v="1"/>
  </r>
  <r>
    <x v="1"/>
    <s v="Sobradinho"/>
    <s v="HIDROELÉTRICA"/>
    <x v="2"/>
    <n v="0.89309975269639696"/>
    <n v="0.96525415472125997"/>
    <n v="0.89309975269639696"/>
    <n v="0.96649792808087798"/>
    <n v="0.89548157868006595"/>
    <n v="0.97097758513110399"/>
    <n v="0.89548157868006595"/>
    <n v="0.97097758513110399"/>
  </r>
  <r>
    <x v="1"/>
    <s v="Suape II"/>
    <s v="TÉRMICA"/>
    <x v="3"/>
    <n v="0.803912370470236"/>
    <n v="0.90466635655736605"/>
    <n v="0.98050516279424205"/>
    <n v="0.99917479389557695"/>
    <n v="0.99897900454914501"/>
    <n v="1"/>
    <n v="1"/>
    <n v="1"/>
  </r>
  <r>
    <x v="1"/>
    <s v="Termobahia"/>
    <s v="TÉRMICA"/>
    <x v="0"/>
    <n v="0.81753943400603102"/>
    <n v="0.880630944096497"/>
    <n v="0.91692182788216103"/>
    <n v="0.96012526096033401"/>
    <n v="0.97236720018557099"/>
    <n v="0.96961261888192896"/>
    <n v="0.972961609835305"/>
    <n v="0.969632915796799"/>
  </r>
  <r>
    <x v="1"/>
    <s v="Termocabo"/>
    <s v="TÉRMICA"/>
    <x v="3"/>
    <n v="0.87022587679811103"/>
    <n v="0.95672528659744305"/>
    <n v="0.99996998979652996"/>
    <n v="0.999949982994218"/>
    <n v="0.99996998979652996"/>
    <n v="1"/>
    <n v="0.999999999999999"/>
    <n v="0.999999999999999"/>
  </r>
  <r>
    <x v="1"/>
    <s v="Termoceará"/>
    <s v="TÉRMICA"/>
    <x v="0"/>
    <n v="0.87034385368936595"/>
    <n v="0.92648423921630596"/>
    <n v="0.95808480802654405"/>
    <n v="0.96981158160846803"/>
    <n v="1"/>
    <n v="1"/>
    <n v="1"/>
    <n v="1"/>
  </r>
  <r>
    <x v="1"/>
    <s v="Termonordeste"/>
    <s v="TÉRMICA"/>
    <x v="3"/>
    <n v="0.77365185666450098"/>
    <n v="0.85633964715877797"/>
    <n v="0.86544492478384705"/>
    <n v="0.97740079464241003"/>
    <n v="0.97061322404917705"/>
    <n v="1"/>
    <n v="0.98589384776850397"/>
    <n v="1"/>
  </r>
  <r>
    <x v="1"/>
    <s v="Termoparaíba"/>
    <s v="TÉRMICA"/>
    <x v="3"/>
    <n v="0.74665991520839303"/>
    <n v="0.86029828026519395"/>
    <n v="0.87877253456452997"/>
    <n v="0.98948596661173205"/>
    <n v="0.96984173910855498"/>
    <n v="1"/>
    <n v="0.99697127904489902"/>
    <n v="1"/>
  </r>
  <r>
    <x v="1"/>
    <s v="Termopernambuco"/>
    <s v="TÉRMICA"/>
    <x v="0"/>
    <n v="0.79955140668346802"/>
    <n v="0.933831591486743"/>
    <n v="0.903017630718983"/>
    <n v="1"/>
    <n v="0.95425170950184302"/>
    <n v="1"/>
    <n v="0.995367397568509"/>
    <n v="1"/>
  </r>
  <r>
    <x v="1"/>
    <s v="U-50"/>
    <s v="TÉRMICA"/>
    <x v="3"/>
    <n v="0.68270704508218305"/>
    <n v="0.76216901855081598"/>
    <n v="0.76473230801754599"/>
    <n v="0.82844458538132204"/>
    <n v="0.78986311505734297"/>
    <n v="0.83425823159452395"/>
    <n v="0.80452935891337596"/>
    <n v="0.83425823159452395"/>
  </r>
  <r>
    <x v="1"/>
    <s v="Vale do Açú"/>
    <s v="TÉRMICA"/>
    <x v="0"/>
    <n v="0.96138786847056701"/>
    <n v="0.97688379177493001"/>
    <n v="0.99835588208941795"/>
    <n v="0.99809156885583705"/>
    <n v="0.99835588208941795"/>
    <n v="0.99995520114684999"/>
    <n v="0.99835588208941795"/>
    <n v="1"/>
  </r>
  <r>
    <x v="1"/>
    <s v="Veracel"/>
    <s v="TÉRMICA"/>
    <x v="0"/>
    <n v="0.94640353133478805"/>
    <n v="0.96042183519884505"/>
    <n v="0.95008753661187595"/>
    <n v="0.96042183519884505"/>
    <n v="0.95256428340289201"/>
    <n v="0.96330100148521802"/>
    <n v="0.95256428340289201"/>
    <n v="0.97208370325503402"/>
  </r>
  <r>
    <x v="1"/>
    <s v="Xingó"/>
    <s v="HIDROELÉTRICA"/>
    <x v="2"/>
    <n v="0.42684017253111201"/>
    <n v="0.403752607930357"/>
    <n v="0.46950519015296899"/>
    <n v="0.45810119372313202"/>
    <n v="0.50970286665472297"/>
    <n v="0.50423474867866203"/>
    <n v="0.52586058689177995"/>
    <n v="0.50694330076215399"/>
  </r>
  <r>
    <x v="2"/>
    <s v="14 de Julho"/>
    <s v="HIDROELÉTRICA"/>
    <x v="2"/>
    <n v="0.84298812993105399"/>
    <n v="0.78009402638018699"/>
    <n v="0.993008945706365"/>
    <n v="0.98700283297624902"/>
    <n v="0.999456759034554"/>
    <n v="0.99805550196480597"/>
    <n v="1"/>
    <n v="0.99805550196480597"/>
  </r>
  <r>
    <x v="2"/>
    <s v="Araucária"/>
    <s v="TÉRMICA"/>
    <x v="0"/>
    <n v="0.66506791299225598"/>
    <n v="0.77668793560842198"/>
    <n v="0.79197534579945505"/>
    <n v="0.99966355228590897"/>
    <n v="0.95052176268504596"/>
    <n v="1"/>
    <n v="0.98772664536905996"/>
    <n v="1"/>
  </r>
  <r>
    <x v="2"/>
    <s v="Baixo Iguaçu"/>
    <s v="HIDROELÉTRICA"/>
    <x v="2"/>
    <n v="0.861166789745753"/>
    <n v="0.89721188190435996"/>
    <n v="0.94342531611230795"/>
    <n v="0.93296761261736405"/>
    <n v="0.97394993444154698"/>
    <n v="0.93886485916235796"/>
    <n v="0.97395746989585996"/>
    <n v="0.965924675598692"/>
  </r>
  <r>
    <x v="2"/>
    <s v="Barra Bonita I"/>
    <s v="TÉRMICA"/>
    <x v="0"/>
    <n v="0.94379705063421604"/>
    <n v="0.97303289677219695"/>
    <n v="0.988656285449108"/>
    <n v="0.99159533876456596"/>
    <n v="0.99489532845209805"/>
    <n v="0.993812519335877"/>
    <n v="0.99432814272455405"/>
    <n v="0.993812519335877"/>
  </r>
  <r>
    <x v="2"/>
    <s v="Barra Grande"/>
    <s v="HIDROELÉTRICA"/>
    <x v="2"/>
    <n v="0.96663423043106"/>
    <n v="0.93025391219982601"/>
    <n v="0.99813251020369798"/>
    <n v="0.99740919177467102"/>
    <n v="0.99817943205787696"/>
    <n v="0.99822779766141401"/>
    <n v="0.99822346641333604"/>
    <n v="0.99833030386592703"/>
  </r>
  <r>
    <x v="2"/>
    <s v="Berneck"/>
    <s v="TÉRMICA"/>
    <x v="0"/>
    <n v="1"/>
    <n v="1"/>
    <n v="1"/>
    <n v="1"/>
    <n v="1"/>
    <n v="1"/>
    <n v="1"/>
    <n v="1"/>
  </r>
  <r>
    <x v="2"/>
    <s v="CGVE INNOVA"/>
    <s v="TÉRMICA"/>
    <x v="8"/>
    <n v="0.76367514856010899"/>
    <n v="0.75742800548529599"/>
    <n v="0.81193813804662496"/>
    <n v="0.80755751942709098"/>
    <n v="0.82302300777083603"/>
    <n v="0.82389913149474303"/>
    <n v="0.82953679719640405"/>
    <n v="0.83144141398750504"/>
  </r>
  <r>
    <x v="2"/>
    <s v="CMPC"/>
    <s v="TÉRMICA"/>
    <x v="8"/>
    <n v="0.80650821502631997"/>
    <n v="0.87556229063646496"/>
    <n v="0.91705216142925505"/>
    <n v="0.93187111182006699"/>
    <n v="0.93796458765353297"/>
    <n v="0.95021534535013497"/>
    <n v="0.94375498484606801"/>
    <n v="0.95464986441218602"/>
  </r>
  <r>
    <x v="2"/>
    <s v="Campos Novos"/>
    <s v="HIDROELÉTRICA"/>
    <x v="2"/>
    <n v="0.92135289416340105"/>
    <n v="0.90896722733658597"/>
    <n v="0.99835430817187598"/>
    <n v="0.99760005646925898"/>
    <n v="0.99945693877411601"/>
    <n v="0.999404568089859"/>
    <n v="0.99945693877411601"/>
    <n v="0.99953435630736498"/>
  </r>
  <r>
    <x v="2"/>
    <s v="Canastra"/>
    <s v="HIDROELÉTRICA"/>
    <x v="2"/>
    <n v="0.80833933532256397"/>
    <n v="0.87791953904722697"/>
    <n v="0.97543471550571004"/>
    <n v="0.93986006790822096"/>
    <n v="1"/>
    <n v="0.89494803992180205"/>
    <n v="1"/>
    <n v="0.90576448194258596"/>
  </r>
  <r>
    <x v="2"/>
    <s v="Candiota III"/>
    <s v="TÉRMICA"/>
    <x v="7"/>
    <n v="0.62641022901106802"/>
    <n v="0.92996237514622504"/>
    <n v="0.71504656708359504"/>
    <n v="0.95128734365157896"/>
    <n v="0.84968336632772401"/>
    <n v="0.95779576846935999"/>
    <n v="0.94520775218212905"/>
    <n v="0.95779576846935999"/>
  </r>
  <r>
    <x v="2"/>
    <s v="Canoas"/>
    <s v="TÉRMICA"/>
    <x v="4"/>
    <n v="0.82760423500037705"/>
    <n v="0.88843366213030195"/>
    <n v="0.95535597142209605"/>
    <n v="0.99595862008643299"/>
    <n v="0.97680530209960903"/>
    <n v="0.99595862008643299"/>
    <n v="0.98152256453684095"/>
    <n v="0.99952290645388298"/>
  </r>
  <r>
    <x v="2"/>
    <s v="Castro Alves"/>
    <s v="HIDROELÉTRICA"/>
    <x v="2"/>
    <n v="0.98912402186063797"/>
    <n v="0.97110219227425099"/>
    <n v="0.99762063718792604"/>
    <n v="0.996654142342566"/>
    <n v="0.997783660414855"/>
    <n v="0.99722084213141204"/>
    <n v="0.99869581418457298"/>
    <n v="0.99686374363433095"/>
  </r>
  <r>
    <x v="2"/>
    <s v="Conj. Boca do Monte"/>
    <s v="HIDROELÉTRICA"/>
    <x v="2"/>
    <n v="0.72411848608484997"/>
    <n v="0.697001360002653"/>
    <n v="0.88015391249543895"/>
    <n v="0.83363187050121001"/>
    <n v="0.99819219159452"/>
    <n v="0.905828108932895"/>
    <n v="0.997694629648057"/>
    <n v="0.91073738680465699"/>
  </r>
  <r>
    <x v="2"/>
    <s v="Conj. Klabin Celulose"/>
    <s v="TÉRMICA"/>
    <x v="8"/>
    <n v="0.79063994283934502"/>
    <n v="0.85184489676272801"/>
    <n v="0.85368612938094202"/>
    <n v="0.88771229137277097"/>
    <n v="0.89732609054101098"/>
    <n v="0.96662880384002303"/>
    <n v="0.90984830441712605"/>
    <n v="0.96872194639356501"/>
  </r>
  <r>
    <x v="2"/>
    <s v="Conj. Lajeado Grande"/>
    <s v="HIDROELÉTRICA"/>
    <x v="2"/>
    <n v="0.68699632752288797"/>
    <n v="0.757337195468887"/>
    <n v="0.74579734133347098"/>
    <n v="0.83772306419076104"/>
    <n v="0.86012000206900097"/>
    <n v="0.92505043190399805"/>
    <n v="0.93655407851859496"/>
    <n v="0.90966740805875901"/>
  </r>
  <r>
    <x v="2"/>
    <s v="Dona Francisca"/>
    <s v="HIDROELÉTRICA"/>
    <x v="2"/>
    <n v="0.98323115614228196"/>
    <n v="0.88620969491470902"/>
    <n v="0.99292124990960695"/>
    <n v="0.92609897394280705"/>
    <n v="0.99292124990960695"/>
    <n v="0.92610299139461805"/>
    <n v="0.99292526736141795"/>
    <n v="0.97321163132648203"/>
  </r>
  <r>
    <x v="2"/>
    <s v="Energia Madeiras"/>
    <s v="TÉRMICA"/>
    <x v="1"/>
    <n v="0.86302395209580796"/>
    <n v="0.86302395209580796"/>
    <n v="0.86302395209580796"/>
    <n v="0.92065868263473005"/>
    <n v="0.86302395209580796"/>
    <n v="1"/>
    <n v="0.86302395209580796"/>
    <n v="1"/>
  </r>
  <r>
    <x v="2"/>
    <s v="Figueira"/>
    <s v="TÉRMICA"/>
    <x v="7"/>
    <n v="0.607004414773339"/>
    <n v="0.81137611715300895"/>
    <n v="0.63424679659739402"/>
    <n v="0.96015936254980006"/>
    <n v="0.75091525788736901"/>
    <n v="0.96015936254980006"/>
    <n v="0.86039625282653098"/>
    <n v="0.96758910304726997"/>
  </r>
  <r>
    <x v="2"/>
    <s v="Foz do Chapecó"/>
    <s v="HIDROELÉTRICA"/>
    <x v="2"/>
    <n v="0.90421410592332496"/>
    <n v="0.78762954491124604"/>
    <n v="0.95958972171573398"/>
    <n v="0.98262012346315497"/>
    <n v="0.99913402361455494"/>
    <n v="0.99743078048025902"/>
    <n v="0.99940588629577698"/>
    <n v="0.99817078601125797"/>
  </r>
  <r>
    <x v="2"/>
    <s v="Fundão"/>
    <s v="HIDROELÉTRICA"/>
    <x v="2"/>
    <n v="0.97145447437806098"/>
    <n v="0.98934949138726902"/>
    <n v="0.99920152375882698"/>
    <n v="0.99943441266250199"/>
    <n v="0.99930965074981903"/>
    <n v="0.99943441266250199"/>
    <n v="0.99948431742757504"/>
    <n v="0.99946352377546099"/>
  </r>
  <r>
    <x v="2"/>
    <s v="Garibaldi"/>
    <s v="HIDROELÉTRICA"/>
    <x v="2"/>
    <n v="0.86794501297013404"/>
    <n v="0.86764915654503005"/>
    <n v="0.996573876934293"/>
    <n v="0.88051891103702895"/>
    <n v="0.996573876934293"/>
    <n v="0.88103665978096002"/>
    <n v="0.99604027873901702"/>
    <n v="0.88098382827647703"/>
  </r>
  <r>
    <x v="2"/>
    <s v="Gov. Bento Munhoz"/>
    <s v="HIDROELÉTRICA"/>
    <x v="2"/>
    <n v="0.87065659770875203"/>
    <n v="0.85102804028458801"/>
    <n v="0.969272822470437"/>
    <n v="0.94435137550649695"/>
    <n v="1"/>
    <n v="0.99046079870661297"/>
    <n v="1"/>
    <n v="0.99972238524211798"/>
  </r>
  <r>
    <x v="2"/>
    <s v="Gov. Jayme Canet"/>
    <s v="HIDROELÉTRICA"/>
    <x v="2"/>
    <n v="0.65566333777430297"/>
    <n v="0.66806135144955403"/>
    <n v="0.78799644355380305"/>
    <n v="0.79573143876416197"/>
    <n v="0.88613041036764595"/>
    <n v="0.88540921152596797"/>
    <n v="0.96637892117461799"/>
    <n v="0.96760936347320503"/>
  </r>
  <r>
    <x v="2"/>
    <s v="Gov. José Richa"/>
    <s v="HIDROELÉTRICA"/>
    <x v="2"/>
    <n v="0.81716873024449099"/>
    <n v="0.87447143397898996"/>
    <n v="0.98974209860526496"/>
    <n v="0.98604982027946397"/>
    <n v="0.99311327408433103"/>
    <n v="0.99025691463031895"/>
    <n v="0.99311327408433103"/>
    <n v="0.99127562756599097"/>
  </r>
  <r>
    <x v="2"/>
    <s v="Gov. Ney Braga"/>
    <s v="HIDROELÉTRICA"/>
    <x v="2"/>
    <n v="0.88836655481157301"/>
    <n v="0.78892064853707999"/>
    <n v="0.96122157807650999"/>
    <n v="0.94025749731621"/>
    <n v="0.99346042437654203"/>
    <n v="0.98601784201329401"/>
    <n v="0.99049421611771404"/>
    <n v="0.99649459213313796"/>
  </r>
  <r>
    <x v="2"/>
    <s v="Gov. Parigot de Souza"/>
    <s v="HIDROELÉTRICA"/>
    <x v="2"/>
    <n v="0.93863668553885204"/>
    <n v="0.93394926329570305"/>
    <n v="0.96070910420279299"/>
    <n v="0.96186899717108598"/>
    <n v="0.96084308523873496"/>
    <n v="0.96072824435078497"/>
    <n v="0.96117803782858802"/>
    <n v="0.96156275480321995"/>
  </r>
  <r>
    <x v="2"/>
    <s v="Itaúba"/>
    <s v="HIDROELÉTRICA"/>
    <x v="2"/>
    <n v="0.95132607649747403"/>
    <n v="0.95531533156923998"/>
    <n v="0.98135975463074299"/>
    <n v="0.97830867612861805"/>
    <n v="0.97821746451768099"/>
    <n v="0.98172861037607195"/>
    <n v="0.98926609734584203"/>
    <n v="0.98172861037607195"/>
  </r>
  <r>
    <x v="2"/>
    <s v="Itá"/>
    <s v="HIDROELÉTRICA"/>
    <x v="2"/>
    <n v="0.81408475338391695"/>
    <n v="0.77293237949453097"/>
    <n v="0.93037775514602605"/>
    <n v="0.92501705988760696"/>
    <n v="0.99242238009360695"/>
    <n v="0.99941848334672601"/>
    <n v="0.99859836927443602"/>
    <n v="0.99941848334672601"/>
  </r>
  <r>
    <x v="2"/>
    <s v="Jacuí"/>
    <s v="HIDROELÉTRICA"/>
    <x v="2"/>
    <n v="0.93507903741198395"/>
    <n v="0.93971099737013197"/>
    <n v="0.96738116110058503"/>
    <n v="0.96420269773491996"/>
    <n v="0.97014676356643903"/>
    <n v="0.96549783672199696"/>
    <n v="0.96890535305262504"/>
    <n v="0.96609733337103698"/>
  </r>
  <r>
    <x v="2"/>
    <s v="Jorge Lacerda A"/>
    <s v="TÉRMICA"/>
    <x v="7"/>
    <n v="0.53955563589751998"/>
    <n v="0.63997304892277795"/>
    <n v="0.56751463958411996"/>
    <n v="0.71350511906131298"/>
    <n v="0.58663511418601699"/>
    <n v="0.71340651755928397"/>
    <n v="0.61138956905665698"/>
    <n v="0.71395704261228199"/>
  </r>
  <r>
    <x v="2"/>
    <s v="Jorge Lacerda B"/>
    <s v="TÉRMICA"/>
    <x v="7"/>
    <n v="0.63255963050083697"/>
    <n v="0.66322255281300602"/>
    <n v="0.71475107115929004"/>
    <n v="0.75066707601731897"/>
    <n v="0.74958124331230802"/>
    <n v="0.75066707601731897"/>
    <n v="0.75464470018827101"/>
    <n v="0.75066707601731897"/>
  </r>
  <r>
    <x v="2"/>
    <s v="Jorge Lacerda C"/>
    <s v="TÉRMICA"/>
    <x v="7"/>
    <n v="0.64827015183182202"/>
    <n v="0.85029982845709495"/>
    <n v="0.78876587217823801"/>
    <n v="0.931805005960893"/>
    <n v="0.98876498027405202"/>
    <n v="0.99207989083092696"/>
    <n v="0.99583332094577504"/>
    <n v="0.994181811695242"/>
  </r>
  <r>
    <x v="2"/>
    <s v="Jorge Lacerda I e II"/>
    <s v="TÉRMICA"/>
    <x v="7"/>
    <n v="0.56007318033874398"/>
    <n v="0.71321288637352998"/>
    <n v="0.60976014262910205"/>
    <n v="0.87577482015879904"/>
    <n v="0.63575419283952095"/>
    <n v="0.89168066007421598"/>
    <n v="0.67091133362356703"/>
    <n v="0.89277162758878004"/>
  </r>
  <r>
    <x v="2"/>
    <s v="Jorge Lacerda III"/>
    <s v="TÉRMICA"/>
    <x v="7"/>
    <n v="0.68558470704533903"/>
    <n v="0.77013367531415"/>
    <n v="0.78509978893371402"/>
    <n v="0.99189354065920299"/>
    <n v="0.97226526668269697"/>
    <n v="0.997174650671938"/>
    <n v="0.99186459697026297"/>
    <n v="0.997174650671938"/>
  </r>
  <r>
    <x v="2"/>
    <s v="Jorge Lacerda IV"/>
    <s v="TÉRMICA"/>
    <x v="7"/>
    <n v="0.73277617904483505"/>
    <n v="0.87641612119223999"/>
    <n v="0.86924717073970803"/>
    <n v="0.99209447269148698"/>
    <n v="0.984582581597506"/>
    <n v="0.99803778311240998"/>
    <n v="0.99977037887485598"/>
    <n v="0.99903976620394497"/>
  </r>
  <r>
    <x v="2"/>
    <s v="Klabin Celulose"/>
    <s v="TÉRMICA"/>
    <x v="8"/>
    <n v="0.832515522334076"/>
    <n v="0.96208330821628796"/>
    <n v="0.965495207667731"/>
    <n v="0.95841220085598799"/>
    <n v="0.97313279884260595"/>
    <n v="0.99996985954548201"/>
    <n v="0.98696726746639296"/>
    <n v="0.99626861173066406"/>
  </r>
  <r>
    <x v="2"/>
    <s v="Machadinho"/>
    <s v="HIDROELÉTRICA"/>
    <x v="2"/>
    <n v="0.79600002100967204"/>
    <n v="0.79897989286817905"/>
    <n v="0.87846955041927399"/>
    <n v="0.85470892412094202"/>
    <n v="0.88494096719777304"/>
    <n v="0.99746658367846097"/>
    <n v="0.92522088606542197"/>
    <n v="0.99805397910062799"/>
  </r>
  <r>
    <x v="2"/>
    <s v="Monjolinho"/>
    <s v="HIDROELÉTRICA"/>
    <x v="2"/>
    <n v="0.98206234071750598"/>
    <n v="0.99345226426190902"/>
    <n v="0.99894791870874899"/>
    <n v="0.99918316669934004"/>
    <n v="0.99896752270796496"/>
    <n v="1"/>
    <n v="0.99909168136966597"/>
    <n v="0.99918316669934004"/>
  </r>
  <r>
    <x v="2"/>
    <s v="Monte Claro"/>
    <s v="HIDROELÉTRICA"/>
    <x v="2"/>
    <n v="0.88700725495080301"/>
    <n v="0.85139027276124002"/>
    <n v="0.96363183459957602"/>
    <n v="0.85127350853157302"/>
    <n v="0.96757846556233595"/>
    <n v="0.98242698343504797"/>
    <n v="0.96781588616266001"/>
    <n v="0.98242698343504797"/>
  </r>
  <r>
    <x v="2"/>
    <s v="PQU PRPR HID - CARGA GLOBAL"/>
    <s v="HIDROELÉTRICA"/>
    <x v="2"/>
    <n v="0.77155788177339901"/>
    <n v="0.83011330049261001"/>
    <n v="0.77155788177339901"/>
    <n v="0.83072906403940805"/>
    <n v="0.77032635467980204"/>
    <n v="0.83072906403940805"/>
    <n v="0.77278940886699499"/>
    <n v="0.83072906403940805"/>
  </r>
  <r>
    <x v="2"/>
    <s v="PQU PRPR TERM - CARGA GLOBAL"/>
    <s v="TÉRMICA"/>
    <x v="5"/>
    <n v="0.78935174418604603"/>
    <n v="0.92943895348837202"/>
    <n v="0.903276162790697"/>
    <n v="0.92943895348837202"/>
    <n v="0.90036918604651095"/>
    <n v="0.922171511627906"/>
    <n v="0.89600872093023198"/>
    <n v="0.91635755813953401"/>
  </r>
  <r>
    <x v="2"/>
    <s v="PQU PRSC HID - CARGA GLOBAL"/>
    <s v="HIDROELÉTRICA"/>
    <x v="2"/>
    <n v="0.87393981481481398"/>
    <n v="0.93908333333333305"/>
    <n v="0.87393981481481398"/>
    <n v="0.93908333333333305"/>
    <n v="0.87393981481481398"/>
    <n v="0.93908333333333305"/>
    <n v="0.87393981481481398"/>
    <n v="0.93908333333333305"/>
  </r>
  <r>
    <x v="2"/>
    <s v="PQU RSRS HID - CARGA GLOBAL"/>
    <s v="HIDROELÉTRICA"/>
    <x v="2"/>
    <n v="0.78685012285012201"/>
    <n v="0.79433660933660899"/>
    <n v="0.81767813267813205"/>
    <n v="0.79495085995086001"/>
    <n v="0.81522113022112996"/>
    <n v="0.79925061425061406"/>
    <n v="0.81522113022112996"/>
    <n v="0.79495085995086001"/>
  </r>
  <r>
    <x v="2"/>
    <s v="PQU RSRS TERM - CARGA GLOBAL"/>
    <s v="TÉRMICA"/>
    <x v="5"/>
    <n v="0.70249999999999901"/>
    <n v="0.76043478260869501"/>
    <n v="0.78217391304347805"/>
    <n v="0.76043478260869501"/>
    <n v="0.79304347826086896"/>
    <n v="0.76043478260869501"/>
    <n v="0.80391304347825998"/>
    <n v="0.76043478260869501"/>
  </r>
  <r>
    <x v="2"/>
    <s v="PQU SCRS HID - CARGA GLOBAL"/>
    <s v="HIDROELÉTRICA"/>
    <x v="2"/>
    <n v="0.68960294117647003"/>
    <n v="0.80435294117647005"/>
    <n v="0.80435294117647005"/>
    <n v="0.80435294117647005"/>
    <n v="0.80435294117647005"/>
    <n v="0.80435294117647005"/>
    <n v="0.80435294117647005"/>
    <n v="0.80435294117647005"/>
  </r>
  <r>
    <x v="2"/>
    <s v="PQU SCSC HID - CARGA GLOBAL"/>
    <s v="HIDROELÉTRICA"/>
    <x v="2"/>
    <n v="0.70183009708737798"/>
    <n v="0.87598058252427102"/>
    <n v="0.77687055016181195"/>
    <n v="0.87638511326860802"/>
    <n v="0.77606148867313896"/>
    <n v="0.878003236245954"/>
    <n v="0.77484789644012897"/>
    <n v="0.87719417475728101"/>
  </r>
  <r>
    <x v="2"/>
    <s v="PQU SCSC TERM - CARGA GLOBAL"/>
    <s v="TÉRMICA"/>
    <x v="5"/>
    <n v="0.82116071428571402"/>
    <n v="0.67842857142857105"/>
    <n v="0.82142857142857095"/>
    <n v="0.67857142857142805"/>
    <n v="0.82142857142857095"/>
    <n v="0.67857142857142805"/>
    <n v="0.82142857142857095"/>
    <n v="0.67857142857142805"/>
  </r>
  <r>
    <x v="2"/>
    <s v="Pampa Sul"/>
    <s v="TÉRMICA"/>
    <x v="7"/>
    <n v="0.64321565377055201"/>
    <n v="0.87097266230944304"/>
    <n v="0.72306738155058403"/>
    <n v="0.99591618245080804"/>
    <n v="0.91024523050977202"/>
    <n v="0.99663998802770903"/>
    <n v="0.99816674293246299"/>
    <n v="0.99663998802770903"/>
  </r>
  <r>
    <x v="2"/>
    <s v="Passo Fundo"/>
    <s v="HIDROELÉTRICA"/>
    <x v="2"/>
    <n v="0.98037695283243298"/>
    <n v="0.96571033316004096"/>
    <n v="0.99980614861352202"/>
    <n v="0.99622870939033703"/>
    <n v="0.99980614861352202"/>
    <n v="0.99690498638634495"/>
    <n v="0.99980614861352202"/>
    <n v="0.99818704896509802"/>
  </r>
  <r>
    <x v="2"/>
    <s v="Passo Real"/>
    <s v="HIDROELÉTRICA"/>
    <x v="2"/>
    <n v="0.98256399919370996"/>
    <n v="0.95872807901632695"/>
    <n v="0.99221427131626605"/>
    <n v="0.98982689981858496"/>
    <n v="0.99221427131626605"/>
    <n v="0.98983319895182398"/>
    <n v="0.99288512900624804"/>
    <n v="0.99000012598266396"/>
  </r>
  <r>
    <x v="2"/>
    <s v="Passo São João"/>
    <s v="HIDROELÉTRICA"/>
    <x v="2"/>
    <n v="0.90854875896801701"/>
    <n v="0.85115988510632801"/>
    <n v="0.99471257261357304"/>
    <n v="0.99161482282932001"/>
    <n v="0.99781032239782497"/>
    <n v="0.99334080399809299"/>
    <n v="0.99666396177080496"/>
    <n v="0.997275783453765"/>
  </r>
  <r>
    <x v="2"/>
    <s v="Quebra Queixo"/>
    <s v="HIDROELÉTRICA"/>
    <x v="2"/>
    <n v="0.99234082122057399"/>
    <n v="0.98507316595702998"/>
    <n v="0.99858072725492997"/>
    <n v="1"/>
    <n v="0.99876425390300005"/>
    <n v="1"/>
    <n v="0.99877648901287097"/>
    <n v="1"/>
  </r>
  <r>
    <x v="2"/>
    <s v="Salto Osório"/>
    <s v="HIDROELÉTRICA"/>
    <x v="2"/>
    <n v="0.77821620431768201"/>
    <n v="0.756375831600548"/>
    <n v="0.88170169530992704"/>
    <n v="0.85130199947970897"/>
    <n v="0.93116930723149105"/>
    <n v="0.91219507979908698"/>
    <n v="0.95955924488760003"/>
    <n v="0.91944503568355396"/>
  </r>
  <r>
    <x v="2"/>
    <s v="Salto Pilão"/>
    <s v="HIDROELÉTRICA"/>
    <x v="2"/>
    <n v="0.93313095231896304"/>
    <n v="0.94576588022723596"/>
    <n v="0.99789895181908606"/>
    <n v="0.99716215301462596"/>
    <n v="0.99796404005269501"/>
    <n v="0.998919535322082"/>
    <n v="0.99809421651991403"/>
    <n v="0.998919535322082"/>
  </r>
  <r>
    <x v="2"/>
    <s v="Salto Santiago"/>
    <s v="HIDROELÉTRICA"/>
    <x v="2"/>
    <n v="0.90293951711048503"/>
    <n v="0.84393004419194495"/>
    <n v="0.96744660315745101"/>
    <n v="0.97602717080095602"/>
    <n v="0.99910905604259004"/>
    <n v="0.99759343128440803"/>
    <n v="0.99906508920695003"/>
    <n v="0.99924447389636195"/>
  </r>
  <r>
    <x v="2"/>
    <s v="Santa Clara (PR)"/>
    <s v="HIDROELÉTRICA"/>
    <x v="2"/>
    <n v="0.96233187556729105"/>
    <n v="0.98791566960970301"/>
    <n v="0.99948015512831001"/>
    <n v="0.99832907005528504"/>
    <n v="0.99965343675220697"/>
    <n v="0.998494100173281"/>
    <n v="0.99965343675220697"/>
    <n v="0.99860549550292899"/>
  </r>
  <r>
    <x v="2"/>
    <s v="São José"/>
    <s v="HIDROELÉTRICA"/>
    <x v="2"/>
    <n v="1"/>
    <n v="1"/>
    <n v="0.99170490645958298"/>
    <n v="0.99226379574067503"/>
    <n v="0.99350904027924802"/>
    <n v="0.99249911754324005"/>
    <n v="0.99508765737145499"/>
    <n v="0.99468564929207304"/>
  </r>
  <r>
    <x v="2"/>
    <s v="São Roque"/>
    <s v="HIDROELÉTRICA"/>
    <x v="2"/>
    <n v="0.94545953631103996"/>
    <n v="0.934673207674657"/>
    <n v="0.99386252621799298"/>
    <n v="0.994524134630273"/>
    <n v="0.99426019510409702"/>
    <n v="0.994524134630273"/>
    <n v="0.99445375075662601"/>
    <n v="0.99459803769760202"/>
  </r>
  <r>
    <x v="2"/>
    <s v="São Sepé"/>
    <s v="TÉRMICA"/>
    <x v="1"/>
    <n v="0.88064989005619299"/>
    <n v="0.94118006352308803"/>
    <n v="0.98405814805765901"/>
    <n v="1"/>
    <n v="1"/>
    <n v="1"/>
    <n v="1"/>
    <n v="1"/>
  </r>
  <r>
    <x v="2"/>
    <s v="Uruguaiana"/>
    <s v="TÉRMICA"/>
    <x v="0"/>
    <n v="0.75"/>
    <n v="0.75"/>
    <n v="0.75"/>
    <n v="0.75"/>
    <n v="0.75"/>
    <n v="0.75"/>
    <n v="0.75"/>
    <n v="0.98750000000000004"/>
  </r>
  <r>
    <x v="3"/>
    <s v="Aimorés"/>
    <s v="HIDROELÉTRICA"/>
    <x v="2"/>
    <n v="0.75878946751894005"/>
    <n v="0.90439940353509896"/>
    <n v="0.93444109909105499"/>
    <n v="0.96967811790629399"/>
    <n v="0.96451603711759204"/>
    <n v="0.98101221739942501"/>
    <n v="0.96413770614289196"/>
    <n v="0.98258727731502105"/>
  </r>
  <r>
    <x v="3"/>
    <s v="Alcon"/>
    <s v="TÉRMICA"/>
    <x v="1"/>
    <n v="1"/>
    <n v="1"/>
    <n v="1"/>
    <n v="1"/>
    <n v="1"/>
    <n v="1"/>
    <n v="1"/>
    <n v="1"/>
  </r>
  <r>
    <x v="3"/>
    <s v="Amador Aguiar I"/>
    <s v="HIDROELÉTRICA"/>
    <x v="2"/>
    <n v="0.839114659222163"/>
    <n v="0.85530767755180304"/>
    <n v="0.89756053760412702"/>
    <n v="0.86744784970593303"/>
    <n v="0.90248884753053904"/>
    <n v="0.87054564451682104"/>
    <n v="0.90235007938354295"/>
    <n v="0.87106806577610096"/>
  </r>
  <r>
    <x v="3"/>
    <s v="Amador Aguiar II"/>
    <s v="HIDROELÉTRICA"/>
    <x v="2"/>
    <n v="0.79862833760944196"/>
    <n v="0.81358999437727098"/>
    <n v="0.85691335799774104"/>
    <n v="0.83448150405639698"/>
    <n v="0.87129384193043802"/>
    <n v="0.85736459381688801"/>
    <n v="0.872782211386262"/>
    <n v="0.85865687650313405"/>
  </r>
  <r>
    <x v="3"/>
    <s v="Amandina"/>
    <s v="TÉRMICA"/>
    <x v="1"/>
    <n v="0.75596855083063397"/>
    <n v="0.894577369135931"/>
    <n v="0.85934071674851098"/>
    <n v="0.921690523456274"/>
    <n v="0.92214763347612505"/>
    <n v="0.930349493260892"/>
    <n v="0.94116341030195305"/>
    <n v="0.90078100511963199"/>
  </r>
  <r>
    <x v="3"/>
    <s v="Amandina II"/>
    <s v="TÉRMICA"/>
    <x v="1"/>
    <n v="0.75596855083063397"/>
    <n v="0.894577369135931"/>
    <n v="0.85934071674851098"/>
    <n v="0.921690523456274"/>
    <n v="0.92214763347612505"/>
    <n v="0.930349493260892"/>
    <n v="0.94116341030195305"/>
    <n v="0.90078100511963199"/>
  </r>
  <r>
    <x v="3"/>
    <s v="Angra I"/>
    <s v="NUCLEAR"/>
    <x v="9"/>
    <n v="0.99443384248334599"/>
    <n v="0.99444689236305694"/>
    <n v="0.99443384248334599"/>
    <n v="0.994560503080539"/>
    <n v="0.99452826220125301"/>
    <n v="0.99576876841376405"/>
    <n v="0.99452826220125301"/>
    <n v="0.996667674833844"/>
  </r>
  <r>
    <x v="3"/>
    <s v="Angra II"/>
    <s v="NUCLEAR"/>
    <x v="9"/>
    <n v="0.65681080132237202"/>
    <n v="0.89209246364939498"/>
    <n v="0.77941619613235402"/>
    <n v="0.94571179895263402"/>
    <n v="0.92401443784558601"/>
    <n v="0.98205508908457895"/>
    <n v="0.97833408911383501"/>
    <n v="0.98288778853749104"/>
  </r>
  <r>
    <x v="3"/>
    <s v="Anta"/>
    <s v="HIDROELÉTRICA"/>
    <x v="2"/>
    <n v="0.88037906137184097"/>
    <n v="0.85122743682310398"/>
    <n v="0.87839350180505404"/>
    <n v="0.97601083032490898"/>
    <n v="0.977815884476534"/>
    <n v="0.97601083032490898"/>
    <n v="0.977815884476534"/>
    <n v="0.97601083032490898"/>
  </r>
  <r>
    <x v="3"/>
    <s v="Baguari"/>
    <s v="HIDROELÉTRICA"/>
    <x v="2"/>
    <n v="0.71985359690844197"/>
    <n v="0.79642167063020197"/>
    <n v="0.82741156361474399"/>
    <n v="0.85023781212841798"/>
    <n v="0.84458605826397104"/>
    <n v="0.871135552913198"/>
    <n v="0.85233353151010605"/>
    <n v="0.871135552913198"/>
  </r>
  <r>
    <x v="3"/>
    <s v="Baixada Fluminense"/>
    <s v="TÉRMICA"/>
    <x v="0"/>
    <n v="0.98628269994369999"/>
    <n v="0.86202616552920996"/>
    <n v="0.98628269994369999"/>
    <n v="0.98341567739214297"/>
    <n v="0.98632543585989296"/>
    <n v="0.987952187800196"/>
    <n v="0.98632543585989296"/>
    <n v="0.98799027850810694"/>
  </r>
  <r>
    <x v="3"/>
    <s v="Bariri"/>
    <s v="HIDROELÉTRICA"/>
    <x v="2"/>
    <n v="0.85284971886181604"/>
    <n v="0.88449906287272095"/>
    <n v="0.91667021639120805"/>
    <n v="0.98565201340375896"/>
    <n v="0.97469046401999204"/>
    <n v="0.98566621230192497"/>
    <n v="0.97861645936275299"/>
    <n v="0.98574430624183496"/>
  </r>
  <r>
    <x v="3"/>
    <s v="Barra Bioenergia"/>
    <s v="TÉRMICA"/>
    <x v="1"/>
    <n v="0.77232652418624703"/>
    <n v="0.85295391033967005"/>
    <n v="0.88890856850474198"/>
    <n v="0.84876215216278905"/>
    <n v="0.85626008580312496"/>
    <n v="0.87956075097414099"/>
    <n v="0.88518912110835601"/>
    <n v="0.91211083559648898"/>
  </r>
  <r>
    <x v="3"/>
    <s v="Barra Bonita"/>
    <s v="HIDROELÉTRICA"/>
    <x v="2"/>
    <n v="0.80977011913533803"/>
    <n v="0.85871555617161899"/>
    <n v="0.88431907551560796"/>
    <n v="0.87677189193921401"/>
    <n v="0.894999671702986"/>
    <n v="0.92090230610413504"/>
    <n v="0.89520759314515796"/>
    <n v="0.92153336591985102"/>
  </r>
  <r>
    <x v="3"/>
    <s v="Barra do Braúna"/>
    <s v="HIDROELÉTRICA"/>
    <x v="2"/>
    <n v="0.65379050178285303"/>
    <n v="0.657537078187173"/>
    <n v="0.67210996847708104"/>
    <n v="0.66840214975970202"/>
    <n v="0.69409849620174602"/>
    <n v="0.66836339207276096"/>
    <n v="0.69409849620174602"/>
    <n v="0.67123146090641295"/>
  </r>
  <r>
    <x v="3"/>
    <s v="Barra dos Coqueiros"/>
    <s v="HIDROELÉTRICA"/>
    <x v="2"/>
    <n v="0.78410915816637305"/>
    <n v="0.88257412145174996"/>
    <n v="0.88039228716040296"/>
    <n v="0.92780011296806897"/>
    <n v="0.88094051455848299"/>
    <n v="0.92655967925928295"/>
    <n v="0.87936228417007201"/>
    <n v="0.98719141442668701"/>
  </r>
  <r>
    <x v="3"/>
    <s v="Batalha"/>
    <s v="HIDROELÉTRICA"/>
    <x v="2"/>
    <n v="0.81864683301343499"/>
    <n v="0.97623800383877102"/>
    <n v="0.87678502879078701"/>
    <n v="0.99798464491362704"/>
    <n v="0.91374280230326199"/>
    <n v="0.99798464491362704"/>
    <n v="0.97802303262955803"/>
    <n v="0.99798464491362704"/>
  </r>
  <r>
    <x v="3"/>
    <s v="Bocaiúva"/>
    <s v="HIDROELÉTRICA"/>
    <x v="2"/>
    <n v="0.5"/>
    <n v="1"/>
    <n v="0.5"/>
    <n v="1"/>
    <n v="0.5"/>
    <n v="1"/>
    <n v="0.5"/>
    <n v="1"/>
  </r>
  <r>
    <x v="3"/>
    <s v="Caarapó"/>
    <s v="TÉRMICA"/>
    <x v="1"/>
    <n v="0.5"/>
    <n v="1"/>
    <n v="0.5"/>
    <n v="1"/>
    <n v="0.5"/>
    <n v="1"/>
    <n v="0.5"/>
    <n v="1"/>
  </r>
  <r>
    <x v="3"/>
    <s v="Cachoeira Dourada"/>
    <s v="HIDROELÉTRICA"/>
    <x v="2"/>
    <n v="0.89259135861146499"/>
    <n v="0.89474515277885203"/>
    <n v="0.91813134670559504"/>
    <n v="0.92135414281676398"/>
    <n v="0.93127359659940501"/>
    <n v="0.92406217580581695"/>
    <n v="0.93147255412513097"/>
    <n v="0.92633281804386802"/>
  </r>
  <r>
    <x v="3"/>
    <s v="Caconde"/>
    <s v="HIDROELÉTRICA"/>
    <x v="2"/>
    <n v="0.77631635350432204"/>
    <n v="0.77136529256269204"/>
    <n v="0.79097663785096795"/>
    <n v="0.79137672358362499"/>
    <n v="0.78966207044366599"/>
    <n v="0.79485604058012405"/>
    <n v="0.78763306422804802"/>
    <n v="0.79044080874473099"/>
  </r>
  <r>
    <x v="3"/>
    <s v="Camargos"/>
    <s v="HIDROELÉTRICA"/>
    <x v="2"/>
    <n v="0.71615880457075798"/>
    <n v="0.71871206730567905"/>
    <n v="0.72894604662843698"/>
    <n v="0.72670670963961304"/>
    <n v="0.73566405759491005"/>
    <n v="0.73566405759491005"/>
    <n v="0.73894981373738999"/>
    <n v="0.73518270478422798"/>
  </r>
  <r>
    <x v="3"/>
    <s v="Campos"/>
    <s v="TÉRMICA"/>
    <x v="0"/>
    <n v="1"/>
    <n v="1"/>
    <n v="1"/>
    <n v="1"/>
    <n v="1"/>
    <n v="1"/>
    <n v="1"/>
    <n v="1"/>
  </r>
  <r>
    <x v="3"/>
    <s v="Cana Brava"/>
    <s v="HIDROELÉTRICA"/>
    <x v="2"/>
    <n v="0.83960939228819198"/>
    <n v="0.84049126128080198"/>
    <n v="0.85071655963734905"/>
    <n v="0.85046678804689502"/>
    <n v="0.90263618576871496"/>
    <n v="0.85257341422427302"/>
    <n v="0.99222202503412404"/>
    <n v="0.85233131105984195"/>
  </r>
  <r>
    <x v="3"/>
    <s v="Canoas I"/>
    <s v="HIDROELÉTRICA"/>
    <x v="2"/>
    <n v="0.75341659542306305"/>
    <n v="0.78141842917146698"/>
    <n v="0.80397477356924196"/>
    <n v="0.79423608271692103"/>
    <n v="0.81614194203868196"/>
    <n v="0.80154010085616201"/>
    <n v="0.85140442825459295"/>
    <n v="0.80234546333122703"/>
  </r>
  <r>
    <x v="3"/>
    <s v="Canoas II"/>
    <s v="HIDROELÉTRICA"/>
    <x v="2"/>
    <n v="0.801496128003644"/>
    <n v="0.81895569980640004"/>
    <n v="0.84223750142352805"/>
    <n v="0.84050079717572002"/>
    <n v="0.84018050335952599"/>
    <n v="0.84140473750142297"/>
    <n v="0.83822315226056199"/>
    <n v="0.84173214895797699"/>
  </r>
  <r>
    <x v="3"/>
    <s v="Capivara"/>
    <s v="HIDROELÉTRICA"/>
    <x v="2"/>
    <n v="0.80557572975498504"/>
    <n v="0.85002828031116495"/>
    <n v="0.858277933979818"/>
    <n v="0.91313190101071295"/>
    <n v="0.87971604928151603"/>
    <n v="0.93679555384325297"/>
    <n v="0.88984613871287699"/>
    <n v="0.93662259309960405"/>
  </r>
  <r>
    <x v="3"/>
    <s v="Caramuru Itumbiara"/>
    <s v="TÉRMICA"/>
    <x v="1"/>
    <n v="1"/>
    <n v="0.5"/>
    <n v="1"/>
    <n v="0.5"/>
    <n v="1"/>
    <n v="0.5"/>
    <n v="1"/>
    <n v="0.5"/>
  </r>
  <r>
    <x v="3"/>
    <s v="Caçu"/>
    <s v="HIDROELÉTRICA"/>
    <x v="2"/>
    <n v="0.88760441760785902"/>
    <n v="0.87749116165566399"/>
    <n v="0.96912054563088501"/>
    <n v="0.99410255608046805"/>
    <n v="0.98962081156337001"/>
    <n v="0.99232706566967999"/>
    <n v="0.99053593217157299"/>
    <n v="0.99232706566967999"/>
  </r>
  <r>
    <x v="3"/>
    <s v="Caçú I"/>
    <s v="TÉRMICA"/>
    <x v="1"/>
    <n v="0.72386462648465999"/>
    <n v="0.80726547333343501"/>
    <n v="0.82245219278802795"/>
    <n v="0.91515461868876002"/>
    <n v="0.86681239395282705"/>
    <n v="0.91345022088384098"/>
    <n v="0.84134578639233204"/>
    <n v="0.91015607086626205"/>
  </r>
  <r>
    <x v="3"/>
    <s v="Chavantes"/>
    <s v="HIDROELÉTRICA"/>
    <x v="2"/>
    <n v="0.73447658202900801"/>
    <n v="0.80844513853200395"/>
    <n v="0.88565808315412897"/>
    <n v="0.81371648962444398"/>
    <n v="0.88984048736921395"/>
    <n v="0.88030440618092698"/>
    <n v="0.89779616111923199"/>
    <n v="0.90247501534255004"/>
  </r>
  <r>
    <x v="3"/>
    <s v="Codora"/>
    <s v="TÉRMICA"/>
    <x v="1"/>
    <n v="0.77781173594132003"/>
    <n v="0.90198218651763795"/>
    <n v="0.89262428687856499"/>
    <n v="0.96857899639073197"/>
    <n v="0.94082547444405595"/>
    <n v="0.98030911631156104"/>
    <n v="0.97978519035976197"/>
    <n v="0.98030911631156104"/>
  </r>
  <r>
    <x v="3"/>
    <s v="Colíder"/>
    <s v="HIDROELÉTRICA"/>
    <x v="2"/>
    <n v="0.68236298525708705"/>
    <n v="0.78727917189877195"/>
    <n v="0.81250955067004105"/>
    <n v="0.91384631227867297"/>
    <n v="0.92291197438094996"/>
    <n v="0.91692245852517695"/>
    <n v="0.99270328808807196"/>
    <n v="0.96919701288260796"/>
  </r>
  <r>
    <x v="3"/>
    <s v="Conj. Bio Ipê"/>
    <s v="TÉRMICA"/>
    <x v="1"/>
    <n v="0.90952749644262099"/>
    <n v="0.86511258056415796"/>
    <n v="0.93075667531597805"/>
    <n v="0.98203523897212597"/>
    <n v="0.92984640495521798"/>
    <n v="0.98238051393655301"/>
    <n v="0.93055788063949096"/>
    <n v="0.98153302084205196"/>
  </r>
  <r>
    <x v="3"/>
    <s v="Conj. Bracell"/>
    <s v="TÉRMICA"/>
    <x v="1"/>
    <n v="0.82702658937072904"/>
    <n v="0.662496356511319"/>
    <n v="0.88474916604592402"/>
    <n v="0.75467500080966399"/>
    <n v="0.88474916604592402"/>
    <n v="0.75467500080966399"/>
    <n v="0.88474916604592402"/>
    <n v="0.75467500080966399"/>
  </r>
  <r>
    <x v="3"/>
    <s v="Conj. Cachoeira Dourada"/>
    <s v="TÉRMICA"/>
    <x v="1"/>
    <n v="0.75982863296552305"/>
    <n v="0.91254506578433903"/>
    <n v="0.849593432491064"/>
    <n v="0.96541444914394503"/>
    <n v="0.96661620339300403"/>
    <n v="0.97828258392770695"/>
    <n v="0.96876219312346801"/>
    <n v="0.97811090474926998"/>
  </r>
  <r>
    <x v="3"/>
    <s v="Conj. Chapadão"/>
    <s v="TÉRMICA"/>
    <x v="1"/>
    <n v="0.56195290405740705"/>
    <n v="0.57959704880817198"/>
    <n v="0.59299669097135299"/>
    <n v="0.62373987571903999"/>
    <n v="0.59841233959868401"/>
    <n v="0.613230823986609"/>
    <n v="0.60959714500086504"/>
    <n v="0.66067306027434103"/>
  </r>
  <r>
    <x v="3"/>
    <s v="Conj. Da Mata"/>
    <s v="TÉRMICA"/>
    <x v="1"/>
    <n v="0.76966754876360299"/>
    <n v="0.84116997599060594"/>
    <n v="0.84245807118697502"/>
    <n v="0.91060444086153403"/>
    <n v="0.93379891694852801"/>
    <n v="0.88406266977445103"/>
    <n v="0.94617164087555405"/>
    <n v="0.89297418552075802"/>
  </r>
  <r>
    <x v="3"/>
    <s v="Conj. Edéia"/>
    <s v="TÉRMICA"/>
    <x v="1"/>
    <n v="0.73792751129275103"/>
    <n v="0.87941851294185103"/>
    <n v="0.84019860901985999"/>
    <n v="0.91361941636194099"/>
    <n v="0.88747580124757997"/>
    <n v="0.92036817953681804"/>
    <n v="0.91120850362085004"/>
    <n v="0.924078654907865"/>
  </r>
  <r>
    <x v="3"/>
    <s v="Conj. Fazenda"/>
    <s v="HIDROELÉTRICA"/>
    <x v="2"/>
    <n v="0.87600204372874702"/>
    <n v="0.90410331401187405"/>
    <n v="0.87679486953610797"/>
    <n v="0.98527105833436102"/>
    <n v="0.87782554308567795"/>
    <n v="0.98496273718705396"/>
    <n v="0.95336422417590105"/>
    <n v="0.99139343540231495"/>
  </r>
  <r>
    <x v="3"/>
    <s v="Conj. Fíbria"/>
    <s v="TÉRMICA"/>
    <x v="8"/>
    <n v="0.71059440854003397"/>
    <n v="0.71019424486406402"/>
    <n v="0.73819065843472798"/>
    <n v="0.83795778122780995"/>
    <n v="0.74649480689846004"/>
    <n v="0.83858059236258997"/>
    <n v="0.753144143168333"/>
    <n v="0.85886858985931003"/>
  </r>
  <r>
    <x v="3"/>
    <s v="Conj. Guarani Tanabi"/>
    <s v="TÉRMICA"/>
    <x v="1"/>
    <n v="0.77311938787828105"/>
    <n v="0.84215022610988799"/>
    <n v="0.74858623283282699"/>
    <n v="0.92548588089998196"/>
    <n v="0.77204223194138699"/>
    <n v="0.89226583465656295"/>
    <n v="0.79967685321893101"/>
    <n v="0.87538420109387005"/>
  </r>
  <r>
    <x v="3"/>
    <s v="Conj. Interlagos"/>
    <s v="TÉRMICA"/>
    <x v="1"/>
    <n v="0.71116518861935596"/>
    <n v="0.68754208106496295"/>
    <n v="0.81833484023623104"/>
    <n v="0.796221841755958"/>
    <n v="0.83691783852413204"/>
    <n v="0.79672200527095305"/>
    <n v="0.86496546948040698"/>
    <n v="0.79672200527095305"/>
  </r>
  <r>
    <x v="3"/>
    <s v="Conj. Ivinhema 2"/>
    <s v="TÉRMICA"/>
    <x v="1"/>
    <n v="0.78238557378753004"/>
    <n v="0.89249197749801801"/>
    <n v="0.87450468358212796"/>
    <n v="0.92881734679294803"/>
    <n v="0.91993088305985304"/>
    <n v="0.93129880084707195"/>
    <n v="0.94060100557352699"/>
    <n v="0.92971378830988205"/>
  </r>
  <r>
    <x v="3"/>
    <s v="Conj. Jataí"/>
    <s v="TÉRMICA"/>
    <x v="1"/>
    <n v="0.60502234573149805"/>
    <n v="0.65159323510198097"/>
    <n v="0.65661713622082296"/>
    <n v="0.68103412519831097"/>
    <n v="0.68666981200551602"/>
    <n v="0.71442310683437105"/>
    <n v="0.75074399361254196"/>
    <n v="0.77348375657151103"/>
  </r>
  <r>
    <x v="3"/>
    <s v="Conj. Parecis"/>
    <s v="HIDROELÉTRICA"/>
    <x v="2"/>
    <n v="0.72942332200509696"/>
    <n v="0.93110463572642299"/>
    <n v="0.86689544392523299"/>
    <n v="0.98359839634664403"/>
    <n v="0.92190486937128202"/>
    <n v="0.99039533772302402"/>
    <n v="0.92190486937128202"/>
    <n v="0.99039533772302402"/>
  </r>
  <r>
    <x v="3"/>
    <s v="Conj. Quirinópolis"/>
    <s v="TÉRMICA"/>
    <x v="1"/>
    <n v="0.797325951906104"/>
    <n v="0.79151479723998797"/>
    <n v="0.79537170758544795"/>
    <n v="0.80809435389588002"/>
    <n v="0.79278133094926995"/>
    <n v="0.82755656419778501"/>
    <n v="0.80836370721866901"/>
    <n v="0.82059349425761596"/>
  </r>
  <r>
    <x v="3"/>
    <s v="Conj. Rio Brilhante"/>
    <s v="TÉRMICA"/>
    <x v="1"/>
    <n v="0.66116625587335098"/>
    <n v="0.86629236073361904"/>
    <n v="0.73607336197716899"/>
    <n v="0.852460664368209"/>
    <n v="0.755039354247801"/>
    <n v="0.86577483562061996"/>
    <n v="0.81585041662633195"/>
    <n v="0.88693379401755801"/>
  </r>
  <r>
    <x v="3"/>
    <s v="Conj. Rio Vermelho"/>
    <s v="TÉRMICA"/>
    <x v="1"/>
    <n v="0.63700554965167"/>
    <n v="0.65546109339945602"/>
    <n v="0.650702562285984"/>
    <n v="0.68488605502420596"/>
    <n v="0.72149014051245697"/>
    <n v="0.71373833982760604"/>
    <n v="0.72154917936001794"/>
    <n v="0.772393434880151"/>
  </r>
  <r>
    <x v="3"/>
    <s v="Conj. Santa Cabeça"/>
    <s v="HIDROELÉTRICA"/>
    <x v="2"/>
    <n v="0.83430000000000004"/>
    <n v="0.98253333333333304"/>
    <n v="0.96586666666666599"/>
    <n v="0.98253333333333304"/>
    <n v="0.96586666666666599"/>
    <n v="0.98253333333333304"/>
    <n v="0.96586666666666599"/>
    <n v="0.98253333333333304"/>
  </r>
  <r>
    <x v="3"/>
    <s v="Conj. Viralcool Castilho"/>
    <s v="TÉRMICA"/>
    <x v="1"/>
    <n v="0.88886216021169095"/>
    <n v="0.91775920134712496"/>
    <n v="0.96313447197498203"/>
    <n v="0.90678373827279202"/>
    <n v="0.963705797450084"/>
    <n v="1"/>
    <n v="1"/>
    <n v="1"/>
  </r>
  <r>
    <x v="3"/>
    <s v="Conj. Votuporanga 2"/>
    <s v="TÉRMICA"/>
    <x v="1"/>
    <n v="0.73964978379072599"/>
    <n v="0.91644903026929803"/>
    <n v="0.81939033266258499"/>
    <n v="0.92588945498137598"/>
    <n v="0.90659117181144799"/>
    <n v="0.93591856830928599"/>
    <n v="0.94285439054673104"/>
    <n v="0.94754249261463297"/>
  </r>
  <r>
    <x v="3"/>
    <s v="Corumbá"/>
    <s v="HIDROELÉTRICA"/>
    <x v="2"/>
    <n v="0.87115477322770996"/>
    <n v="0.86914828471290195"/>
    <n v="0.89012651300960199"/>
    <n v="0.99059556227280399"/>
    <n v="0.89151411707990702"/>
    <n v="0.99059556227280399"/>
    <n v="0.89269586064025197"/>
    <n v="0.98988417089028102"/>
  </r>
  <r>
    <x v="3"/>
    <s v="Corumbá III"/>
    <s v="HIDROELÉTRICA"/>
    <x v="2"/>
    <n v="0.99110937499999996"/>
    <n v="0.97958854166666598"/>
    <n v="1"/>
    <n v="0.996"/>
    <n v="1"/>
    <n v="1"/>
    <n v="1"/>
    <n v="1"/>
  </r>
  <r>
    <x v="3"/>
    <s v="Corumbá IV"/>
    <s v="HIDROELÉTRICA"/>
    <x v="2"/>
    <n v="0.96801595565491605"/>
    <n v="0.96821884666033697"/>
    <n v="0.99926882675405004"/>
    <n v="0.99605319572474105"/>
    <n v="0.99926882675405004"/>
    <n v="0.99603788319603004"/>
    <n v="0.99926882675405004"/>
    <n v="0.99615272716136305"/>
  </r>
  <r>
    <x v="3"/>
    <s v="Cubatão"/>
    <s v="TÉRMICA"/>
    <x v="0"/>
    <n v="0.74319066147859902"/>
    <n v="0.90008555100055498"/>
    <n v="0.88541377153974399"/>
    <n v="0.97410453724291202"/>
    <n v="0.89909324624791498"/>
    <n v="0.97410453724291202"/>
    <n v="0.89909324624791498"/>
    <n v="0.971257903696498"/>
  </r>
  <r>
    <x v="3"/>
    <s v="Cuiabá"/>
    <s v="TÉRMICA"/>
    <x v="0"/>
    <n v="0.60340758800488403"/>
    <n v="0.80691109298876396"/>
    <n v="0.62265647777641597"/>
    <n v="0.92493123132893595"/>
    <n v="0.65299286326971195"/>
    <n v="1"/>
    <n v="0.71463853665338395"/>
    <n v="1"/>
  </r>
  <r>
    <x v="3"/>
    <s v="Da Pedra"/>
    <s v="TÉRMICA"/>
    <x v="1"/>
    <n v="0.79137144718625296"/>
    <n v="0.91074191709422503"/>
    <n v="0.80482938350028499"/>
    <n v="0.97803159866438605"/>
    <n v="0.90875682058799501"/>
    <n v="0.98886309960094398"/>
    <n v="0.90040923527974503"/>
    <n v="0.981146673181855"/>
  </r>
  <r>
    <x v="3"/>
    <s v="Dardanelos"/>
    <s v="HIDROELÉTRICA"/>
    <x v="2"/>
    <n v="0.77508874015808304"/>
    <n v="0.95712872881161004"/>
    <n v="0.90914196125332503"/>
    <n v="0.99274362335840205"/>
    <n v="0.98911351840352002"/>
    <n v="0.99306370125041199"/>
    <n v="0.99253279360917501"/>
    <n v="0.99309628402983796"/>
  </r>
  <r>
    <x v="3"/>
    <s v="Decasa"/>
    <s v="TÉRMICA"/>
    <x v="1"/>
    <n v="1"/>
    <n v="1"/>
    <n v="1"/>
    <n v="1"/>
    <n v="1"/>
    <n v="0.99643370562866296"/>
    <n v="1"/>
    <n v="0.99930194625677304"/>
  </r>
  <r>
    <x v="3"/>
    <s v="Do Atlântico"/>
    <s v="TÉRMICA"/>
    <x v="8"/>
    <n v="0.64189217856599101"/>
    <n v="0.76119531497625204"/>
    <n v="0.75021401064687299"/>
    <n v="0.84442736241548699"/>
    <n v="0.84549180021014203"/>
    <n v="0.88607271120916598"/>
    <n v="0.82279419288661004"/>
    <n v="0.89643631717001804"/>
  </r>
  <r>
    <x v="3"/>
    <s v="Eldorado"/>
    <s v="TÉRMICA"/>
    <x v="1"/>
    <n v="0.70893236299982099"/>
    <n v="0.85117590806684196"/>
    <n v="0.73029482794949496"/>
    <n v="0.95227482697700006"/>
    <n v="0.80460962445499695"/>
    <n v="0.96312624600871999"/>
    <n v="0.91371541566040404"/>
    <n v="0.96326401607857703"/>
  </r>
  <r>
    <x v="3"/>
    <s v="Eldorado Brasil"/>
    <s v="TÉRMICA"/>
    <x v="8"/>
    <n v="0.5"/>
    <n v="1"/>
    <n v="0.5"/>
    <n v="1"/>
    <n v="0.5"/>
    <n v="1"/>
    <n v="0.5"/>
    <n v="1"/>
  </r>
  <r>
    <x v="3"/>
    <s v="Eng. J.L.M. Godoy Pereira"/>
    <s v="HIDROELÉTRICA"/>
    <x v="2"/>
    <n v="0.94342577343841905"/>
    <n v="0.74316992118574199"/>
    <n v="0.987927890836372"/>
    <n v="0.85149541230443404"/>
    <n v="0.952343841900952"/>
    <n v="0.85131896247500205"/>
    <n v="0.952343841900952"/>
    <n v="0.85132631455122898"/>
  </r>
  <r>
    <x v="3"/>
    <s v="Espora"/>
    <s v="HIDROELÉTRICA"/>
    <x v="2"/>
    <n v="0.85157800099206304"/>
    <n v="0.90490141369047605"/>
    <n v="0.9931640625"/>
    <n v="0.98494853670634896"/>
    <n v="0.993985615079365"/>
    <n v="0.98479352678571397"/>
    <n v="0.99145895337301504"/>
    <n v="0.984452504960317"/>
  </r>
  <r>
    <x v="3"/>
    <s v="Euclides da Cunha"/>
    <s v="HIDROELÉTRICA"/>
    <x v="2"/>
    <n v="0.78441971044158698"/>
    <n v="0.73986652167423606"/>
    <n v="0.83081728821510004"/>
    <n v="0.79024606068359604"/>
    <n v="0.83299750527729799"/>
    <n v="0.80152561888313101"/>
    <n v="0.83302948890168205"/>
    <n v="0.79439860124949302"/>
  </r>
  <r>
    <x v="3"/>
    <s v="Fontes Nova"/>
    <s v="HIDROELÉTRICA"/>
    <x v="2"/>
    <n v="0.66346944474610903"/>
    <n v="0.66364397970740097"/>
    <n v="0.77233659649068298"/>
    <n v="0.66628527545495397"/>
    <n v="0.79166731309244898"/>
    <n v="0.69630916735187798"/>
    <n v="0.79165567742836296"/>
    <n v="0.78990257070605197"/>
  </r>
  <r>
    <x v="3"/>
    <s v="Funil (MG)"/>
    <s v="HIDROELÉTRICA"/>
    <x v="2"/>
    <n v="0.68391353874364402"/>
    <n v="0.64012169032867505"/>
    <n v="0.69262078737532295"/>
    <n v="0.72208484983191101"/>
    <n v="0.69413219237073798"/>
    <n v="0.72228488872836305"/>
    <n v="0.70909065651654402"/>
    <n v="0.722334898452476"/>
  </r>
  <r>
    <x v="3"/>
    <s v="Funil (RJ)"/>
    <s v="HIDROELÉTRICA"/>
    <x v="2"/>
    <n v="0.67246929920585896"/>
    <n v="0.62146716955595704"/>
    <n v="0.69383794757478601"/>
    <n v="0.670180423143522"/>
    <n v="0.70759359512767905"/>
    <n v="0.67059092808948495"/>
    <n v="0.70778516410246195"/>
    <n v="0.68153026292219798"/>
  </r>
  <r>
    <x v="3"/>
    <s v="Furnas"/>
    <s v="HIDROELÉTRICA"/>
    <x v="2"/>
    <n v="0.84206273042007396"/>
    <n v="0.83230456413441301"/>
    <n v="0.94264563539780899"/>
    <n v="0.94112601913395"/>
    <n v="0.94399594658879105"/>
    <n v="0.94634433183133504"/>
    <n v="0.94428211345587099"/>
    <n v="0.94629601794468599"/>
  </r>
  <r>
    <x v="3"/>
    <s v="GNA I"/>
    <s v="TÉRMICA"/>
    <x v="0"/>
    <n v="0.77644888932595002"/>
    <n v="0.93449119276107995"/>
    <n v="0.86545808511409095"/>
    <n v="0.98964041266810898"/>
    <n v="0.97573027659824596"/>
    <n v="0.99087112661528798"/>
    <n v="0.99055134062420702"/>
    <n v="0.99126817881693197"/>
  </r>
  <r>
    <x v="3"/>
    <s v="Gasa"/>
    <s v="TÉRMICA"/>
    <x v="1"/>
    <n v="0.796381619363558"/>
    <n v="0.86779702666175196"/>
    <n v="0.90172830405045601"/>
    <n v="0.97345087439079303"/>
    <n v="0.93754351476430298"/>
    <n v="0.97345087439079303"/>
    <n v="0.90172830405045601"/>
    <n v="0.95854322807879699"/>
  </r>
  <r>
    <x v="3"/>
    <s v="Guaporé"/>
    <s v="HIDROELÉTRICA"/>
    <x v="2"/>
    <n v="0.72874605637175704"/>
    <n v="0.75854582938536597"/>
    <n v="0.77066565321060798"/>
    <n v="0.79765933299320002"/>
    <n v="0.83194677273247797"/>
    <n v="0.79748232525692098"/>
    <n v="0.86782207598837902"/>
    <n v="0.79764371466352901"/>
  </r>
  <r>
    <x v="3"/>
    <s v="Guilman Amorim"/>
    <s v="HIDROELÉTRICA"/>
    <x v="2"/>
    <n v="0.81294005845848105"/>
    <n v="0.78815279837583296"/>
    <n v="0.98969417287008099"/>
    <n v="0.97191185152121595"/>
    <n v="0.99004333990871196"/>
    <n v="0.97230421448215298"/>
    <n v="0.99023412189889204"/>
    <n v="0.97234381074426501"/>
  </r>
  <r>
    <x v="3"/>
    <s v="Henry Borden Externa"/>
    <s v="HIDROELÉTRICA"/>
    <x v="2"/>
    <n v="0.95571945944915004"/>
    <n v="0.951671897416553"/>
    <n v="0.97905439626691804"/>
    <n v="0.97963080300663896"/>
    <n v="0.97924088080035698"/>
    <n v="0.983001299034306"/>
    <n v="0.98149776748345396"/>
    <n v="0.97933200392465103"/>
  </r>
  <r>
    <x v="3"/>
    <s v="Henry Borden Subterrânea"/>
    <s v="HIDROELÉTRICA"/>
    <x v="2"/>
    <n v="0.93270694113485397"/>
    <n v="0.93011563530866703"/>
    <n v="0.96464444267729799"/>
    <n v="0.96454161308102104"/>
    <n v="0.97844143237514403"/>
    <n v="0.97868548128364197"/>
    <n v="0.97861829928074096"/>
    <n v="0.97920374244887998"/>
  </r>
  <r>
    <x v="3"/>
    <s v="Ibirité"/>
    <s v="TÉRMICA"/>
    <x v="0"/>
    <n v="0.90506099695015196"/>
    <n v="0.95701673249670804"/>
    <n v="0.97980517640784603"/>
    <n v="0.99513565988367203"/>
    <n v="0.99007966268353198"/>
    <n v="0.99529190207156304"/>
    <n v="0.99625227071979705"/>
    <n v="0.99529190207156304"/>
  </r>
  <r>
    <x v="3"/>
    <s v="Ibitinga"/>
    <s v="HIDROELÉTRICA"/>
    <x v="2"/>
    <n v="0.82176800100704905"/>
    <n v="0.88442535246727005"/>
    <n v="0.91344489551862995"/>
    <n v="0.91672567346424905"/>
    <n v="0.91599005538771405"/>
    <n v="0.91800022029204398"/>
    <n v="0.91608840005035197"/>
    <n v="0.91806316087613304"/>
  </r>
  <r>
    <x v="3"/>
    <s v="Igarapava"/>
    <s v="HIDROELÉTRICA"/>
    <x v="2"/>
    <n v="0.83894410903897998"/>
    <n v="0.84205230440048795"/>
    <n v="0.89551844887148202"/>
    <n v="0.894330783623415"/>
    <n v="0.91471668056988997"/>
    <n v="0.89478558400610797"/>
    <n v="0.91450695396854498"/>
    <n v="0.90991889000428805"/>
  </r>
  <r>
    <x v="3"/>
    <s v="Ilha Solteira"/>
    <s v="HIDROELÉTRICA"/>
    <x v="2"/>
    <n v="0.67299981585562496"/>
    <n v="0.67438594580771705"/>
    <n v="0.76008679868370399"/>
    <n v="0.72678924401087197"/>
    <n v="0.85927286219699495"/>
    <n v="0.79066883561413304"/>
    <n v="0.86049595402386003"/>
    <n v="0.862874383559883"/>
  </r>
  <r>
    <x v="3"/>
    <s v="Ilha dos Pombos"/>
    <s v="HIDROELÉTRICA"/>
    <x v="2"/>
    <n v="0.86481172313955601"/>
    <n v="0.77864087901360501"/>
    <n v="0.97257519704037299"/>
    <n v="0.81846216991230902"/>
    <n v="0.89898942277293004"/>
    <n v="0.85184394291514298"/>
    <n v="0.898287787102105"/>
    <n v="0.86556605081728"/>
  </r>
  <r>
    <x v="3"/>
    <s v="Ipaussu Bioenergia"/>
    <s v="TÉRMICA"/>
    <x v="1"/>
    <n v="0.75813802742722802"/>
    <n v="0.81994044604695404"/>
    <n v="0.85999756922640602"/>
    <n v="0.92946705288958198"/>
    <n v="0.87468349302165405"/>
    <n v="0.94768772661899603"/>
    <n v="0.88178337755990799"/>
    <n v="0.97659367593736701"/>
  </r>
  <r>
    <x v="3"/>
    <s v="Irapé"/>
    <s v="HIDROELÉTRICA"/>
    <x v="2"/>
    <n v="0.64627817149424904"/>
    <n v="0.60085159728526305"/>
    <n v="0.71253950938435195"/>
    <n v="0.69147843289825295"/>
    <n v="0.85374217122979301"/>
    <n v="0.85031696506899901"/>
    <n v="0.88620407312192095"/>
    <n v="0.88823453126549501"/>
  </r>
  <r>
    <x v="3"/>
    <s v="Itaipu 50 Hz"/>
    <s v="HIDROELÉTRICA"/>
    <x v="2"/>
    <n v="0.639928517041638"/>
    <n v="0.65035163860589995"/>
    <n v="0.70492596441633204"/>
    <n v="0.65029848352085995"/>
    <n v="0.79422048304033799"/>
    <n v="0.68798886436405104"/>
    <n v="0.79608150162878999"/>
    <n v="0.70188632040892995"/>
  </r>
  <r>
    <x v="3"/>
    <s v="Itaipu 60 Hz"/>
    <s v="HIDROELÉTRICA"/>
    <x v="2"/>
    <n v="0.47299059532704602"/>
    <n v="0.468445081810974"/>
    <n v="0.52732604448725195"/>
    <n v="0.51848564905958205"/>
    <n v="0.566368403652036"/>
    <n v="0.56127892831180504"/>
    <n v="0.57961196011735405"/>
    <n v="0.58142226734921698"/>
  </r>
  <r>
    <x v="3"/>
    <s v="Itiquira I"/>
    <s v="HIDROELÉTRICA"/>
    <x v="2"/>
    <n v="0.87142225569819198"/>
    <n v="0.95451270631385898"/>
    <n v="0.99959064710505596"/>
    <n v="0.99941871888917999"/>
    <n v="0.99948421535237097"/>
    <n v="0.99928772596279802"/>
    <n v="0.99948421535237097"/>
    <n v="1"/>
  </r>
  <r>
    <x v="3"/>
    <s v="Itiquira II"/>
    <s v="HIDROELÉTRICA"/>
    <x v="2"/>
    <n v="0.795402597402597"/>
    <n v="0.94636883116883097"/>
    <n v="0.99324675324675304"/>
    <n v="0.99684155844155797"/>
    <n v="0.99661818181818096"/>
    <n v="0.99995324675324604"/>
    <n v="0.99732467532467495"/>
    <n v="0.99995324675324604"/>
  </r>
  <r>
    <x v="3"/>
    <s v="Ituiutaba"/>
    <s v="TÉRMICA"/>
    <x v="1"/>
    <n v="0.723948275862069"/>
    <n v="0.93067241379310295"/>
    <n v="0.84434482758620599"/>
    <n v="0.93067241379310295"/>
    <n v="0.84434482758620599"/>
    <n v="0.93067241379310295"/>
    <n v="0.83572413793103395"/>
    <n v="0.91343103448275798"/>
  </r>
  <r>
    <x v="3"/>
    <s v="Itumbiara"/>
    <s v="HIDROELÉTRICA"/>
    <x v="2"/>
    <n v="0.78907057211911302"/>
    <n v="0.75514059885569496"/>
    <n v="0.88944853600214102"/>
    <n v="0.87007461803014596"/>
    <n v="0.893245530074256"/>
    <n v="0.90372381676478297"/>
    <n v="0.89387911527256503"/>
    <n v="0.90395276331111396"/>
  </r>
  <r>
    <x v="3"/>
    <s v="Itutinga"/>
    <s v="HIDROELÉTRICA"/>
    <x v="2"/>
    <n v="0.62403921568627396"/>
    <n v="0.584372549019607"/>
    <n v="0.65226470588235297"/>
    <n v="0.62801960784313704"/>
    <n v="0.65476470588235203"/>
    <n v="0.65375490196078401"/>
    <n v="0.67853921568627396"/>
    <n v="0.67227450980392101"/>
  </r>
  <r>
    <x v="3"/>
    <s v="Jaguara"/>
    <s v="HIDROELÉTRICA"/>
    <x v="2"/>
    <n v="0.88435897498719795"/>
    <n v="0.86485393886086204"/>
    <n v="0.89715325945544599"/>
    <n v="0.90042165767081295"/>
    <n v="0.98914127369527405"/>
    <n v="0.99324147190623002"/>
    <n v="0.99087225071113305"/>
    <n v="0.99341175202314802"/>
  </r>
  <r>
    <x v="3"/>
    <s v="Jaguari"/>
    <s v="HIDROELÉTRICA"/>
    <x v="2"/>
    <n v="0.74348419820522804"/>
    <n v="0.73581740148263697"/>
    <n v="0.89319157237612101"/>
    <n v="0.89451814280140396"/>
    <n v="0.89832227857978897"/>
    <n v="0.89451814280140396"/>
    <n v="0.89832227857978897"/>
    <n v="0.89451814280140396"/>
  </r>
  <r>
    <x v="3"/>
    <s v="Jauru"/>
    <s v="HIDROELÉTRICA"/>
    <x v="2"/>
    <n v="0.78986621363346698"/>
    <n v="0.72710554257804205"/>
    <n v="0.83951582076873998"/>
    <n v="0.76794648545338695"/>
    <n v="0.84044595455510696"/>
    <n v="0.78294754724994697"/>
    <n v="0.84044595455510696"/>
    <n v="0.78291781694627305"/>
  </r>
  <r>
    <x v="3"/>
    <s v="Jirau"/>
    <s v="HIDROELÉTRICA"/>
    <x v="2"/>
    <n v="0.67019169551135005"/>
    <n v="0.68369698486175401"/>
    <n v="0.76111277923738796"/>
    <n v="0.736765642159111"/>
    <n v="0.86062763251178098"/>
    <n v="0.77892558766698605"/>
    <n v="0.91984875655087095"/>
    <n v="0.86037463335974496"/>
  </r>
  <r>
    <x v="3"/>
    <s v="Juiz de Fora"/>
    <s v="TÉRMICA"/>
    <x v="0"/>
    <n v="0.964768883878241"/>
    <n v="0.98648816234498204"/>
    <n v="0.99887260428410296"/>
    <n v="0.99915445321307705"/>
    <n v="1"/>
    <n v="0.99915445321307705"/>
    <n v="1"/>
    <n v="1"/>
  </r>
  <r>
    <x v="3"/>
    <s v="Jupiá"/>
    <s v="HIDROELÉTRICA"/>
    <x v="2"/>
    <n v="0.59240900532717"/>
    <n v="0.57287641916591503"/>
    <n v="0.633061397794771"/>
    <n v="0.65921874116971602"/>
    <n v="0.66953585801350901"/>
    <n v="0.72045294332854404"/>
    <n v="0.70504586541979297"/>
    <n v="0.752116665328181"/>
  </r>
  <r>
    <x v="3"/>
    <s v="Jurumirim"/>
    <s v="HIDROELÉTRICA"/>
    <x v="2"/>
    <n v="0.71388291884146904"/>
    <n v="0.61935318800532102"/>
    <n v="0.77785282980247605"/>
    <n v="0.63305188824071201"/>
    <n v="0.846182581107358"/>
    <n v="0.66424112168662297"/>
    <n v="0.84626445604339295"/>
    <n v="0.664655613550302"/>
  </r>
  <r>
    <x v="3"/>
    <s v="Karkey 013"/>
    <s v="TÉRMICA"/>
    <x v="0"/>
    <n v="0.87801061018466797"/>
    <n v="0.92041371003846995"/>
    <n v="0.94246411435861399"/>
    <n v="0.980606103827669"/>
    <n v="0.98062789472224499"/>
    <n v="0.98067940047306001"/>
    <n v="0.98066949552098004"/>
    <n v="0.98068534344430802"/>
  </r>
  <r>
    <x v="3"/>
    <s v="Karkey 019"/>
    <s v="TÉRMICA"/>
    <x v="0"/>
    <n v="0.87206144409033204"/>
    <n v="0.928339501730578"/>
    <n v="0.96924796956923998"/>
    <n v="0.999434563585894"/>
    <n v="0.97226363044446695"/>
    <n v="0.999901476988451"/>
    <n v="0.98182036256468197"/>
    <n v="1"/>
  </r>
  <r>
    <x v="3"/>
    <s v="LDC Bioen Rio Brilhante"/>
    <s v="TÉRMICA"/>
    <x v="1"/>
    <n v="0.981235873598021"/>
    <n v="0.501066143545567"/>
    <n v="1"/>
    <n v="0.501066143545567"/>
    <n v="1"/>
    <n v="0.501066143545567"/>
    <n v="1"/>
    <n v="0.501066143545567"/>
  </r>
  <r>
    <x v="3"/>
    <s v="Lajeado"/>
    <s v="HIDROELÉTRICA"/>
    <x v="2"/>
    <n v="0.77581627490121396"/>
    <n v="0.78554702680080901"/>
    <n v="0.82899828280848797"/>
    <n v="0.83053334794772904"/>
    <n v="0.82952085817503796"/>
    <n v="0.83058981265894505"/>
    <n v="0.831777785896886"/>
    <n v="0.83060420562454895"/>
  </r>
  <r>
    <x v="3"/>
    <s v="Limoeiro"/>
    <s v="HIDROELÉTRICA"/>
    <x v="2"/>
    <n v="0.83011347198559904"/>
    <n v="0.81002282297727302"/>
    <n v="0.84324472017744001"/>
    <n v="0.84581632325050604"/>
    <n v="0.84711819730624505"/>
    <n v="0.84607348355781198"/>
    <n v="0.84625028126908597"/>
    <n v="0.84795396830499203"/>
  </r>
  <r>
    <x v="3"/>
    <s v="Luiz Carlos Barreto"/>
    <s v="HIDROELÉTRICA"/>
    <x v="2"/>
    <n v="0.80052724891298899"/>
    <n v="0.82635707312012396"/>
    <n v="0.89236554319050398"/>
    <n v="0.91102211444228498"/>
    <n v="0.93298186493461199"/>
    <n v="0.92987320830778297"/>
    <n v="0.932693323057599"/>
    <n v="0.92927806173962402"/>
  </r>
  <r>
    <x v="3"/>
    <s v="Luiz Oscar Rodrigues de Melo"/>
    <s v="TÉRMICA"/>
    <x v="0"/>
    <n v="0.76605225423502699"/>
    <n v="0.917260654261704"/>
    <n v="0.82085750967053395"/>
    <n v="0.92657062825129999"/>
    <n v="0.91249833266639901"/>
    <n v="0.92809415432839804"/>
    <n v="0.91457207883153202"/>
    <n v="0.92657062825129999"/>
  </r>
  <r>
    <x v="3"/>
    <s v="Manso"/>
    <s v="HIDROELÉTRICA"/>
    <x v="2"/>
    <n v="0.74906534325889096"/>
    <n v="0.76095671353735805"/>
    <n v="0.85161014612627495"/>
    <n v="0.84505100634132801"/>
    <n v="0.85033636614281705"/>
    <n v="0.84762338020402495"/>
    <n v="0.85092638544251398"/>
    <n v="0.84764267990074404"/>
  </r>
  <r>
    <x v="3"/>
    <s v="Marimbondo"/>
    <s v="HIDROELÉTRICA"/>
    <x v="2"/>
    <n v="0.803039409506767"/>
    <n v="0.73567635429593903"/>
    <n v="0.85908467776847797"/>
    <n v="0.86250901901930699"/>
    <n v="0.89011840168547396"/>
    <n v="0.87753614822938597"/>
    <n v="0.88994595803630705"/>
    <n v="0.88820276198447201"/>
  </r>
  <r>
    <x v="3"/>
    <s v="Marlim Azul"/>
    <s v="TÉRMICA"/>
    <x v="0"/>
    <n v="0.76733224798102395"/>
    <n v="0.95442450123665901"/>
    <n v="0.88217165134155895"/>
    <n v="0.98236978730813995"/>
    <n v="0.97710616672837203"/>
    <n v="0.99810147875025501"/>
    <n v="0.98286428193463105"/>
    <n v="0.99832294471972705"/>
  </r>
  <r>
    <x v="3"/>
    <s v="Mascarenhas"/>
    <s v="HIDROELÉTRICA"/>
    <x v="2"/>
    <n v="0.85228032223996497"/>
    <n v="0.90457799115319604"/>
    <n v="0.91816961985275702"/>
    <n v="0.97058973587138897"/>
    <n v="0.92197823502701404"/>
    <n v="0.96337300959679195"/>
    <n v="0.92138130538818297"/>
    <n v="0.965230124028713"/>
  </r>
  <r>
    <x v="3"/>
    <s v="Mascarenhas de Moraes"/>
    <s v="HIDROELÉTRICA"/>
    <x v="2"/>
    <n v="0.70406234917441002"/>
    <n v="0.72139327156423505"/>
    <n v="0.77852402219699401"/>
    <n v="0.78596418479972596"/>
    <n v="0.82066228436897404"/>
    <n v="0.81819242682763704"/>
    <n v="0.82374054259824403"/>
    <n v="0.81901495736663299"/>
  </r>
  <r>
    <x v="3"/>
    <s v="Miranda"/>
    <s v="HIDROELÉTRICA"/>
    <x v="2"/>
    <n v="0.87374990395792496"/>
    <n v="0.87824095531502999"/>
    <n v="0.89108580832728101"/>
    <n v="0.89591393638668604"/>
    <n v="0.89743202079961504"/>
    <n v="0.89942597820402503"/>
    <n v="0.89761419092916594"/>
    <n v="0.89879272013463196"/>
  </r>
  <r>
    <x v="3"/>
    <s v="Nilo Peçanha"/>
    <s v="HIDROELÉTRICA"/>
    <x v="2"/>
    <n v="0.43976211227616102"/>
    <n v="0.44736286299399503"/>
    <n v="0.48475171237454601"/>
    <n v="0.45336753626597998"/>
    <n v="0.48517278808262099"/>
    <n v="0.45474706049053298"/>
    <n v="0.48536394308660502"/>
    <n v="0.45515610546409202"/>
  </r>
  <r>
    <x v="3"/>
    <s v="Norte Fluminense"/>
    <s v="TÉRMICA"/>
    <x v="0"/>
    <n v="0.65970821325648399"/>
    <n v="0.79429034582132496"/>
    <n v="0.80593780019212202"/>
    <n v="0.96141330451488904"/>
    <n v="0.89245917387127705"/>
    <n v="0.99313160422670499"/>
    <n v="0.93505643611911604"/>
    <n v="0.99890129682997097"/>
  </r>
  <r>
    <x v="3"/>
    <s v="Nova Avanhandava"/>
    <s v="HIDROELÉTRICA"/>
    <x v="2"/>
    <n v="0.87890119078595297"/>
    <n v="0.89252228520975396"/>
    <n v="0.905082109559324"/>
    <n v="0.91418768985186005"/>
    <n v="0.92169697961952102"/>
    <n v="0.92164727826618198"/>
    <n v="0.92169113240148104"/>
    <n v="0.921612194957943"/>
  </r>
  <r>
    <x v="3"/>
    <s v="Nova Piratininga"/>
    <s v="TÉRMICA"/>
    <x v="0"/>
    <n v="0.84433764239088704"/>
    <n v="0.90035837706386701"/>
    <n v="0.97492512479201299"/>
    <n v="1"/>
    <n v="0.99714066299756798"/>
    <n v="1"/>
    <n v="0.99993600409573702"/>
    <n v="1"/>
  </r>
  <r>
    <x v="3"/>
    <s v="Nova Ponte"/>
    <s v="HIDROELÉTRICA"/>
    <x v="2"/>
    <n v="0.84142774982589796"/>
    <n v="0.84759563846352404"/>
    <n v="0.96709383485003797"/>
    <n v="0.93603040712368601"/>
    <n v="0.99715764599097001"/>
    <n v="0.96141206112723798"/>
    <n v="0.99733663800186201"/>
    <n v="0.991054311849075"/>
  </r>
  <r>
    <x v="3"/>
    <s v="Onça Pintada"/>
    <s v="TÉRMICA"/>
    <x v="1"/>
    <n v="0.84739196108048698"/>
    <n v="0.88768464209349296"/>
    <n v="0.99739098024599304"/>
    <n v="0.99723404672695504"/>
    <n v="0.99764599721443004"/>
    <n v="0.99723404672695504"/>
    <n v="0.997783314043588"/>
    <n v="0.99756753045491098"/>
  </r>
  <r>
    <x v="3"/>
    <s v="Ourinhos"/>
    <s v="HIDROELÉTRICA"/>
    <x v="2"/>
    <n v="0.92410894978690905"/>
    <n v="0.74716078188614499"/>
    <n v="0.97826242232327798"/>
    <n v="0.83411109259303295"/>
    <n v="0.97826242232327798"/>
    <n v="0.85314635365824598"/>
    <n v="0.98350039284778901"/>
    <n v="0.97298873836337196"/>
  </r>
  <r>
    <x v="3"/>
    <s v="PQU DFDF HID - CARGA GLOBAL"/>
    <s v="HIDROELÉTRICA"/>
    <x v="2"/>
    <n v="0.829059829059829"/>
    <n v="0.829059829059829"/>
    <n v="0.829059829059829"/>
    <n v="0.829059829059829"/>
    <n v="0.829059829059829"/>
    <n v="0.829059829059829"/>
    <n v="0.829059829059829"/>
    <n v="0.829059829059829"/>
  </r>
  <r>
    <x v="3"/>
    <s v="PQU DFGO HID - CARGA GLOBAL"/>
    <s v="HIDROELÉTRICA"/>
    <x v="2"/>
    <n v="0.97509868989595205"/>
    <n v="0.97509868989595205"/>
    <n v="0.97509868989595205"/>
    <n v="0.97509868989595205"/>
    <n v="0.97475301600470099"/>
    <n v="0.97509868989595205"/>
    <n v="0.97473607798402995"/>
    <n v="0.97509868989595205"/>
  </r>
  <r>
    <x v="3"/>
    <s v="PQU ESES HID - CARGA GLOBAL"/>
    <s v="HIDROELÉTRICA"/>
    <x v="2"/>
    <n v="0.98067632850241504"/>
    <n v="0.98067632850241504"/>
    <n v="0.98188405797101397"/>
    <n v="0.98429951690821205"/>
    <n v="0.98067632850241504"/>
    <n v="0.99033816425120702"/>
    <n v="0.98188405797101397"/>
    <n v="0.99045652173913001"/>
  </r>
  <r>
    <x v="3"/>
    <s v="PQU ESES TERM - CARGA GLOBAL"/>
    <s v="TÉRMICA"/>
    <x v="5"/>
    <n v="0.75932633587786202"/>
    <n v="0.75741793893129705"/>
    <n v="0.75954198473282397"/>
    <n v="0.757633587786259"/>
    <n v="0.75954198473282397"/>
    <n v="0.757633587786259"/>
    <n v="0.75954198473282397"/>
    <n v="0.757633587786259"/>
  </r>
  <r>
    <x v="3"/>
    <s v="PQU GOGO HID - CARGA GLOBAL"/>
    <s v="HIDROELÉTRICA"/>
    <x v="2"/>
    <n v="0.68495390070921902"/>
    <n v="0.68318085106382898"/>
    <n v="0.68672695035460896"/>
    <n v="0.68672695035460896"/>
    <n v="0.68318085106382898"/>
    <n v="0.68672695035460896"/>
    <n v="0.68672695035460896"/>
    <n v="0.68672695035460896"/>
  </r>
  <r>
    <x v="3"/>
    <s v="PQU GOGO TERM - CARGA GLOBAL"/>
    <s v="TÉRMICA"/>
    <x v="5"/>
    <n v="0.99939209282985597"/>
    <n v="0.99939209282985597"/>
    <n v="0.99939209282985597"/>
    <n v="0.99939209282985597"/>
    <n v="0.99939209282985597"/>
    <n v="0.99939209282985597"/>
    <n v="0.99939209282985597"/>
    <n v="0.99939209282985597"/>
  </r>
  <r>
    <x v="3"/>
    <s v="PQU MGGO HID - CARGA GLOBAL"/>
    <s v="HIDROELÉTRICA"/>
    <x v="2"/>
    <n v="0.72807608695652104"/>
    <n v="0.64118478260869505"/>
    <n v="0.72807608695652104"/>
    <n v="0.64661956521739095"/>
    <n v="0.72807608695652104"/>
    <n v="0.65217391304347805"/>
    <n v="0.72807608695652104"/>
    <n v="0.65217391304347805"/>
  </r>
  <r>
    <x v="3"/>
    <s v="PQU MGMG HID - CARGA GLOBAL"/>
    <s v="HIDROELÉTRICA"/>
    <x v="2"/>
    <n v="0.67049853157121797"/>
    <n v="0.66976431718061602"/>
    <n v="0.67159985315712101"/>
    <n v="0.67306828193832602"/>
    <n v="0.66939720998531504"/>
    <n v="0.67563803230543296"/>
    <n v="0.67233406754772396"/>
    <n v="0.67710646108663697"/>
  </r>
  <r>
    <x v="3"/>
    <s v="PQU MGMG TERM - CARGA GLOBAL"/>
    <s v="TÉRMICA"/>
    <x v="5"/>
    <n v="0.82290165876777199"/>
    <n v="0.971170616113744"/>
    <n v="0.94865876777251101"/>
    <n v="0.96880094786729798"/>
    <n v="0.94865876777251101"/>
    <n v="0.96761611374407497"/>
    <n v="0.947473933649289"/>
    <n v="0.96287677725118404"/>
  </r>
  <r>
    <x v="3"/>
    <s v="PQU MSGO HID - CARGA GLOBAL"/>
    <s v="HIDROELÉTRICA"/>
    <x v="2"/>
    <n v="0.703595011005135"/>
    <n v="0.703595011005135"/>
    <n v="0.703595011005135"/>
    <n v="0.703595011005135"/>
    <n v="0.703595011005135"/>
    <n v="0.703595011005135"/>
    <n v="0.703595011005135"/>
    <n v="0.703595011005135"/>
  </r>
  <r>
    <x v="3"/>
    <s v="PQU MSMS HID - CARGA GLOBAL"/>
    <s v="HIDROELÉTRICA"/>
    <x v="2"/>
    <n v="0.66207673267326705"/>
    <n v="0.74462376237623695"/>
    <n v="0.72729702970297005"/>
    <n v="0.74709900990098999"/>
    <n v="0.72234653465346499"/>
    <n v="0.74957425742574202"/>
    <n v="0.72234653465346499"/>
    <n v="0.74709900990098999"/>
  </r>
  <r>
    <x v="3"/>
    <s v="PQU MSMS TERM - CARGA GLOBAL"/>
    <s v="TÉRMICA"/>
    <x v="5"/>
    <n v="0.70714634146341404"/>
    <n v="0.768073170731707"/>
    <n v="0.78026829268292597"/>
    <n v="0.768073170731707"/>
    <n v="0.78026829268292597"/>
    <n v="0.768073170731707"/>
    <n v="0.78026829268292597"/>
    <n v="0.768073170731707"/>
  </r>
  <r>
    <x v="3"/>
    <s v="PQU MTGO HID - CARGA GLOBAL"/>
    <s v="HIDROELÉTRICA"/>
    <x v="2"/>
    <n v="0.63254081632653003"/>
    <n v="0.94885714285714196"/>
    <n v="0.63254081632653003"/>
    <n v="0.96428571428571397"/>
    <n v="0.63254081632653003"/>
    <n v="0.96938775510204001"/>
    <n v="0.64274489795918299"/>
    <n v="0.96938775510204001"/>
  </r>
  <r>
    <x v="3"/>
    <s v="PQU MTMS HID - CARGA GLOBAL"/>
    <s v="HIDROELÉTRICA"/>
    <x v="2"/>
    <n v="0.91019831299353904"/>
    <n v="0.91019831299353904"/>
    <n v="0.91019831299353904"/>
    <n v="0.91019831299353904"/>
    <n v="0.91019831299353904"/>
    <n v="0.91019831299353904"/>
    <n v="0.91019831299353904"/>
    <n v="0.91019831299353904"/>
  </r>
  <r>
    <x v="3"/>
    <s v="PQU MTMS TERM - CARGA GLOBAL"/>
    <s v="TÉRMICA"/>
    <x v="5"/>
    <n v="0.96199999999999997"/>
    <n v="0.97960000000000003"/>
    <n v="0.97960000000000003"/>
    <n v="0.97960000000000003"/>
    <n v="0.97960000000000003"/>
    <n v="0.97960000000000003"/>
    <n v="0.97960000000000003"/>
    <n v="0.97960000000000003"/>
  </r>
  <r>
    <x v="3"/>
    <s v="PQU MTMT HID - CARGA GLOBAL"/>
    <s v="HIDROELÉTRICA"/>
    <x v="2"/>
    <n v="0.61718095238095205"/>
    <n v="0.69723809523809499"/>
    <n v="0.67263492063492003"/>
    <n v="0.69842857142857095"/>
    <n v="0.67263492063492003"/>
    <n v="0.69961904761904703"/>
    <n v="0.67184126984126902"/>
    <n v="0.698031746031746"/>
  </r>
  <r>
    <x v="3"/>
    <s v="PQU MTMT TERM - CARGA GLOBAL"/>
    <s v="TÉRMICA"/>
    <x v="5"/>
    <n v="0.71896666666666598"/>
    <n v="0.80668333333333297"/>
    <n v="0.80668333333333297"/>
    <n v="0.80668333333333297"/>
    <n v="0.80668333333333297"/>
    <n v="0.79557222222222201"/>
    <n v="0.80112777777777699"/>
    <n v="0.79557222222222201"/>
  </r>
  <r>
    <x v="3"/>
    <s v="PQU MTPA HID - CARGA GLOBAL"/>
    <s v="HIDROELÉTRICA"/>
    <x v="2"/>
    <n v="0.91774193548387095"/>
    <n v="0.91774193548387095"/>
    <n v="0.91774193548387095"/>
    <n v="0.91774193548387095"/>
    <n v="0.91774193548387095"/>
    <n v="0.91774193548387095"/>
    <n v="0.91774193548386995"/>
    <n v="0.929838709677419"/>
  </r>
  <r>
    <x v="3"/>
    <s v="PQU RJES HID - CARGA GLOBAL"/>
    <s v="HIDROELÉTRICA"/>
    <x v="2"/>
    <n v="0.88855555555555499"/>
    <n v="0.74980555555555495"/>
    <n v="0.88888888888888795"/>
    <n v="0.75"/>
    <n v="0.88888888888888795"/>
    <n v="0.75"/>
    <n v="0.88888888888888795"/>
    <n v="0.75"/>
  </r>
  <r>
    <x v="3"/>
    <s v="PQU RJMG HID - CARGA GLOBAL"/>
    <s v="HIDROELÉTRICA"/>
    <x v="2"/>
    <n v="0.84837931034482705"/>
    <n v="0.84837931034482705"/>
    <n v="0.84837931034482705"/>
    <n v="0.84837931034482705"/>
    <n v="0.84837931034482705"/>
    <n v="0.84837931034482705"/>
    <n v="0.84837931034482705"/>
    <n v="0.84837931034482705"/>
  </r>
  <r>
    <x v="3"/>
    <s v="PQU RJRJ HID - CARGA GLOBAL"/>
    <s v="HIDROELÉTRICA"/>
    <x v="2"/>
    <n v="0.68594105691056895"/>
    <n v="0.68390853658536499"/>
    <n v="0.68594105691056895"/>
    <n v="0.68695731707316998"/>
    <n v="0.68289227642276396"/>
    <n v="0.68797357723577202"/>
    <n v="0.68695731707316998"/>
    <n v="0.69010569105691"/>
  </r>
  <r>
    <x v="3"/>
    <s v="PQU RJRJ TERM - CARGA GLOBAL"/>
    <s v="TÉRMICA"/>
    <x v="5"/>
    <n v="0.67391304347825998"/>
    <n v="0.69554347826086904"/>
    <n v="0.69565217391304301"/>
    <n v="0.69565217391304301"/>
    <n v="0.69565217391304301"/>
    <n v="0.69565217391304301"/>
    <n v="0.69565217391304301"/>
    <n v="0.69565217391304301"/>
  </r>
  <r>
    <x v="3"/>
    <s v="PQU ROMT HID - CARGA GLOBAL"/>
    <s v="HIDROELÉTRICA"/>
    <x v="2"/>
    <n v="0.66649999999999998"/>
    <n v="0.66649999999999998"/>
    <n v="0.66649999999999998"/>
    <n v="0.66649999999999998"/>
    <n v="0.66649999999999998"/>
    <n v="0.66649999999999998"/>
    <n v="0.66649999999999998"/>
    <n v="0.66649999999999998"/>
  </r>
  <r>
    <x v="3"/>
    <s v="PQU RORO HID - CARGA GLOBAL"/>
    <s v="HIDROELÉTRICA"/>
    <x v="2"/>
    <n v="0.74387195902688796"/>
    <n v="0.74387195902688796"/>
    <n v="0.74387195902688796"/>
    <n v="0.74387195902688796"/>
    <n v="0.74387195902688796"/>
    <n v="0.74387195902688796"/>
    <n v="0.73606402048655495"/>
    <n v="0.74387195902688796"/>
  </r>
  <r>
    <x v="3"/>
    <s v="PQU SPMG HID - CARGA GLOBAL"/>
    <s v="HIDROELÉTRICA"/>
    <x v="2"/>
    <n v="0.82499999999999996"/>
    <n v="0.83299999999999996"/>
    <n v="0.83333333333333304"/>
    <n v="0.83333333333333304"/>
    <n v="0.83333333333333304"/>
    <n v="0.83333333333333304"/>
    <n v="0.83333333333333304"/>
    <n v="0.83333333333333304"/>
  </r>
  <r>
    <x v="3"/>
    <s v="PQU SPSP HID - CARGA GLOBAL"/>
    <s v="HIDROELÉTRICA"/>
    <x v="2"/>
    <n v="0.91123655913978496"/>
    <n v="0.91123655913978496"/>
    <n v="0.91123655913978496"/>
    <n v="0.91258064516129"/>
    <n v="0.91123655913978496"/>
    <n v="0.91392473118279505"/>
    <n v="0.91258064516129"/>
    <n v="0.91661290322580602"/>
  </r>
  <r>
    <x v="3"/>
    <s v="PQU SPSP TERM - CARGA GLOBAL"/>
    <s v="TÉRMICA"/>
    <x v="5"/>
    <n v="0.82737684911242604"/>
    <n v="0.97482544378698199"/>
    <n v="0.95522522189349102"/>
    <n v="0.97353106508875698"/>
    <n v="0.95263609467455601"/>
    <n v="0.96909319526627202"/>
    <n v="0.95060207100591698"/>
    <n v="0.96373076923076895"/>
  </r>
  <r>
    <x v="3"/>
    <s v="Palmeiras de Goiás"/>
    <s v="TÉRMICA"/>
    <x v="4"/>
    <n v="0.94234395295892204"/>
    <n v="0.83953238264173002"/>
    <n v="0.99521628001173201"/>
    <n v="0.99508359288796999"/>
    <n v="1"/>
    <n v="0.99508359288796999"/>
    <n v="1"/>
    <n v="1"/>
  </r>
  <r>
    <x v="3"/>
    <s v="Paraibuna"/>
    <s v="HIDROELÉTRICA"/>
    <x v="2"/>
    <n v="0.95062374955866702"/>
    <n v="0.85313051665293604"/>
    <n v="0.98252324349770503"/>
    <n v="0.97477344945274802"/>
    <n v="0.98252324349770503"/>
    <n v="0.97530304813463498"/>
    <n v="0.98252324349770503"/>
    <n v="0.97535012357302497"/>
  </r>
  <r>
    <x v="3"/>
    <s v="Paranapanema"/>
    <s v="HIDROELÉTRICA"/>
    <x v="2"/>
    <n v="0.99995170068027195"/>
    <n v="0.99995170068027195"/>
    <n v="0.72789047619047598"/>
    <n v="0.77683673469387704"/>
    <n v="0.94000884353741498"/>
    <n v="1"/>
    <n v="1"/>
    <n v="1"/>
  </r>
  <r>
    <x v="3"/>
    <s v="Paranatinga II"/>
    <s v="HIDROELÉTRICA"/>
    <x v="2"/>
    <n v="0.5"/>
    <n v="1"/>
    <n v="0.5"/>
    <n v="1"/>
    <n v="0.5"/>
    <n v="1"/>
    <n v="0.5"/>
    <n v="0.999999999999999"/>
  </r>
  <r>
    <x v="3"/>
    <s v="Paulínia Verde"/>
    <s v="TÉRMICA"/>
    <x v="0"/>
    <n v="1"/>
    <n v="0.76879831342234695"/>
    <n v="0.77556219255094805"/>
    <n v="0.82689739985945099"/>
    <n v="0.82580815179198797"/>
    <n v="0.82868938861560004"/>
    <n v="0.82475404075895997"/>
    <n v="0.81410751932536796"/>
  </r>
  <r>
    <x v="3"/>
    <s v="Peixe Angical"/>
    <s v="HIDROELÉTRICA"/>
    <x v="2"/>
    <n v="0.93416888402096099"/>
    <n v="0.90697429853227995"/>
    <n v="0.99233698229489697"/>
    <n v="0.95904392841765196"/>
    <n v="0.99234987965768395"/>
    <n v="0.89631314003162799"/>
    <n v="0.99237567438325802"/>
    <n v="0.89618714271824795"/>
  </r>
  <r>
    <x v="3"/>
    <s v="Pereira Passos"/>
    <s v="HIDROELÉTRICA"/>
    <x v="2"/>
    <n v="0.76156307440942195"/>
    <n v="0.81175028933215299"/>
    <n v="0.79147661515419698"/>
    <n v="0.85235210021104202"/>
    <n v="0.855728776635577"/>
    <n v="0.85570835318946104"/>
    <n v="0.85549050309755503"/>
    <n v="0.85444209953025996"/>
  </r>
  <r>
    <x v="3"/>
    <s v="Picada"/>
    <s v="HIDROELÉTRICA"/>
    <x v="2"/>
    <n v="0.95471356625747505"/>
    <n v="0.97793712621970397"/>
    <n v="0.990183349071451"/>
    <n v="0.99665564998426104"/>
    <n v="0.99401951526597399"/>
    <n v="0.99666548630783702"/>
    <n v="0.999999999999999"/>
    <n v="0.99661630468995899"/>
  </r>
  <r>
    <x v="3"/>
    <s v="Pirajú"/>
    <s v="HIDROELÉTRICA"/>
    <x v="2"/>
    <n v="0.73123975761271298"/>
    <n v="0.63887089192931601"/>
    <n v="0.83511820826505001"/>
    <n v="0.63925200401437998"/>
    <n v="0.85033093232719703"/>
    <n v="0.67381251826162003"/>
    <n v="0.85110586023349399"/>
    <n v="0.73108096091060304"/>
  </r>
  <r>
    <x v="3"/>
    <s v="Ponte de Pedra"/>
    <s v="HIDROELÉTRICA"/>
    <x v="2"/>
    <n v="0.72852260852373796"/>
    <n v="0.84810348236224398"/>
    <n v="0.90737424803004996"/>
    <n v="0.90915355720620195"/>
    <n v="0.90605812409975395"/>
    <n v="0.91056853164628404"/>
    <n v="0.905860423080181"/>
    <n v="0.90769904256220502"/>
  </r>
  <r>
    <x v="3"/>
    <s v="Porsud I"/>
    <s v="TÉRMICA"/>
    <x v="0"/>
    <n v="0.92462834019275397"/>
    <n v="0.93355421530815597"/>
    <n v="0.98818367716718802"/>
    <n v="0.98419744777780604"/>
    <n v="1"/>
    <n v="0.99959878860041895"/>
    <n v="1"/>
    <n v="0.98818367716718802"/>
  </r>
  <r>
    <x v="3"/>
    <s v="Porsud II"/>
    <s v="TÉRMICA"/>
    <x v="0"/>
    <n v="0.94406474094205295"/>
    <n v="0.95778788327256503"/>
    <n v="0.99858059655306897"/>
    <n v="1"/>
    <n v="0.99985200532780805"/>
    <n v="1"/>
    <n v="1"/>
    <n v="1"/>
  </r>
  <r>
    <x v="3"/>
    <s v="Porto Colômbia"/>
    <s v="HIDROELÉTRICA"/>
    <x v="2"/>
    <n v="0.84566898996817197"/>
    <n v="0.81099270778776"/>
    <n v="0.90688529873897095"/>
    <n v="0.87341364167438795"/>
    <n v="0.90949196245115005"/>
    <n v="0.90840417388501604"/>
    <n v="0.90949196245115005"/>
    <n v="0.90840417388501604"/>
  </r>
  <r>
    <x v="3"/>
    <s v="Porto Estrela"/>
    <s v="HIDROELÉTRICA"/>
    <x v="2"/>
    <n v="0.80194617822801895"/>
    <n v="0.79415525033072598"/>
    <n v="0.88178210261828405"/>
    <n v="0.836958741376708"/>
    <n v="0.90949205813674705"/>
    <n v="0.90759648764549705"/>
    <n v="0.90920350525166205"/>
    <n v="0.90884392396409497"/>
  </r>
  <r>
    <x v="3"/>
    <s v="Porto Primavera"/>
    <s v="HIDROELÉTRICA"/>
    <x v="2"/>
    <n v="0.55517939486237"/>
    <n v="0.55073432032263903"/>
    <n v="0.58696336723540099"/>
    <n v="0.56110279369852001"/>
    <n v="0.68333485438645003"/>
    <n v="0.56426008196966804"/>
    <n v="0.68318925128656705"/>
    <n v="0.56864698493599997"/>
  </r>
  <r>
    <x v="3"/>
    <s v="Povoação 1"/>
    <s v="TÉRMICA"/>
    <x v="0"/>
    <n v="0.96357421744866201"/>
    <n v="0.98524179470436901"/>
    <n v="0.99963354343509703"/>
    <n v="0.99972682328798101"/>
    <n v="1"/>
    <n v="1"/>
    <n v="1"/>
    <n v="1"/>
  </r>
  <r>
    <x v="3"/>
    <s v="Promissão"/>
    <s v="HIDROELÉTRICA"/>
    <x v="2"/>
    <n v="0.82206539922765398"/>
    <n v="0.88206876065102102"/>
    <n v="0.89922179140413605"/>
    <n v="0.90320273291537001"/>
    <n v="0.90727748159034405"/>
    <n v="0.90743382686324403"/>
    <n v="0.90744750707462296"/>
    <n v="0.90747682181329203"/>
  </r>
  <r>
    <x v="3"/>
    <s v="Queimado"/>
    <s v="HIDROELÉTRICA"/>
    <x v="2"/>
    <n v="0.76642400818034195"/>
    <n v="0.79705807855755795"/>
    <n v="0.82352692852519305"/>
    <n v="0.82125200521590602"/>
    <n v="0.82300158541047097"/>
    <n v="0.82146308057450002"/>
    <n v="0.82462921095340302"/>
    <n v="0.82204940101503698"/>
  </r>
  <r>
    <x v="3"/>
    <s v="Retiro Baixo"/>
    <s v="HIDROELÉTRICA"/>
    <x v="2"/>
    <n v="0.71639144495305296"/>
    <n v="0.72117202268431002"/>
    <n v="0.75768251339655301"/>
    <n v="0.75768251339655301"/>
    <n v="0.75774500460872596"/>
    <n v="0.75776843881329103"/>
    <n v="0.75776843881329103"/>
    <n v="0.75776843881329103"/>
  </r>
  <r>
    <x v="3"/>
    <s v="Risoleta Neves"/>
    <s v="HIDROELÉTRICA"/>
    <x v="2"/>
    <n v="0.66085518788889797"/>
    <n v="0.70907668347123898"/>
    <n v="0.76667232560027698"/>
    <n v="0.76080794809527597"/>
    <n v="0.83662412624834803"/>
    <n v="0.84100118837605797"/>
    <n v="0.84143668022350304"/>
    <n v="0.84141453657024301"/>
  </r>
  <r>
    <x v="3"/>
    <s v="Rondon II"/>
    <s v="HIDROELÉTRICA"/>
    <x v="2"/>
    <n v="1"/>
    <n v="1"/>
    <n v="0.91231514289232096"/>
    <n v="0.91242458650833802"/>
    <n v="0.95779580557341604"/>
    <n v="0.91242458650833802"/>
    <n v="0.92246603827790397"/>
    <n v="0.99099142235659399"/>
  </r>
  <r>
    <x v="3"/>
    <s v="Rosal"/>
    <s v="HIDROELÉTRICA"/>
    <x v="2"/>
    <n v="0.76455351420636597"/>
    <n v="0.96967350281278897"/>
    <n v="0.98938973153884402"/>
    <n v="0.99162394075339999"/>
    <n v="0.99099195328633405"/>
    <n v="0.99163284198532997"/>
    <n v="0.99100975575019501"/>
    <n v="0.99161503952146901"/>
  </r>
  <r>
    <x v="3"/>
    <s v="Rosana"/>
    <s v="HIDROELÉTRICA"/>
    <x v="2"/>
    <n v="0.80020714285714201"/>
    <n v="0.80731428571428498"/>
    <n v="0.84859857142857098"/>
    <n v="0.81660999999999995"/>
    <n v="0.85811285714285701"/>
    <n v="0.81987285714285696"/>
    <n v="0.85813428571428496"/>
    <n v="0.82234285714285704"/>
  </r>
  <r>
    <x v="3"/>
    <s v="Salto"/>
    <s v="HIDROELÉTRICA"/>
    <x v="2"/>
    <n v="0.78347427310420903"/>
    <n v="0.77128535347004901"/>
    <n v="0.88832570448335002"/>
    <n v="0.95329592179782197"/>
    <n v="0.88832570448335002"/>
    <n v="0.95678278034946096"/>
    <n v="0.88833432465282203"/>
    <n v="0.95678278034946096"/>
  </r>
  <r>
    <x v="3"/>
    <s v="Salto Apiacás"/>
    <s v="HIDROELÉTRICA"/>
    <x v="2"/>
    <n v="0.94723175872408805"/>
    <n v="0.96859110860023401"/>
    <n v="0.99073269305984102"/>
    <n v="0.986517317804528"/>
    <n v="0.99099343792099404"/>
    <n v="0.987647212202859"/>
    <n v="0.99124331841293301"/>
    <n v="0.99204728173482204"/>
  </r>
  <r>
    <x v="3"/>
    <s v="Salto Grande (MG)"/>
    <s v="HIDROELÉTRICA"/>
    <x v="2"/>
    <n v="0.79010496249912598"/>
    <n v="0.76765936623023801"/>
    <n v="0.89744934136281396"/>
    <n v="0.88432153878419195"/>
    <n v="0.89907720885639797"/>
    <n v="0.89594131687489298"/>
    <n v="0.90071506326712003"/>
    <n v="0.89648061040037497"/>
  </r>
  <r>
    <x v="3"/>
    <s v="Salto Grande (SP)"/>
    <s v="HIDROELÉTRICA"/>
    <x v="2"/>
    <n v="0.74370953084175795"/>
    <n v="0.75085198227876804"/>
    <n v="0.88658695899125295"/>
    <n v="0.90061626718164201"/>
    <n v="0.89350931500624697"/>
    <n v="0.90061626718164201"/>
    <n v="0.89706634102010596"/>
    <n v="0.88901510848574306"/>
  </r>
  <r>
    <x v="3"/>
    <s v="Salto do Rio Verdinho"/>
    <s v="HIDROELÉTRICA"/>
    <x v="2"/>
    <n v="0.74872610077958202"/>
    <n v="0.75598841513871295"/>
    <n v="0.818164496319846"/>
    <n v="0.99347807151256395"/>
    <n v="0.81954727581551301"/>
    <n v="0.99357061974652605"/>
    <n v="0.81997735290274798"/>
    <n v="0.99357061974652605"/>
  </r>
  <r>
    <x v="3"/>
    <s v="Samuel"/>
    <s v="HIDROELÉTRICA"/>
    <x v="2"/>
    <n v="0.843950634729974"/>
    <n v="0.79092300807838101"/>
    <n v="0.92408676605666595"/>
    <n v="0.87805412280081896"/>
    <n v="0.97912574483619497"/>
    <n v="0.88305895098801201"/>
    <n v="0.96470006359075799"/>
    <n v="0.89344073105819699"/>
  </r>
  <r>
    <x v="3"/>
    <s v="Santa Branca"/>
    <s v="HIDROELÉTRICA"/>
    <x v="2"/>
    <n v="0.68518126376418698"/>
    <n v="0.84153184821277305"/>
    <n v="0.84900686091817701"/>
    <n v="0.86847789259698405"/>
    <n v="0.85038327968829397"/>
    <n v="0.89864263933593003"/>
    <n v="0.851103252583432"/>
    <n v="0.90089784855158395"/>
  </r>
  <r>
    <x v="3"/>
    <s v="Santa Clara (MG)"/>
    <s v="HIDROELÉTRICA"/>
    <x v="2"/>
    <n v="0.94674608676027205"/>
    <n v="0.95967468927828703"/>
    <n v="0.95539470926764702"/>
    <n v="0.97519062434510595"/>
    <n v="0.98066351780503902"/>
    <n v="0.97687521158093205"/>
    <n v="0.98079248142117803"/>
    <n v="0.97797140231812096"/>
  </r>
  <r>
    <x v="3"/>
    <s v="Santa Cruz"/>
    <s v="TÉRMICA"/>
    <x v="0"/>
    <n v="0.69690384416287698"/>
    <n v="0.85977406484187702"/>
    <n v="0.78963919660420301"/>
    <n v="0.91891281148709403"/>
    <n v="0.90965679676985101"/>
    <n v="0.92490662355555198"/>
    <n v="0.90878475236328005"/>
    <n v="0.92490662355555198"/>
  </r>
  <r>
    <x v="3"/>
    <s v="Santa Luzia I"/>
    <s v="TÉRMICA"/>
    <x v="1"/>
    <n v="0.71678107795826795"/>
    <n v="0.76968497247332202"/>
    <n v="0.82781383810235798"/>
    <n v="0.85798273635560396"/>
    <n v="0.82653095901583595"/>
    <n v="0.907394820906681"/>
    <n v="0.88454937810099898"/>
    <n v="0.920436008971657"/>
  </r>
  <r>
    <x v="3"/>
    <s v="Santa Vitória"/>
    <s v="TÉRMICA"/>
    <x v="1"/>
    <n v="0.94776906662830496"/>
    <n v="0.99150063535447897"/>
    <n v="0.98999016998729195"/>
    <n v="0.99389819942937896"/>
    <n v="0.99422187057949096"/>
    <n v="0.99406602891462204"/>
    <n v="0.99422187057949096"/>
    <n v="0.994054041094248"/>
  </r>
  <r>
    <x v="3"/>
    <s v="Santo Antônio"/>
    <s v="HIDROELÉTRICA"/>
    <x v="2"/>
    <n v="0.67089327441156099"/>
    <n v="0.66304413335575696"/>
    <n v="0.75600735737692104"/>
    <n v="0.71657108811460402"/>
    <n v="0.86982026142852897"/>
    <n v="0.81208353590323001"/>
    <n v="0.90447980337470402"/>
    <n v="0.88442954499405002"/>
  </r>
  <r>
    <x v="3"/>
    <s v="Seropédica"/>
    <s v="TÉRMICA"/>
    <x v="0"/>
    <n v="0.87385627118644005"/>
    <n v="0.951166101694915"/>
    <n v="0.97226847457627097"/>
    <n v="0.99837288135593205"/>
    <n v="1"/>
    <n v="1"/>
    <n v="1"/>
    <n v="1"/>
  </r>
  <r>
    <x v="3"/>
    <s v="Serra da Mesa"/>
    <s v="HIDROELÉTRICA"/>
    <x v="2"/>
    <n v="0.81305789350395896"/>
    <n v="0.81600229271009095"/>
    <n v="0.85432924930047405"/>
    <n v="0.85623111753313996"/>
    <n v="0.98934988111714695"/>
    <n v="0.85948741798112804"/>
    <n v="0.98934730696659501"/>
    <n v="0.85996964218449201"/>
  </r>
  <r>
    <x v="3"/>
    <s v="Serra do Facão"/>
    <s v="HIDROELÉTRICA"/>
    <x v="2"/>
    <n v="0.82694839722489499"/>
    <n v="0.83524586013065205"/>
    <n v="0.84547526206512302"/>
    <n v="0.84300653263786895"/>
    <n v="0.84458651947131202"/>
    <n v="0.84690839114802197"/>
    <n v="0.84496632399858196"/>
    <n v="0.84491821542512702"/>
  </r>
  <r>
    <x v="3"/>
    <s v="Simplício"/>
    <s v="HIDROELÉTRICA"/>
    <x v="2"/>
    <n v="0.97321780228436305"/>
    <n v="0.97206064729069397"/>
    <n v="0.99634299961916395"/>
    <n v="0.99749038959178904"/>
    <n v="0.99863289705389302"/>
    <n v="0.99780612527220003"/>
    <n v="0.99862313203284903"/>
    <n v="0.99822113866655304"/>
  </r>
  <r>
    <x v="3"/>
    <s v="Sinop"/>
    <s v="HIDROELÉTRICA"/>
    <x v="2"/>
    <n v="0.77663836751122695"/>
    <n v="0.85746705787645106"/>
    <n v="0.87076571900686295"/>
    <n v="0.879566615117363"/>
    <n v="0.879664594102194"/>
    <n v="0.88063908778916999"/>
    <n v="0.88027497669689003"/>
    <n v="0.88107866918057698"/>
  </r>
  <r>
    <x v="3"/>
    <s v="Sobragi"/>
    <s v="HIDROELÉTRICA"/>
    <x v="2"/>
    <n v="0.912274992720982"/>
    <n v="0.90920067823316797"/>
    <n v="0.95493859934574399"/>
    <n v="0.99788480312398298"/>
    <n v="0.95596622535838405"/>
    <n v="0.998818230085464"/>
    <n v="0.95383390138215696"/>
    <n v="0.96193501978179996"/>
  </r>
  <r>
    <x v="3"/>
    <s v="Suíça"/>
    <s v="HIDROELÉTRICA"/>
    <x v="2"/>
    <n v="0.69315256564269701"/>
    <n v="0.77158057319375295"/>
    <n v="0.81264556620657502"/>
    <n v="0.82686508617519405"/>
    <n v="0.82561474907450505"/>
    <n v="0.86725587781019298"/>
    <n v="0.82484248204172606"/>
    <n v="0.90472921621025204"/>
  </r>
  <r>
    <x v="3"/>
    <s v="Sá Carvalho"/>
    <s v="HIDROELÉTRICA"/>
    <x v="2"/>
    <n v="0.82639298601868705"/>
    <n v="0.871568129742189"/>
    <n v="0.933050231192459"/>
    <n v="0.93200060370731097"/>
    <n v="0.93483391188617304"/>
    <n v="0.93283070126092504"/>
    <n v="0.93582179657807696"/>
    <n v="0.89417285237984101"/>
  </r>
  <r>
    <x v="3"/>
    <s v="São Domingos"/>
    <s v="HIDROELÉTRICA"/>
    <x v="2"/>
    <n v="0.85882251418462596"/>
    <n v="0.87877807261665897"/>
    <n v="0.965439130153388"/>
    <n v="0.98600953552089299"/>
    <n v="0.99123034107824703"/>
    <n v="0.98934265311846004"/>
    <n v="0.99286993290617598"/>
    <n v="0.99004379436066703"/>
  </r>
  <r>
    <x v="3"/>
    <s v="São José"/>
    <s v="TÉRMICA"/>
    <x v="1"/>
    <n v="1"/>
    <n v="1"/>
    <n v="0.99170490645958298"/>
    <n v="0.99226379574067503"/>
    <n v="0.99350904027924802"/>
    <n v="0.99249911754324005"/>
    <n v="0.99508765737145499"/>
    <n v="0.99468564929207304"/>
  </r>
  <r>
    <x v="3"/>
    <s v="São João da Boa Vista"/>
    <s v="TÉRMICA"/>
    <x v="1"/>
    <n v="0.73027588527209997"/>
    <n v="0.73122914739114497"/>
    <n v="0.76685731909047505"/>
    <n v="0.74148372445117305"/>
    <n v="0.754647152830347"/>
    <n v="0.82953430341772505"/>
    <n v="0.77264698460762005"/>
    <n v="0.84114868085344896"/>
  </r>
  <r>
    <x v="3"/>
    <s v="São Lourenço"/>
    <s v="HIDROELÉTRICA"/>
    <x v="2"/>
    <n v="0.87877737045477"/>
    <n v="0.86683840285346203"/>
    <n v="0.96183493510353701"/>
    <n v="0.92843554939066597"/>
    <n v="0.99997027642920799"/>
    <n v="0.93392450213018896"/>
    <n v="1"/>
    <n v="0.943673833349846"/>
  </r>
  <r>
    <x v="3"/>
    <s v="São Manoel"/>
    <s v="HIDROELÉTRICA"/>
    <x v="2"/>
    <n v="0.79802604627711804"/>
    <n v="0.753176287918503"/>
    <n v="0.900160712290622"/>
    <n v="0.87137645350086301"/>
    <n v="0.95564011332937904"/>
    <n v="0.90787046188311205"/>
    <n v="0.95573321759756602"/>
    <n v="0.91037066957724899"/>
  </r>
  <r>
    <x v="3"/>
    <s v="São Salvador"/>
    <s v="HIDROELÉTRICA"/>
    <x v="2"/>
    <n v="0.94831195275911195"/>
    <n v="0.89258195886784697"/>
    <n v="0.99027896558745598"/>
    <n v="0.98590103848503297"/>
    <n v="0.99095296273671296"/>
    <n v="0.98663815923437104"/>
    <n v="0.99139482793728295"/>
    <n v="0.98827530034616096"/>
  </r>
  <r>
    <x v="3"/>
    <s v="São Simão"/>
    <s v="HIDROELÉTRICA"/>
    <x v="2"/>
    <n v="0.56426824249434004"/>
    <n v="0.552327738644803"/>
    <n v="0.60042566167550004"/>
    <n v="0.59782088857098103"/>
    <n v="0.64854323887618603"/>
    <n v="0.59815381829898495"/>
    <n v="0.64930320011578002"/>
    <n v="0.59979315475038297"/>
  </r>
  <r>
    <x v="3"/>
    <s v="Taquaruçu"/>
    <s v="HIDROELÉTRICA"/>
    <x v="2"/>
    <n v="0.87934321644320301"/>
    <n v="0.88032843049014797"/>
    <n v="0.90245800258981601"/>
    <n v="0.88028100859594405"/>
    <n v="0.91376280149194999"/>
    <n v="0.90203314112949196"/>
    <n v="0.913854741899082"/>
    <n v="0.98128770766434503"/>
  </r>
  <r>
    <x v="3"/>
    <s v="Teles Pires"/>
    <s v="HIDROELÉTRICA"/>
    <x v="2"/>
    <n v="0.82923982602111701"/>
    <n v="0.78265506807450003"/>
    <n v="0.92983727915807701"/>
    <n v="0.85846912690396104"/>
    <n v="0.93897541360762604"/>
    <n v="0.93085342339765798"/>
    <n v="0.93924570577113697"/>
    <n v="0.93606997949526705"/>
  </r>
  <r>
    <x v="3"/>
    <s v="Termomacaé"/>
    <s v="TÉRMICA"/>
    <x v="0"/>
    <n v="0.78126400424641296"/>
    <n v="0.88205542092141898"/>
    <n v="0.90753988626920301"/>
    <n v="0.98438105037830403"/>
    <n v="0.99756625232225704"/>
    <n v="1"/>
    <n v="0.99881983632163096"/>
    <n v="1"/>
  </r>
  <r>
    <x v="3"/>
    <s v="Termorio"/>
    <s v="TÉRMICA"/>
    <x v="0"/>
    <n v="0.594801218659474"/>
    <n v="0.73104834681849895"/>
    <n v="0.64059534512036698"/>
    <n v="0.85443512136649602"/>
    <n v="0.70477324942563102"/>
    <n v="0.89464888622515204"/>
    <n v="0.78705923484167395"/>
    <n v="0.89508091099790199"/>
  </r>
  <r>
    <x v="3"/>
    <s v="Theodomiro Carneiro Santiago (Emborcação)"/>
    <s v="HIDROELÉTRICA"/>
    <x v="2"/>
    <n v="0.81583837522613301"/>
    <n v="0.82263149456823703"/>
    <n v="0.89159884933712996"/>
    <n v="0.87889163984033503"/>
    <n v="0.91214034953479695"/>
    <n v="0.91634784779040301"/>
    <n v="0.93680417780255398"/>
    <n v="0.92065417989764997"/>
  </r>
  <r>
    <x v="3"/>
    <s v="Três Irmãos"/>
    <s v="HIDROELÉTRICA"/>
    <x v="2"/>
    <n v="0.67586743819304496"/>
    <n v="0.77470068917103996"/>
    <n v="0.72345409488579504"/>
    <n v="0.89860211667739098"/>
    <n v="0.91070586199900605"/>
    <n v="0.91176071563261896"/>
    <n v="0.91123857864229396"/>
    <n v="0.91171964168582398"/>
  </r>
  <r>
    <x v="3"/>
    <s v="Três Lagoas"/>
    <s v="TÉRMICA"/>
    <x v="0"/>
    <n v="0.59820820617158299"/>
    <n v="0.81127975584944001"/>
    <n v="0.68112987453373997"/>
    <n v="0.97487555103424794"/>
    <n v="0.70169820278060302"/>
    <n v="0.98478535096642905"/>
    <n v="0.73988606307222704"/>
    <n v="0.98548524923702896"/>
  </r>
  <r>
    <x v="3"/>
    <s v="Três Marias"/>
    <s v="HIDROELÉTRICA"/>
    <x v="2"/>
    <n v="0.69377761870018295"/>
    <n v="0.653827728142509"/>
    <n v="0.79655153425751302"/>
    <n v="0.79084814361035705"/>
    <n v="0.88123098525625998"/>
    <n v="0.88614694180972098"/>
    <n v="0.88530581902782102"/>
    <n v="0.90044465246899097"/>
  </r>
  <r>
    <x v="3"/>
    <s v="Vale do Paraná"/>
    <s v="TÉRMICA"/>
    <x v="1"/>
    <n v="1"/>
    <n v="1"/>
    <n v="1"/>
    <n v="1"/>
    <n v="1"/>
    <n v="1"/>
    <n v="1"/>
    <n v="1"/>
  </r>
  <r>
    <x v="3"/>
    <s v="Vale do Verdão"/>
    <s v="TÉRMICA"/>
    <x v="1"/>
    <n v="1"/>
    <n v="1"/>
    <n v="1"/>
    <n v="1"/>
    <n v="1"/>
    <n v="1"/>
    <n v="1"/>
    <n v="1"/>
  </r>
  <r>
    <x v="3"/>
    <s v="Viana"/>
    <s v="TÉRMICA"/>
    <x v="3"/>
    <n v="0.77419520021848198"/>
    <n v="0.89490094334254999"/>
    <n v="0.97882030974407996"/>
    <n v="0.99832155577555504"/>
    <n v="0.998950261154542"/>
    <n v="1"/>
    <n v="1"/>
    <n v="1"/>
  </r>
  <r>
    <x v="3"/>
    <s v="Viana 1"/>
    <s v="TÉRMICA"/>
    <x v="0"/>
    <n v="0.93391339538648299"/>
    <n v="0.99113719142047696"/>
    <n v="0.99897477404559498"/>
    <n v="1"/>
    <n v="0.99913665182787004"/>
    <n v="1"/>
    <n v="0.99946040739241804"/>
    <n v="1"/>
  </r>
  <r>
    <x v="3"/>
    <s v="Viralcool Castilho"/>
    <s v="TÉRMICA"/>
    <x v="1"/>
    <n v="0.86537301912733"/>
    <n v="0.93701005812971805"/>
    <n v="0.89898453894208696"/>
    <n v="0.96673822330495096"/>
    <n v="0.95411129067271205"/>
    <n v="0.96058756844111004"/>
    <n v="0.982898767457005"/>
    <n v="0.99351166212402597"/>
  </r>
  <r>
    <x v="3"/>
    <s v="Volta Grande"/>
    <s v="HIDROELÉTRICA"/>
    <x v="2"/>
    <n v="0.88825494381020798"/>
    <n v="0.848826385866287"/>
    <n v="0.90338921722349497"/>
    <n v="0.90286612513306697"/>
    <n v="0.91026151982505898"/>
    <n v="0.90677686123769596"/>
    <n v="0.90919304851253002"/>
    <n v="0.91374224538918503"/>
  </r>
  <r>
    <x v="3"/>
    <s v="William Arjona"/>
    <s v="TÉRMICA"/>
    <x v="0"/>
    <n v="0.88403579809506205"/>
    <n v="0.87392444669396696"/>
    <n v="0.90681222104633497"/>
    <n v="0.904856669580821"/>
    <n v="0.91800487737541903"/>
    <n v="1"/>
    <n v="0.91800487737541903"/>
    <n v="1"/>
  </r>
  <r>
    <x v="3"/>
    <s v="Xavantes Aruanã"/>
    <s v="TÉRMICA"/>
    <x v="4"/>
    <n v="1"/>
    <n v="1"/>
    <n v="1"/>
    <n v="1"/>
    <n v="1"/>
    <n v="1"/>
    <n v="1"/>
    <n v="1"/>
  </r>
  <r>
    <x v="3"/>
    <s v="Ypê"/>
    <s v="HIDROELÉTRICA"/>
    <x v="2"/>
    <n v="0.5"/>
    <n v="1"/>
    <n v="0.5"/>
    <n v="1"/>
    <n v="0.5"/>
    <n v="1"/>
    <n v="0.5"/>
    <n v="1"/>
  </r>
  <r>
    <x v="3"/>
    <s v="Água Vermelha"/>
    <s v="HIDROELÉTRICA"/>
    <x v="2"/>
    <n v="0.73626513994760601"/>
    <n v="0.746859780679344"/>
    <n v="0.80662104131533297"/>
    <n v="0.81141812688464798"/>
    <n v="0.83293043819829804"/>
    <n v="0.84710572637784198"/>
    <n v="0.84305363993726901"/>
    <n v="0.852251684185344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1CA3C-FACF-4E63-9B13-7E3E60F9AEE1}" name="Tabela dinâmica3" cacheId="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2">
  <location ref="A3:E13" firstHeaderRow="0" firstDataRow="1" firstDataCol="1" rowPageCount="1" colPageCount="1"/>
  <pivotFields count="12"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sortType="descending">
      <items count="13">
        <item x="1"/>
        <item x="7"/>
        <item m="1" x="10"/>
        <item m="1" x="11"/>
        <item x="0"/>
        <item x="2"/>
        <item x="6"/>
        <item x="9"/>
        <item x="3"/>
        <item x="4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dataField="1" numFmtId="164" showAll="0"/>
    <pivotField numFmtId="164" showAll="0"/>
    <pivotField dataField="1" numFmtId="2" showAll="0"/>
    <pivotField numFmtId="2" showAll="0"/>
    <pivotField dataField="1" numFmtId="2" showAll="0"/>
    <pivotField numFmtId="2" showAll="0"/>
  </pivotFields>
  <rowFields count="1">
    <field x="3"/>
  </rowFields>
  <rowItems count="10">
    <i>
      <x v="6"/>
    </i>
    <i>
      <x v="9"/>
    </i>
    <i>
      <x v="8"/>
    </i>
    <i>
      <x v="4"/>
    </i>
    <i>
      <x v="7"/>
    </i>
    <i>
      <x v="10"/>
    </i>
    <i>
      <x/>
    </i>
    <i>
      <x v="5"/>
    </i>
    <i>
      <x v="11"/>
    </i>
    <i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IF Up P1" fld="4" subtotal="average" baseField="3" baseItem="0" numFmtId="2"/>
    <dataField name="IF Up P2" fld="6" subtotal="average" baseField="3" baseItem="5" numFmtId="164"/>
    <dataField name="IF Up P4" fld="8" subtotal="average" baseField="3" baseItem="5" numFmtId="2"/>
    <dataField name="IF Up P6" fld="10" subtotal="average" baseField="3" baseItem="5" numFmtId="2"/>
  </dataFields>
  <formats count="1">
    <format dxfId="2">
      <pivotArea outline="0" collapsedLevelsAreSubtotals="1" fieldPosition="0"/>
    </format>
  </format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77350F-440A-49C0-8E68-676CA52A4F59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3:B15" firstHeaderRow="1" firstDataRow="1" firstDataCol="1"/>
  <pivotFields count="12">
    <pivotField showAll="0"/>
    <pivotField showAll="0"/>
    <pivotField showAll="0"/>
    <pivotField axis="axisRow" showAll="0">
      <items count="13">
        <item x="2"/>
        <item x="9"/>
        <item x="3"/>
        <item x="6"/>
        <item x="1"/>
        <item x="0"/>
        <item x="8"/>
        <item x="11"/>
        <item x="4"/>
        <item x="5"/>
        <item x="7"/>
        <item x="10"/>
        <item t="default"/>
      </items>
    </pivotField>
    <pivotField dataField="1" numFmtId="164" showAll="0">
      <items count="670">
        <item x="0"/>
        <item x="354"/>
        <item x="559"/>
        <item x="533"/>
        <item x="448"/>
        <item x="60"/>
        <item x="397"/>
        <item x="621"/>
        <item x="400"/>
        <item x="469"/>
        <item x="54"/>
        <item x="654"/>
        <item x="544"/>
        <item x="658"/>
        <item x="661"/>
        <item x="284"/>
        <item x="507"/>
        <item x="483"/>
        <item x="385"/>
        <item x="330"/>
        <item x="589"/>
        <item x="570"/>
        <item x="538"/>
        <item x="604"/>
        <item x="364"/>
        <item x="38"/>
        <item x="286"/>
        <item x="317"/>
        <item x="600"/>
        <item x="585"/>
        <item x="398"/>
        <item x="494"/>
        <item x="568"/>
        <item x="532"/>
        <item x="510"/>
        <item x="420"/>
        <item x="261"/>
        <item x="4"/>
        <item x="588"/>
        <item x="531"/>
        <item x="592"/>
        <item x="399"/>
        <item x="30"/>
        <item x="37"/>
        <item x="573"/>
        <item x="445"/>
        <item x="325"/>
        <item x="390"/>
        <item x="438"/>
        <item x="302"/>
        <item x="578"/>
        <item x="306"/>
        <item x="560"/>
        <item x="626"/>
        <item x="493"/>
        <item x="583"/>
        <item x="515"/>
        <item x="356"/>
        <item x="34"/>
        <item x="599"/>
        <item x="582"/>
        <item x="33"/>
        <item x="542"/>
        <item x="579"/>
        <item x="640"/>
        <item x="517"/>
        <item x="528"/>
        <item x="598"/>
        <item x="660"/>
        <item x="407"/>
        <item x="331"/>
        <item x="460"/>
        <item x="351"/>
        <item x="304"/>
        <item x="516"/>
        <item x="262"/>
        <item x="574"/>
        <item x="635"/>
        <item x="401"/>
        <item x="597"/>
        <item x="339"/>
        <item x="374"/>
        <item x="606"/>
        <item x="31"/>
        <item x="416"/>
        <item x="288"/>
        <item x="647"/>
        <item x="344"/>
        <item x="662"/>
        <item x="274"/>
        <item x="294"/>
        <item x="637"/>
        <item x="413"/>
        <item x="417"/>
        <item x="214"/>
        <item x="309"/>
        <item x="418"/>
        <item x="338"/>
        <item x="415"/>
        <item x="329"/>
        <item x="581"/>
        <item x="557"/>
        <item x="584"/>
        <item x="115"/>
        <item x="511"/>
        <item x="45"/>
        <item x="475"/>
        <item x="479"/>
        <item x="545"/>
        <item x="52"/>
        <item x="266"/>
        <item x="451"/>
        <item x="625"/>
        <item x="638"/>
        <item x="39"/>
        <item x="590"/>
        <item x="440"/>
        <item x="47"/>
        <item x="18"/>
        <item x="277"/>
        <item x="457"/>
        <item x="536"/>
        <item x="368"/>
        <item x="308"/>
        <item x="318"/>
        <item x="279"/>
        <item x="313"/>
        <item x="140"/>
        <item x="576"/>
        <item x="616"/>
        <item x="521"/>
        <item x="488"/>
        <item x="566"/>
        <item x="650"/>
        <item x="602"/>
        <item x="615"/>
        <item x="402"/>
        <item x="458"/>
        <item x="320"/>
        <item x="668"/>
        <item x="35"/>
        <item x="316"/>
        <item x="472"/>
        <item x="185"/>
        <item x="25"/>
        <item x="501"/>
        <item x="188"/>
        <item x="14"/>
        <item x="272"/>
        <item x="150"/>
        <item x="412"/>
        <item x="506"/>
        <item x="540"/>
        <item x="632"/>
        <item x="601"/>
        <item x="49"/>
        <item x="349"/>
        <item x="113"/>
        <item x="149"/>
        <item x="633"/>
        <item x="553"/>
        <item x="295"/>
        <item x="298"/>
        <item x="431"/>
        <item x="69"/>
        <item x="135"/>
        <item x="301"/>
        <item x="453"/>
        <item x="1"/>
        <item x="133"/>
        <item x="53"/>
        <item x="189"/>
        <item x="436"/>
        <item x="280"/>
        <item x="80"/>
        <item x="530"/>
        <item x="79"/>
        <item x="433"/>
        <item x="118"/>
        <item x="572"/>
        <item x="2"/>
        <item x="467"/>
        <item x="595"/>
        <item x="613"/>
        <item x="209"/>
        <item x="314"/>
        <item x="360"/>
        <item x="244"/>
        <item x="202"/>
        <item x="627"/>
        <item x="24"/>
        <item x="552"/>
        <item x="192"/>
        <item x="624"/>
        <item x="109"/>
        <item x="139"/>
        <item x="107"/>
        <item x="555"/>
        <item x="195"/>
        <item x="6"/>
        <item x="89"/>
        <item x="292"/>
        <item x="138"/>
        <item x="470"/>
        <item x="94"/>
        <item x="408"/>
        <item x="443"/>
        <item x="215"/>
        <item x="254"/>
        <item x="477"/>
        <item x="348"/>
        <item x="663"/>
        <item x="509"/>
        <item x="276"/>
        <item x="549"/>
        <item x="450"/>
        <item x="236"/>
        <item x="519"/>
        <item x="645"/>
        <item x="459"/>
        <item x="425"/>
        <item x="74"/>
        <item x="196"/>
        <item x="657"/>
        <item x="596"/>
        <item x="131"/>
        <item x="480"/>
        <item x="629"/>
        <item x="446"/>
        <item x="310"/>
        <item x="514"/>
        <item x="212"/>
        <item x="169"/>
        <item x="168"/>
        <item x="414"/>
        <item x="178"/>
        <item x="10"/>
        <item x="537"/>
        <item x="409"/>
        <item x="541"/>
        <item x="631"/>
        <item x="137"/>
        <item x="372"/>
        <item x="508"/>
        <item x="111"/>
        <item x="269"/>
        <item x="259"/>
        <item x="535"/>
        <item x="404"/>
        <item x="520"/>
        <item x="323"/>
        <item x="492"/>
        <item x="208"/>
        <item x="652"/>
        <item x="435"/>
        <item x="350"/>
        <item x="628"/>
        <item x="551"/>
        <item x="201"/>
        <item x="124"/>
        <item x="454"/>
        <item x="620"/>
        <item x="464"/>
        <item x="371"/>
        <item x="554"/>
        <item x="375"/>
        <item x="342"/>
        <item x="55"/>
        <item x="268"/>
        <item x="455"/>
        <item x="210"/>
        <item x="59"/>
        <item x="361"/>
        <item x="56"/>
        <item x="363"/>
        <item x="203"/>
        <item x="11"/>
        <item x="239"/>
        <item x="187"/>
        <item x="444"/>
        <item x="485"/>
        <item x="275"/>
        <item x="312"/>
        <item x="278"/>
        <item x="225"/>
        <item x="87"/>
        <item x="522"/>
        <item x="642"/>
        <item x="183"/>
        <item x="120"/>
        <item x="22"/>
        <item x="395"/>
        <item x="267"/>
        <item x="315"/>
        <item x="122"/>
        <item x="224"/>
        <item x="659"/>
        <item x="293"/>
        <item x="123"/>
        <item x="391"/>
        <item x="345"/>
        <item x="147"/>
        <item x="217"/>
        <item x="13"/>
        <item x="447"/>
        <item x="222"/>
        <item x="145"/>
        <item x="23"/>
        <item x="119"/>
        <item x="419"/>
        <item x="249"/>
        <item x="191"/>
        <item x="263"/>
        <item x="502"/>
        <item x="526"/>
        <item x="136"/>
        <item x="623"/>
        <item x="155"/>
        <item x="580"/>
        <item x="125"/>
        <item x="228"/>
        <item x="257"/>
        <item x="182"/>
        <item x="26"/>
        <item x="603"/>
        <item x="490"/>
        <item x="199"/>
        <item x="100"/>
        <item x="648"/>
        <item x="97"/>
        <item x="643"/>
        <item x="466"/>
        <item x="223"/>
        <item x="608"/>
        <item x="365"/>
        <item x="204"/>
        <item x="108"/>
        <item x="66"/>
        <item x="567"/>
        <item x="656"/>
        <item x="550"/>
        <item x="270"/>
        <item x="19"/>
        <item x="166"/>
        <item x="403"/>
        <item x="20"/>
        <item x="167"/>
        <item x="264"/>
        <item x="495"/>
        <item x="112"/>
        <item x="497"/>
        <item x="482"/>
        <item x="134"/>
        <item x="299"/>
        <item x="110"/>
        <item x="468"/>
        <item x="527"/>
        <item x="434"/>
        <item x="258"/>
        <item x="452"/>
        <item x="151"/>
        <item x="231"/>
        <item x="220"/>
        <item x="563"/>
        <item x="130"/>
        <item x="518"/>
        <item x="77"/>
        <item x="300"/>
        <item x="355"/>
        <item x="341"/>
        <item x="634"/>
        <item x="562"/>
        <item x="81"/>
        <item x="619"/>
        <item x="303"/>
        <item x="336"/>
        <item x="91"/>
        <item x="564"/>
        <item x="3"/>
        <item x="594"/>
        <item x="242"/>
        <item x="476"/>
        <item x="141"/>
        <item x="337"/>
        <item x="21"/>
        <item x="307"/>
        <item x="577"/>
        <item x="513"/>
        <item x="556"/>
        <item x="442"/>
        <item x="78"/>
        <item x="462"/>
        <item x="226"/>
        <item x="250"/>
        <item x="296"/>
        <item x="321"/>
        <item x="289"/>
        <item x="67"/>
        <item x="649"/>
        <item x="282"/>
        <item x="327"/>
        <item x="486"/>
        <item x="96"/>
        <item x="40"/>
        <item x="357"/>
        <item x="65"/>
        <item x="171"/>
        <item x="240"/>
        <item x="311"/>
        <item x="121"/>
        <item x="367"/>
        <item x="384"/>
        <item x="64"/>
        <item x="271"/>
        <item x="256"/>
        <item x="487"/>
        <item x="529"/>
        <item x="665"/>
        <item x="181"/>
        <item x="381"/>
        <item x="241"/>
        <item x="75"/>
        <item x="378"/>
        <item x="290"/>
        <item x="498"/>
        <item x="213"/>
        <item x="388"/>
        <item x="70"/>
        <item x="58"/>
        <item x="319"/>
        <item x="8"/>
        <item x="247"/>
        <item x="346"/>
        <item x="347"/>
        <item x="184"/>
        <item x="389"/>
        <item x="503"/>
        <item x="534"/>
        <item x="547"/>
        <item x="218"/>
        <item x="93"/>
        <item x="558"/>
        <item x="61"/>
        <item x="641"/>
        <item x="411"/>
        <item x="489"/>
        <item x="237"/>
        <item x="71"/>
        <item x="473"/>
        <item x="265"/>
        <item x="373"/>
        <item x="252"/>
        <item x="546"/>
        <item x="243"/>
        <item x="63"/>
        <item x="651"/>
        <item x="561"/>
        <item x="655"/>
        <item x="465"/>
        <item x="86"/>
        <item x="439"/>
        <item x="430"/>
        <item x="207"/>
        <item x="154"/>
        <item x="161"/>
        <item x="88"/>
        <item x="186"/>
        <item x="216"/>
        <item x="5"/>
        <item x="667"/>
        <item x="57"/>
        <item x="251"/>
        <item x="539"/>
        <item x="605"/>
        <item x="324"/>
        <item x="370"/>
        <item x="72"/>
        <item x="12"/>
        <item x="406"/>
        <item x="179"/>
        <item x="456"/>
        <item x="666"/>
        <item x="392"/>
        <item x="593"/>
        <item x="99"/>
        <item x="499"/>
        <item x="245"/>
        <item x="376"/>
        <item x="481"/>
        <item x="219"/>
        <item x="9"/>
        <item x="144"/>
        <item x="449"/>
        <item x="48"/>
        <item x="340"/>
        <item x="82"/>
        <item x="126"/>
        <item x="103"/>
        <item x="206"/>
        <item x="335"/>
        <item x="85"/>
        <item x="484"/>
        <item x="106"/>
        <item x="491"/>
        <item x="15"/>
        <item x="379"/>
        <item x="198"/>
        <item x="233"/>
        <item x="253"/>
        <item x="377"/>
        <item x="248"/>
        <item x="383"/>
        <item x="156"/>
        <item x="369"/>
        <item x="28"/>
        <item x="162"/>
        <item x="427"/>
        <item x="386"/>
        <item x="234"/>
        <item x="525"/>
        <item x="92"/>
        <item x="193"/>
        <item x="83"/>
        <item x="101"/>
        <item x="205"/>
        <item x="164"/>
        <item x="500"/>
        <item x="143"/>
        <item x="343"/>
        <item x="197"/>
        <item x="423"/>
        <item x="46"/>
        <item x="246"/>
        <item x="148"/>
        <item x="127"/>
        <item x="463"/>
        <item x="586"/>
        <item x="478"/>
        <item x="607"/>
        <item x="496"/>
        <item x="190"/>
        <item x="646"/>
        <item x="84"/>
        <item x="200"/>
        <item x="474"/>
        <item x="50"/>
        <item x="158"/>
        <item x="591"/>
        <item x="230"/>
        <item x="116"/>
        <item x="128"/>
        <item x="95"/>
        <item x="297"/>
        <item x="76"/>
        <item x="362"/>
        <item x="432"/>
        <item x="17"/>
        <item x="380"/>
        <item x="177"/>
        <item x="172"/>
        <item x="41"/>
        <item x="565"/>
        <item x="617"/>
        <item x="180"/>
        <item x="229"/>
        <item x="328"/>
        <item x="238"/>
        <item x="334"/>
        <item x="232"/>
        <item x="235"/>
        <item x="146"/>
        <item x="285"/>
        <item x="524"/>
        <item x="426"/>
        <item x="152"/>
        <item x="664"/>
        <item x="612"/>
        <item x="163"/>
        <item x="157"/>
        <item x="42"/>
        <item x="62"/>
        <item x="16"/>
        <item x="132"/>
        <item x="105"/>
        <item x="396"/>
        <item x="291"/>
        <item x="117"/>
        <item x="104"/>
        <item x="90"/>
        <item x="332"/>
        <item x="322"/>
        <item x="114"/>
        <item x="393"/>
        <item x="255"/>
        <item x="73"/>
        <item x="44"/>
        <item x="461"/>
        <item x="170"/>
        <item x="142"/>
        <item x="165"/>
        <item x="609"/>
        <item x="512"/>
        <item x="358"/>
        <item x="618"/>
        <item x="211"/>
        <item x="102"/>
        <item x="429"/>
        <item x="353"/>
        <item x="636"/>
        <item x="630"/>
        <item x="639"/>
        <item x="283"/>
        <item x="653"/>
        <item x="160"/>
        <item x="281"/>
        <item x="174"/>
        <item x="194"/>
        <item x="333"/>
        <item x="610"/>
        <item x="394"/>
        <item x="614"/>
        <item x="305"/>
        <item x="68"/>
        <item x="523"/>
        <item x="7"/>
        <item x="260"/>
        <item x="98"/>
        <item x="43"/>
        <item x="153"/>
        <item x="352"/>
        <item x="587"/>
        <item x="428"/>
        <item x="27"/>
        <item x="175"/>
        <item x="176"/>
        <item x="622"/>
        <item x="129"/>
        <item x="471"/>
        <item x="543"/>
        <item x="326"/>
        <item x="359"/>
        <item x="173"/>
        <item x="505"/>
        <item x="159"/>
        <item x="410"/>
        <item x="387"/>
        <item x="644"/>
        <item x="569"/>
        <item x="273"/>
        <item x="221"/>
        <item x="51"/>
        <item x="421"/>
        <item x="571"/>
        <item x="548"/>
        <item x="405"/>
        <item x="422"/>
        <item x="382"/>
        <item x="441"/>
        <item x="366"/>
        <item x="504"/>
        <item x="424"/>
        <item x="437"/>
        <item x="227"/>
        <item x="287"/>
        <item x="36"/>
        <item x="32"/>
        <item x="575"/>
        <item x="611"/>
        <item x="29"/>
        <item t="default"/>
      </items>
    </pivotField>
    <pivotField numFmtId="164" showAll="0"/>
    <pivotField numFmtId="164" showAll="0"/>
    <pivotField numFmtId="164" showAll="0"/>
    <pivotField numFmtId="2" showAll="0"/>
    <pivotField numFmtId="2" showAll="0"/>
    <pivotField numFmtId="2" showAll="0"/>
    <pivotField numFmtId="2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Média de Ind Flex Up P1" fld="4" subtotal="average" baseField="3" baseItem="7" numFmtId="164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FC02-7164-4179-AA9F-CDE639396C6D}">
  <dimension ref="A1:T32"/>
  <sheetViews>
    <sheetView tabSelected="1" zoomScaleNormal="100" workbookViewId="0">
      <selection activeCell="B14" sqref="B14"/>
    </sheetView>
  </sheetViews>
  <sheetFormatPr defaultRowHeight="14.4" x14ac:dyDescent="0.3"/>
  <cols>
    <col min="1" max="1" width="25.6640625" bestFit="1" customWidth="1"/>
    <col min="2" max="5" width="8" customWidth="1"/>
    <col min="18" max="18" width="22.88671875" customWidth="1"/>
    <col min="19" max="19" width="8.88671875" customWidth="1"/>
  </cols>
  <sheetData>
    <row r="1" spans="1:20" x14ac:dyDescent="0.3">
      <c r="R1" s="25" t="s">
        <v>860</v>
      </c>
      <c r="S1" s="26"/>
      <c r="T1" s="27"/>
    </row>
    <row r="2" spans="1:20" x14ac:dyDescent="0.3">
      <c r="R2" s="18" t="s">
        <v>849</v>
      </c>
      <c r="S2" s="24" t="s">
        <v>852</v>
      </c>
      <c r="T2" s="19" t="s">
        <v>853</v>
      </c>
    </row>
    <row r="3" spans="1:20" x14ac:dyDescent="0.3">
      <c r="A3" s="5" t="s">
        <v>829</v>
      </c>
      <c r="B3" s="5" t="s">
        <v>818</v>
      </c>
      <c r="C3" s="5" t="s">
        <v>819</v>
      </c>
      <c r="D3" s="5" t="s">
        <v>820</v>
      </c>
      <c r="E3" s="5" t="s">
        <v>821</v>
      </c>
      <c r="R3" s="22" t="s">
        <v>854</v>
      </c>
      <c r="S3" s="23">
        <v>0.65572872171776997</v>
      </c>
      <c r="T3" s="23">
        <v>0.54679021565190999</v>
      </c>
    </row>
    <row r="4" spans="1:20" x14ac:dyDescent="0.3">
      <c r="A4" s="4" t="s">
        <v>592</v>
      </c>
      <c r="B4" s="1">
        <v>0.75525658036677401</v>
      </c>
      <c r="C4" s="1">
        <v>0.77954824703344106</v>
      </c>
      <c r="D4" s="1">
        <v>0.79554824703344096</v>
      </c>
      <c r="E4" s="1">
        <v>0.79554824703344096</v>
      </c>
      <c r="R4" s="15" t="s">
        <v>855</v>
      </c>
      <c r="S4" s="16">
        <v>0.72019119063320602</v>
      </c>
      <c r="T4" s="16">
        <v>0.61720642588386798</v>
      </c>
    </row>
    <row r="5" spans="1:20" x14ac:dyDescent="0.3">
      <c r="A5" s="4" t="s">
        <v>589</v>
      </c>
      <c r="B5" s="1">
        <v>0.84313993191684611</v>
      </c>
      <c r="C5" s="1">
        <v>0.94571004890660015</v>
      </c>
      <c r="D5" s="1">
        <v>0.96293781051678595</v>
      </c>
      <c r="E5" s="1">
        <v>0.96654106311817767</v>
      </c>
      <c r="R5" s="15" t="s">
        <v>856</v>
      </c>
      <c r="S5" s="16">
        <v>0.75168106913070598</v>
      </c>
      <c r="T5" s="16">
        <v>0.64038451868286095</v>
      </c>
    </row>
    <row r="6" spans="1:20" x14ac:dyDescent="0.3">
      <c r="A6" s="4" t="s">
        <v>583</v>
      </c>
      <c r="B6" s="1">
        <v>0.88807580234331929</v>
      </c>
      <c r="C6" s="1">
        <v>0.96290028758173329</v>
      </c>
      <c r="D6" s="1">
        <v>0.98577203435757021</v>
      </c>
      <c r="E6" s="1">
        <v>0.98920522803824829</v>
      </c>
      <c r="R6" s="20" t="s">
        <v>857</v>
      </c>
      <c r="S6" s="21">
        <v>0.76287587212281205</v>
      </c>
      <c r="T6" s="21">
        <v>0.64848233188234095</v>
      </c>
    </row>
    <row r="7" spans="1:20" x14ac:dyDescent="0.3">
      <c r="A7" s="4" t="s">
        <v>577</v>
      </c>
      <c r="B7" s="1">
        <v>0.65628639528903943</v>
      </c>
      <c r="C7" s="1">
        <v>0.74606293439723614</v>
      </c>
      <c r="D7" s="1">
        <v>0.81316182586223507</v>
      </c>
      <c r="E7" s="1">
        <v>0.83377754341429755</v>
      </c>
      <c r="R7" s="18" t="s">
        <v>858</v>
      </c>
      <c r="S7" s="24" t="s">
        <v>852</v>
      </c>
      <c r="T7" s="19" t="s">
        <v>853</v>
      </c>
    </row>
    <row r="8" spans="1:20" x14ac:dyDescent="0.3">
      <c r="A8" s="4" t="s">
        <v>367</v>
      </c>
      <c r="B8" s="1">
        <v>0.32825337507428082</v>
      </c>
      <c r="C8" s="1">
        <v>0.41129710814102499</v>
      </c>
      <c r="D8" s="1">
        <v>0.50926761919653052</v>
      </c>
      <c r="E8" s="1">
        <v>0.5460596920673062</v>
      </c>
      <c r="R8" s="22" t="s">
        <v>854</v>
      </c>
      <c r="S8" s="23">
        <v>0.65572872171776997</v>
      </c>
      <c r="T8" s="23">
        <v>0.36998048850070803</v>
      </c>
    </row>
    <row r="9" spans="1:20" x14ac:dyDescent="0.3">
      <c r="A9" s="4" t="s">
        <v>591</v>
      </c>
      <c r="B9" s="1">
        <v>0.76431971135507237</v>
      </c>
      <c r="C9" s="1">
        <v>0.8165299390708145</v>
      </c>
      <c r="D9" s="1">
        <v>0.81568664663334522</v>
      </c>
      <c r="E9" s="1">
        <v>0.8148434533950808</v>
      </c>
      <c r="R9" s="15" t="s">
        <v>855</v>
      </c>
      <c r="S9" s="16">
        <v>0.72019119063320602</v>
      </c>
      <c r="T9" s="16">
        <v>0.450930308333573</v>
      </c>
    </row>
    <row r="10" spans="1:20" x14ac:dyDescent="0.3">
      <c r="A10" s="4" t="s">
        <v>14</v>
      </c>
      <c r="B10" s="1">
        <v>0.62063493572849215</v>
      </c>
      <c r="C10" s="1">
        <v>0.6644790277364232</v>
      </c>
      <c r="D10" s="1">
        <v>0.6862553493509892</v>
      </c>
      <c r="E10" s="1">
        <v>0.70230901214777053</v>
      </c>
      <c r="R10" s="15" t="s">
        <v>856</v>
      </c>
      <c r="S10" s="16">
        <v>0.75168106913070598</v>
      </c>
      <c r="T10" s="16">
        <v>0.53300989622008799</v>
      </c>
    </row>
    <row r="11" spans="1:20" x14ac:dyDescent="0.3">
      <c r="A11" s="4" t="s">
        <v>575</v>
      </c>
      <c r="B11" s="1">
        <v>0.52208527492176771</v>
      </c>
      <c r="C11" s="1">
        <v>0.59552646345794258</v>
      </c>
      <c r="D11" s="1">
        <v>0.63811975178500724</v>
      </c>
      <c r="E11" s="1">
        <v>0.65479323447184812</v>
      </c>
      <c r="R11" s="15" t="s">
        <v>857</v>
      </c>
      <c r="S11" s="16">
        <v>0.76287587212281205</v>
      </c>
      <c r="T11" s="16">
        <v>0.58354356292221099</v>
      </c>
    </row>
    <row r="12" spans="1:20" x14ac:dyDescent="0.3">
      <c r="A12" s="4" t="s">
        <v>598</v>
      </c>
      <c r="B12" s="1">
        <v>0.42755732211599456</v>
      </c>
      <c r="C12" s="1">
        <v>0.49057321430314743</v>
      </c>
      <c r="D12" s="1">
        <v>0.56183714772661064</v>
      </c>
      <c r="E12" s="1">
        <v>0.56593194760349386</v>
      </c>
    </row>
    <row r="13" spans="1:20" x14ac:dyDescent="0.3">
      <c r="A13" s="4" t="s">
        <v>595</v>
      </c>
      <c r="B13" s="1">
        <v>0.47380984625577555</v>
      </c>
      <c r="C13" s="1">
        <v>0.57351411343316672</v>
      </c>
      <c r="D13" s="1">
        <v>0.71399974330946003</v>
      </c>
      <c r="E13" s="1">
        <v>0.76126779244325093</v>
      </c>
      <c r="R13" s="25" t="s">
        <v>864</v>
      </c>
      <c r="S13" s="26"/>
      <c r="T13" s="27"/>
    </row>
    <row r="14" spans="1:20" x14ac:dyDescent="0.3">
      <c r="A14" s="4" t="s">
        <v>581</v>
      </c>
      <c r="B14" s="1" cm="1">
        <f t="array" ref="B14:E14">TRANSPOSE(T3:T6)</f>
        <v>0.54679021565190999</v>
      </c>
      <c r="C14" s="1">
        <v>0.61720642588386798</v>
      </c>
      <c r="D14" s="1">
        <v>0.64038451868286095</v>
      </c>
      <c r="E14" s="1">
        <v>0.64848233188234095</v>
      </c>
      <c r="R14" s="18" t="s">
        <v>849</v>
      </c>
      <c r="S14" s="19" t="s">
        <v>862</v>
      </c>
      <c r="T14" s="17" t="s">
        <v>863</v>
      </c>
    </row>
    <row r="15" spans="1:20" x14ac:dyDescent="0.3">
      <c r="A15" s="4" t="s">
        <v>859</v>
      </c>
      <c r="B15" s="1" cm="1">
        <f t="array" ref="B15:E15">TRANSPOSE(O29:O32)</f>
        <v>0.77587261547083097</v>
      </c>
      <c r="C15" s="1">
        <v>0.85682243530369695</v>
      </c>
      <c r="D15" s="1">
        <v>0.93890202319021099</v>
      </c>
      <c r="E15" s="1">
        <v>0.98943568989233399</v>
      </c>
      <c r="R15" s="22" t="s">
        <v>850</v>
      </c>
      <c r="S15" s="23">
        <v>223.31400382010099</v>
      </c>
      <c r="T15" s="23">
        <f>S15*1</f>
        <v>223.31400382010099</v>
      </c>
    </row>
    <row r="16" spans="1:20" x14ac:dyDescent="0.3">
      <c r="A16" s="4" t="s">
        <v>867</v>
      </c>
      <c r="B16" s="1">
        <f>I30</f>
        <v>0.32978166299461398</v>
      </c>
      <c r="C16" s="1">
        <f>I29</f>
        <v>0.35159815717039</v>
      </c>
      <c r="D16" s="1">
        <f>I28</f>
        <v>0.390576165325628</v>
      </c>
      <c r="E16" s="1">
        <f>I31</f>
        <v>0.410232469023804</v>
      </c>
      <c r="R16" s="15" t="s">
        <v>851</v>
      </c>
      <c r="S16" s="16">
        <v>-232.28741189200201</v>
      </c>
      <c r="T16" s="16">
        <f>S16*1</f>
        <v>-232.28741189200201</v>
      </c>
    </row>
    <row r="17" spans="8:20" x14ac:dyDescent="0.3">
      <c r="R17" s="15" t="s">
        <v>847</v>
      </c>
      <c r="S17" s="16">
        <v>131.17723376293901</v>
      </c>
      <c r="T17" s="16">
        <f>S17*2</f>
        <v>262.35446752587802</v>
      </c>
    </row>
    <row r="18" spans="8:20" x14ac:dyDescent="0.3">
      <c r="R18" s="15" t="s">
        <v>848</v>
      </c>
      <c r="S18" s="16">
        <v>-140.69096554237899</v>
      </c>
      <c r="T18" s="16">
        <f>S18*2</f>
        <v>-281.38193108475798</v>
      </c>
    </row>
    <row r="19" spans="8:20" x14ac:dyDescent="0.3">
      <c r="R19" s="15" t="s">
        <v>843</v>
      </c>
      <c r="S19" s="16">
        <v>71.426500000000004</v>
      </c>
      <c r="T19" s="16">
        <f>S19*4</f>
        <v>285.70600000000002</v>
      </c>
    </row>
    <row r="20" spans="8:20" x14ac:dyDescent="0.3">
      <c r="R20" s="15" t="s">
        <v>844</v>
      </c>
      <c r="S20" s="16">
        <v>-73.862336151909005</v>
      </c>
      <c r="T20" s="16">
        <f>S20*4</f>
        <v>-295.44934460763602</v>
      </c>
    </row>
    <row r="21" spans="8:20" x14ac:dyDescent="0.3">
      <c r="R21" s="15" t="s">
        <v>845</v>
      </c>
      <c r="S21" s="16">
        <v>48.786430837196498</v>
      </c>
      <c r="T21" s="16">
        <f>S21*6</f>
        <v>292.718585023179</v>
      </c>
    </row>
    <row r="22" spans="8:20" x14ac:dyDescent="0.3">
      <c r="H22" t="s">
        <v>870</v>
      </c>
      <c r="M22" t="s">
        <v>861</v>
      </c>
      <c r="R22" s="20" t="s">
        <v>846</v>
      </c>
      <c r="S22" s="21">
        <v>-50.052203286747897</v>
      </c>
      <c r="T22" s="21">
        <f>S22*6</f>
        <v>-300.31321972048738</v>
      </c>
    </row>
    <row r="23" spans="8:20" x14ac:dyDescent="0.3">
      <c r="H23" s="18" t="s">
        <v>868</v>
      </c>
      <c r="I23" s="24" t="s">
        <v>865</v>
      </c>
      <c r="J23" s="19" t="s">
        <v>866</v>
      </c>
      <c r="M23" s="18" t="s">
        <v>849</v>
      </c>
      <c r="N23" s="24" t="s">
        <v>852</v>
      </c>
      <c r="O23" s="19" t="s">
        <v>853</v>
      </c>
      <c r="R23" s="18" t="s">
        <v>858</v>
      </c>
      <c r="S23" s="24" t="s">
        <v>862</v>
      </c>
      <c r="T23" s="19" t="s">
        <v>863</v>
      </c>
    </row>
    <row r="24" spans="8:20" x14ac:dyDescent="0.3">
      <c r="H24" s="9" t="s">
        <v>10</v>
      </c>
      <c r="I24" s="28">
        <v>0.27963346561101099</v>
      </c>
      <c r="J24" s="29">
        <v>0.290806637840055</v>
      </c>
      <c r="M24" s="10" t="s">
        <v>854</v>
      </c>
      <c r="N24" s="1">
        <v>0.84503944067451697</v>
      </c>
      <c r="O24" s="11">
        <v>0.85736389569470295</v>
      </c>
      <c r="R24" s="22" t="s">
        <v>850</v>
      </c>
      <c r="S24" s="23">
        <v>556.67399999999998</v>
      </c>
      <c r="T24" s="23">
        <f>S24*1</f>
        <v>556.67399999999998</v>
      </c>
    </row>
    <row r="25" spans="8:20" x14ac:dyDescent="0.3">
      <c r="H25" s="10" t="s">
        <v>57</v>
      </c>
      <c r="I25" s="1">
        <v>0.40160110397229298</v>
      </c>
      <c r="J25" s="11">
        <v>0.36349408921259702</v>
      </c>
      <c r="M25" s="10" t="s">
        <v>855</v>
      </c>
      <c r="N25" s="1">
        <v>0.90950190958995303</v>
      </c>
      <c r="O25" s="11">
        <v>0.92778010592666105</v>
      </c>
      <c r="R25" s="15" t="s">
        <v>851</v>
      </c>
      <c r="S25" s="16">
        <v>-587.02350980640301</v>
      </c>
      <c r="T25" s="16">
        <f>S25*1</f>
        <v>-587.02350980640301</v>
      </c>
    </row>
    <row r="26" spans="8:20" x14ac:dyDescent="0.3">
      <c r="H26" s="10" t="s">
        <v>292</v>
      </c>
      <c r="I26" s="1">
        <v>0.46817681697104702</v>
      </c>
      <c r="J26" s="11">
        <v>0.47081780323174699</v>
      </c>
      <c r="M26" s="10" t="s">
        <v>856</v>
      </c>
      <c r="N26" s="1">
        <v>0.94099178808745398</v>
      </c>
      <c r="O26" s="11">
        <v>0.95095819872565401</v>
      </c>
      <c r="R26" s="15" t="s">
        <v>847</v>
      </c>
      <c r="S26" s="16">
        <v>362.82333771979302</v>
      </c>
      <c r="T26" s="16">
        <f>S26*2</f>
        <v>725.64667543958603</v>
      </c>
    </row>
    <row r="27" spans="8:20" x14ac:dyDescent="0.3">
      <c r="H27" s="12" t="s">
        <v>359</v>
      </c>
      <c r="I27" s="13">
        <v>0.37617599590892697</v>
      </c>
      <c r="J27" s="14">
        <v>0.36749657232618699</v>
      </c>
      <c r="M27" s="10" t="s">
        <v>857</v>
      </c>
      <c r="N27" s="1">
        <v>0.95218659107955905</v>
      </c>
      <c r="O27" s="11">
        <v>0.95905601192513301</v>
      </c>
      <c r="R27" s="15" t="s">
        <v>848</v>
      </c>
      <c r="S27" s="16">
        <v>-399.42194334066301</v>
      </c>
      <c r="T27" s="16">
        <f>S27*2</f>
        <v>-798.84388668132601</v>
      </c>
    </row>
    <row r="28" spans="8:20" x14ac:dyDescent="0.3">
      <c r="H28" s="25" t="s">
        <v>869</v>
      </c>
      <c r="I28" s="30">
        <v>0.390576165325628</v>
      </c>
      <c r="J28" s="31">
        <v>0.38114741492763798</v>
      </c>
      <c r="K28" t="s">
        <v>871</v>
      </c>
      <c r="M28" s="18" t="s">
        <v>858</v>
      </c>
      <c r="N28" s="24" t="s">
        <v>852</v>
      </c>
      <c r="O28" s="19" t="s">
        <v>853</v>
      </c>
      <c r="R28" s="15" t="s">
        <v>843</v>
      </c>
      <c r="S28" s="16">
        <v>280.06486220774599</v>
      </c>
      <c r="T28" s="16">
        <f>S28*4</f>
        <v>1120.259448830984</v>
      </c>
    </row>
    <row r="29" spans="8:20" x14ac:dyDescent="0.3">
      <c r="I29" s="1">
        <v>0.35159815717039</v>
      </c>
      <c r="J29" s="1">
        <v>0.349275093973823</v>
      </c>
      <c r="K29" t="s">
        <v>872</v>
      </c>
      <c r="M29" s="10" t="s">
        <v>854</v>
      </c>
      <c r="N29" s="1">
        <v>0.77138054512682597</v>
      </c>
      <c r="O29" s="11">
        <v>0.77587261547083097</v>
      </c>
      <c r="R29" s="15" t="s">
        <v>844</v>
      </c>
      <c r="S29" s="16">
        <v>-268.31059741516299</v>
      </c>
      <c r="T29" s="16">
        <f>S29*4</f>
        <v>-1073.242389660652</v>
      </c>
    </row>
    <row r="30" spans="8:20" x14ac:dyDescent="0.3">
      <c r="I30" s="1">
        <v>0.32978166299461398</v>
      </c>
      <c r="J30" s="1">
        <v>0.32737188930425598</v>
      </c>
      <c r="K30" t="s">
        <v>873</v>
      </c>
      <c r="M30" s="10" t="s">
        <v>855</v>
      </c>
      <c r="N30" s="1">
        <v>0.83966181008832397</v>
      </c>
      <c r="O30" s="11">
        <v>0.85682243530369695</v>
      </c>
      <c r="R30" s="15" t="s">
        <v>845</v>
      </c>
      <c r="S30" s="16">
        <v>215.47446188081901</v>
      </c>
      <c r="T30" s="16">
        <f>S30*6</f>
        <v>1292.846771284914</v>
      </c>
    </row>
    <row r="31" spans="8:20" x14ac:dyDescent="0.3">
      <c r="I31" s="1">
        <v>0.410232469023804</v>
      </c>
      <c r="J31" s="1">
        <v>0.39803606232112199</v>
      </c>
      <c r="K31" t="s">
        <v>874</v>
      </c>
      <c r="M31" s="10" t="s">
        <v>856</v>
      </c>
      <c r="N31" s="1">
        <v>0.94894590965330305</v>
      </c>
      <c r="O31" s="11">
        <v>0.93890202319021099</v>
      </c>
      <c r="R31" s="15" t="s">
        <v>846</v>
      </c>
      <c r="S31" s="16">
        <v>-211.830866725226</v>
      </c>
      <c r="T31" s="16">
        <f>S31*6</f>
        <v>-1270.9852003513561</v>
      </c>
    </row>
    <row r="32" spans="8:20" x14ac:dyDescent="0.3">
      <c r="M32" s="12" t="s">
        <v>857</v>
      </c>
      <c r="N32" s="13">
        <v>0.995225195883089</v>
      </c>
      <c r="O32" s="14">
        <v>0.98943568989233399</v>
      </c>
    </row>
  </sheetData>
  <phoneticPr fontId="18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23D7-6B08-4E49-B701-47E1A8735C10}">
  <dimension ref="A3:E13"/>
  <sheetViews>
    <sheetView workbookViewId="0"/>
  </sheetViews>
  <sheetFormatPr defaultRowHeight="14.4" x14ac:dyDescent="0.3"/>
  <cols>
    <col min="1" max="1" width="25.6640625" bestFit="1" customWidth="1"/>
    <col min="2" max="5" width="8" customWidth="1"/>
  </cols>
  <sheetData>
    <row r="3" spans="1:5" x14ac:dyDescent="0.3">
      <c r="A3" s="5" t="s">
        <v>829</v>
      </c>
      <c r="B3" s="5" t="s">
        <v>818</v>
      </c>
      <c r="C3" s="5" t="s">
        <v>819</v>
      </c>
      <c r="D3" s="5" t="s">
        <v>820</v>
      </c>
      <c r="E3" s="5" t="s">
        <v>821</v>
      </c>
    </row>
    <row r="4" spans="1:5" x14ac:dyDescent="0.3">
      <c r="A4" s="4" t="s">
        <v>592</v>
      </c>
      <c r="B4" s="1">
        <v>0.95970833333333305</v>
      </c>
      <c r="C4" s="1">
        <v>0.98399999999999999</v>
      </c>
      <c r="D4" s="1">
        <v>1</v>
      </c>
      <c r="E4" s="1">
        <v>1</v>
      </c>
    </row>
    <row r="5" spans="1:5" x14ac:dyDescent="0.3">
      <c r="A5" s="4" t="s">
        <v>589</v>
      </c>
      <c r="B5" s="1">
        <v>0.86418825437717617</v>
      </c>
      <c r="C5" s="1">
        <v>0.96675837136692955</v>
      </c>
      <c r="D5" s="1">
        <v>0.98398613297711601</v>
      </c>
      <c r="E5" s="1">
        <v>0.98758938557850773</v>
      </c>
    </row>
    <row r="6" spans="1:5" x14ac:dyDescent="0.3">
      <c r="A6" s="4" t="s">
        <v>583</v>
      </c>
      <c r="B6" s="1">
        <v>0.8963840822332193</v>
      </c>
      <c r="C6" s="1">
        <v>0.97120856747163298</v>
      </c>
      <c r="D6" s="1">
        <v>0.99408031424747001</v>
      </c>
      <c r="E6" s="1">
        <v>0.99751350792814775</v>
      </c>
    </row>
    <row r="7" spans="1:5" x14ac:dyDescent="0.3">
      <c r="A7" s="4" t="s">
        <v>577</v>
      </c>
      <c r="B7" s="1">
        <v>0.76318376521934084</v>
      </c>
      <c r="C7" s="1">
        <v>0.852960304327538</v>
      </c>
      <c r="D7" s="1">
        <v>0.92005919579253659</v>
      </c>
      <c r="E7" s="1">
        <v>0.94067491334459918</v>
      </c>
    </row>
    <row r="8" spans="1:5" x14ac:dyDescent="0.3">
      <c r="A8" s="4" t="s">
        <v>367</v>
      </c>
      <c r="B8" s="1">
        <v>0.76575322242737121</v>
      </c>
      <c r="C8" s="1">
        <v>0.84879695549411527</v>
      </c>
      <c r="D8" s="1">
        <v>0.94676746654962052</v>
      </c>
      <c r="E8" s="1">
        <v>0.9835595394203962</v>
      </c>
    </row>
    <row r="9" spans="1:5" x14ac:dyDescent="0.3">
      <c r="A9" s="4" t="s">
        <v>591</v>
      </c>
      <c r="B9" s="1">
        <v>0.89713121852533206</v>
      </c>
      <c r="C9" s="1">
        <v>0.94934144624107386</v>
      </c>
      <c r="D9" s="1">
        <v>0.94849815380360458</v>
      </c>
      <c r="E9" s="1">
        <v>0.94765496056533971</v>
      </c>
    </row>
    <row r="10" spans="1:5" x14ac:dyDescent="0.3">
      <c r="A10" s="4" t="s">
        <v>14</v>
      </c>
      <c r="B10" s="1">
        <v>0.77699053814390373</v>
      </c>
      <c r="C10" s="1">
        <v>0.82083463015183511</v>
      </c>
      <c r="D10" s="1">
        <v>0.84261095176640088</v>
      </c>
      <c r="E10" s="1">
        <v>0.8586646145631821</v>
      </c>
    </row>
    <row r="11" spans="1:5" x14ac:dyDescent="0.3">
      <c r="A11" s="4" t="s">
        <v>575</v>
      </c>
      <c r="B11" s="1">
        <v>0.72140697770770157</v>
      </c>
      <c r="C11" s="1">
        <v>0.79484816624387677</v>
      </c>
      <c r="D11" s="1">
        <v>0.84488029483894</v>
      </c>
      <c r="E11" s="1">
        <v>0.86167982708800406</v>
      </c>
    </row>
    <row r="12" spans="1:5" x14ac:dyDescent="0.3">
      <c r="A12" s="4" t="s">
        <v>598</v>
      </c>
      <c r="B12" s="1">
        <v>0.72656749796428799</v>
      </c>
      <c r="C12" s="1">
        <v>0.78958339015144097</v>
      </c>
      <c r="D12" s="1">
        <v>0.86084732357490401</v>
      </c>
      <c r="E12" s="1">
        <v>0.86494212345178745</v>
      </c>
    </row>
    <row r="13" spans="1:5" x14ac:dyDescent="0.3">
      <c r="A13" s="4" t="s">
        <v>595</v>
      </c>
      <c r="B13" s="1">
        <v>0.65068567272743094</v>
      </c>
      <c r="C13" s="1">
        <v>0.75038993990482217</v>
      </c>
      <c r="D13" s="1">
        <v>0.89087556978111515</v>
      </c>
      <c r="E13" s="1">
        <v>0.93814361891490639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894A-6476-4240-AD20-DF9C6A774055}">
  <dimension ref="A1:E13"/>
  <sheetViews>
    <sheetView workbookViewId="0">
      <selection activeCell="A3" sqref="A3"/>
    </sheetView>
  </sheetViews>
  <sheetFormatPr defaultRowHeight="14.4" x14ac:dyDescent="0.3"/>
  <cols>
    <col min="1" max="1" width="25.6640625" bestFit="1" customWidth="1"/>
    <col min="2" max="2" width="8.21875" bestFit="1" customWidth="1"/>
    <col min="3" max="5" width="7.6640625" bestFit="1" customWidth="1"/>
  </cols>
  <sheetData>
    <row r="1" spans="1:5" x14ac:dyDescent="0.3">
      <c r="A1" s="3" t="s">
        <v>0</v>
      </c>
      <c r="B1" t="s">
        <v>822</v>
      </c>
    </row>
    <row r="3" spans="1:5" x14ac:dyDescent="0.3">
      <c r="A3" s="3" t="s">
        <v>816</v>
      </c>
      <c r="B3" t="s">
        <v>818</v>
      </c>
      <c r="C3" t="s">
        <v>819</v>
      </c>
      <c r="D3" t="s">
        <v>820</v>
      </c>
      <c r="E3" t="s">
        <v>821</v>
      </c>
    </row>
    <row r="4" spans="1:5" x14ac:dyDescent="0.3">
      <c r="A4" s="4" t="s">
        <v>592</v>
      </c>
      <c r="B4" s="1">
        <v>0.95970833333333305</v>
      </c>
      <c r="C4" s="1">
        <v>0.98399999999999999</v>
      </c>
      <c r="D4" s="1">
        <v>1</v>
      </c>
      <c r="E4" s="1">
        <v>1</v>
      </c>
    </row>
    <row r="5" spans="1:5" x14ac:dyDescent="0.3">
      <c r="A5" s="4" t="s">
        <v>589</v>
      </c>
      <c r="B5" s="1">
        <v>0.91817708197751424</v>
      </c>
      <c r="C5" s="1">
        <v>0.98135499754810307</v>
      </c>
      <c r="D5" s="1">
        <v>0.99285365155833483</v>
      </c>
      <c r="E5" s="1">
        <v>0.99515386907252801</v>
      </c>
    </row>
    <row r="6" spans="1:5" x14ac:dyDescent="0.3">
      <c r="A6" s="4" t="s">
        <v>583</v>
      </c>
      <c r="B6" s="1">
        <v>0.85657664484397067</v>
      </c>
      <c r="C6" s="1">
        <v>0.94843567074934931</v>
      </c>
      <c r="D6" s="1">
        <v>0.97978024109026474</v>
      </c>
      <c r="E6" s="1">
        <v>0.9868737852362035</v>
      </c>
    </row>
    <row r="7" spans="1:5" x14ac:dyDescent="0.3">
      <c r="A7" s="4" t="s">
        <v>577</v>
      </c>
      <c r="B7" s="1">
        <v>0.83486047440995559</v>
      </c>
      <c r="C7" s="1">
        <v>0.90198523967938005</v>
      </c>
      <c r="D7" s="1">
        <v>0.93760603661060737</v>
      </c>
      <c r="E7" s="1">
        <v>0.94989446126854393</v>
      </c>
    </row>
    <row r="8" spans="1:5" x14ac:dyDescent="0.3">
      <c r="A8" s="4" t="s">
        <v>367</v>
      </c>
      <c r="B8" s="1">
        <v>0.825622321902859</v>
      </c>
      <c r="C8" s="1">
        <v>0.88692501930784995</v>
      </c>
      <c r="D8" s="1">
        <v>0.95927135002341957</v>
      </c>
      <c r="E8" s="1">
        <v>0.98643117565754401</v>
      </c>
    </row>
    <row r="9" spans="1:5" x14ac:dyDescent="0.3">
      <c r="A9" s="4" t="s">
        <v>591</v>
      </c>
      <c r="B9" s="1">
        <v>0.82302752288936543</v>
      </c>
      <c r="C9" s="1">
        <v>0.86802075964992909</v>
      </c>
      <c r="D9" s="1">
        <v>0.86777624933548492</v>
      </c>
      <c r="E9" s="1">
        <v>0.86767328055156223</v>
      </c>
    </row>
    <row r="10" spans="1:5" x14ac:dyDescent="0.3">
      <c r="A10" s="4" t="s">
        <v>14</v>
      </c>
      <c r="B10" s="1">
        <v>0.80922417505119792</v>
      </c>
      <c r="C10" s="1">
        <v>0.86695152310970669</v>
      </c>
      <c r="D10" s="1">
        <v>0.89127593270559846</v>
      </c>
      <c r="E10" s="1">
        <v>0.90497343641873873</v>
      </c>
    </row>
    <row r="11" spans="1:5" x14ac:dyDescent="0.3">
      <c r="A11" s="4" t="s">
        <v>575</v>
      </c>
      <c r="B11" s="1">
        <v>0.80471803095682293</v>
      </c>
      <c r="C11" s="1">
        <v>0.86534927732154354</v>
      </c>
      <c r="D11" s="1">
        <v>0.88672067604243987</v>
      </c>
      <c r="E11" s="1">
        <v>0.89308496443457897</v>
      </c>
    </row>
    <row r="12" spans="1:5" x14ac:dyDescent="0.3">
      <c r="A12" s="4" t="s">
        <v>598</v>
      </c>
      <c r="B12" s="1">
        <v>0.73713494565806315</v>
      </c>
      <c r="C12" s="1">
        <v>0.79687029211369897</v>
      </c>
      <c r="D12" s="1">
        <v>0.83893379691359948</v>
      </c>
      <c r="E12" s="1">
        <v>0.84632253333238872</v>
      </c>
    </row>
    <row r="13" spans="1:5" x14ac:dyDescent="0.3">
      <c r="A13" s="4" t="s">
        <v>595</v>
      </c>
      <c r="B13" s="1">
        <v>0.64289295366965749</v>
      </c>
      <c r="C13" s="1">
        <v>0.73265598656307729</v>
      </c>
      <c r="D13" s="1">
        <v>0.85690606239882827</v>
      </c>
      <c r="E13" s="1">
        <v>0.90075517898288748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5C04-A0F4-44A4-8002-D0D106D5D3B5}">
  <dimension ref="A3:B15"/>
  <sheetViews>
    <sheetView workbookViewId="0"/>
  </sheetViews>
  <sheetFormatPr defaultRowHeight="14.4" x14ac:dyDescent="0.3"/>
  <cols>
    <col min="1" max="1" width="25.6640625" bestFit="1" customWidth="1"/>
    <col min="2" max="2" width="20.6640625" bestFit="1" customWidth="1"/>
  </cols>
  <sheetData>
    <row r="3" spans="1:2" x14ac:dyDescent="0.3">
      <c r="A3" s="3" t="s">
        <v>816</v>
      </c>
      <c r="B3" t="s">
        <v>817</v>
      </c>
    </row>
    <row r="4" spans="1:2" x14ac:dyDescent="0.3">
      <c r="A4" s="4" t="s">
        <v>14</v>
      </c>
      <c r="B4" s="1">
        <v>0.56400472806598645</v>
      </c>
    </row>
    <row r="5" spans="1:2" x14ac:dyDescent="0.3">
      <c r="A5" s="4" t="s">
        <v>595</v>
      </c>
      <c r="B5" s="1">
        <v>0.64289295366965749</v>
      </c>
    </row>
    <row r="6" spans="1:2" x14ac:dyDescent="0.3">
      <c r="A6" s="4" t="s">
        <v>581</v>
      </c>
      <c r="B6" s="1">
        <v>0.80257645285868318</v>
      </c>
    </row>
    <row r="7" spans="1:2" x14ac:dyDescent="0.3">
      <c r="A7" s="4" t="s">
        <v>35</v>
      </c>
      <c r="B7" s="1">
        <v>0.81423718793351896</v>
      </c>
    </row>
    <row r="8" spans="1:2" x14ac:dyDescent="0.3">
      <c r="A8" s="4" t="s">
        <v>577</v>
      </c>
      <c r="B8" s="1">
        <v>0.77522758338067299</v>
      </c>
    </row>
    <row r="9" spans="1:2" x14ac:dyDescent="0.3">
      <c r="A9" s="4" t="s">
        <v>575</v>
      </c>
      <c r="B9" s="1">
        <v>0.75182576601130402</v>
      </c>
    </row>
    <row r="10" spans="1:2" x14ac:dyDescent="0.3">
      <c r="A10" s="4" t="s">
        <v>592</v>
      </c>
      <c r="B10" s="1">
        <v>0.95970833333333305</v>
      </c>
    </row>
    <row r="11" spans="1:2" x14ac:dyDescent="0.3">
      <c r="A11" s="4" t="s">
        <v>367</v>
      </c>
      <c r="B11" s="1">
        <v>0.825622321902859</v>
      </c>
    </row>
    <row r="12" spans="1:2" x14ac:dyDescent="0.3">
      <c r="A12" s="4" t="s">
        <v>583</v>
      </c>
      <c r="B12" s="1">
        <v>0.68526131587517658</v>
      </c>
    </row>
    <row r="13" spans="1:2" x14ac:dyDescent="0.3">
      <c r="A13" s="4" t="s">
        <v>589</v>
      </c>
      <c r="B13" s="1">
        <v>0.15302951366291903</v>
      </c>
    </row>
    <row r="14" spans="1:2" x14ac:dyDescent="0.3">
      <c r="A14" s="4" t="s">
        <v>591</v>
      </c>
      <c r="B14" s="1">
        <v>0.78724371754634959</v>
      </c>
    </row>
    <row r="15" spans="1:2" x14ac:dyDescent="0.3">
      <c r="A15" s="4" t="s">
        <v>598</v>
      </c>
      <c r="B15" s="1">
        <v>0.66342145109225681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876B-A1B7-4350-BBDC-D6DF81834643}">
  <dimension ref="A1:U369"/>
  <sheetViews>
    <sheetView workbookViewId="0">
      <selection activeCell="G66" sqref="G66"/>
    </sheetView>
  </sheetViews>
  <sheetFormatPr defaultRowHeight="14.4" x14ac:dyDescent="0.3"/>
  <cols>
    <col min="1" max="1" width="12.77734375" customWidth="1"/>
    <col min="2" max="2" width="21.6640625" customWidth="1"/>
    <col min="3" max="3" width="15.5546875" customWidth="1"/>
    <col min="4" max="4" width="21.44140625" customWidth="1"/>
    <col min="5" max="5" width="14.21875" style="2" bestFit="1" customWidth="1"/>
    <col min="6" max="6" width="16.6640625" style="2" bestFit="1" customWidth="1"/>
    <col min="7" max="7" width="14.21875" style="2" bestFit="1" customWidth="1"/>
    <col min="8" max="8" width="16.6640625" style="2" bestFit="1" customWidth="1"/>
    <col min="9" max="9" width="14.21875" style="1" bestFit="1" customWidth="1"/>
    <col min="10" max="10" width="16.6640625" style="1" bestFit="1" customWidth="1"/>
    <col min="11" max="11" width="14.21875" style="1" bestFit="1" customWidth="1"/>
    <col min="12" max="12" width="16.6640625" style="1" bestFit="1" customWidth="1"/>
  </cols>
  <sheetData>
    <row r="1" spans="1:21" x14ac:dyDescent="0.3">
      <c r="E1" s="32" t="s">
        <v>804</v>
      </c>
      <c r="F1" s="32"/>
      <c r="G1" s="32" t="s">
        <v>805</v>
      </c>
      <c r="H1" s="32"/>
      <c r="I1" s="32" t="s">
        <v>806</v>
      </c>
      <c r="J1" s="32"/>
      <c r="K1" s="32" t="s">
        <v>807</v>
      </c>
      <c r="L1" s="32"/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808</v>
      </c>
      <c r="F2" t="s">
        <v>809</v>
      </c>
      <c r="G2" t="s">
        <v>810</v>
      </c>
      <c r="H2" t="s">
        <v>811</v>
      </c>
      <c r="I2" t="s">
        <v>812</v>
      </c>
      <c r="J2" t="s">
        <v>813</v>
      </c>
      <c r="K2" t="s">
        <v>814</v>
      </c>
      <c r="L2" t="s">
        <v>815</v>
      </c>
      <c r="N2" s="1"/>
      <c r="O2" s="1"/>
      <c r="P2" s="1"/>
      <c r="Q2" s="1"/>
      <c r="R2" s="1"/>
      <c r="S2" s="1"/>
      <c r="T2" s="1"/>
      <c r="U2" s="1"/>
    </row>
    <row r="3" spans="1:21" x14ac:dyDescent="0.3">
      <c r="A3" t="s">
        <v>10</v>
      </c>
      <c r="B3" t="s">
        <v>12</v>
      </c>
      <c r="C3" t="s">
        <v>576</v>
      </c>
      <c r="D3" t="s">
        <v>577</v>
      </c>
      <c r="E3" s="2">
        <v>0.75390999374956502</v>
      </c>
      <c r="F3" s="2">
        <v>0.88878394332939703</v>
      </c>
      <c r="G3" s="2">
        <v>0.81008403361344505</v>
      </c>
      <c r="H3" s="2">
        <v>0.90802139037433105</v>
      </c>
      <c r="I3" s="1">
        <v>0.86471282727967202</v>
      </c>
      <c r="J3" s="1">
        <v>0.90858740190290999</v>
      </c>
      <c r="K3" s="1">
        <v>0.91163969720119398</v>
      </c>
      <c r="L3" s="1">
        <v>0.90731995277449795</v>
      </c>
      <c r="N3" s="1"/>
      <c r="O3" s="1"/>
      <c r="P3" s="1"/>
      <c r="Q3" s="1"/>
      <c r="R3" s="1"/>
      <c r="S3" s="1"/>
      <c r="T3" s="1"/>
      <c r="U3" s="1"/>
    </row>
    <row r="4" spans="1:21" x14ac:dyDescent="0.3">
      <c r="A4" t="s">
        <v>10</v>
      </c>
      <c r="B4" t="s">
        <v>13</v>
      </c>
      <c r="C4" t="s">
        <v>576</v>
      </c>
      <c r="D4" t="s">
        <v>14</v>
      </c>
      <c r="E4" s="2">
        <v>0.75936446497690002</v>
      </c>
      <c r="F4" s="2">
        <v>0.77865526282931696</v>
      </c>
      <c r="G4" s="2">
        <v>0.80977650143588398</v>
      </c>
      <c r="H4" s="2">
        <v>0.76176801098763802</v>
      </c>
      <c r="I4" s="1">
        <v>0.76298539143463595</v>
      </c>
      <c r="J4" s="1">
        <v>1</v>
      </c>
      <c r="K4" s="1">
        <v>0.79482457235609905</v>
      </c>
      <c r="L4" s="1">
        <v>0.96753652141340996</v>
      </c>
    </row>
    <row r="5" spans="1:21" x14ac:dyDescent="0.3">
      <c r="A5" t="s">
        <v>10</v>
      </c>
      <c r="B5" t="s">
        <v>15</v>
      </c>
      <c r="C5" t="s">
        <v>574</v>
      </c>
      <c r="D5" t="s">
        <v>575</v>
      </c>
      <c r="E5" s="2">
        <v>0.84816004254709798</v>
      </c>
      <c r="F5" s="2">
        <v>0.81427373330333197</v>
      </c>
      <c r="G5" s="2">
        <v>0.89179536482091304</v>
      </c>
      <c r="H5" s="2">
        <v>0.853795487552928</v>
      </c>
      <c r="I5" s="1">
        <v>0.87631681224047198</v>
      </c>
      <c r="J5" s="1">
        <v>0.85550350809008502</v>
      </c>
      <c r="K5" s="1">
        <v>0.87738662630147002</v>
      </c>
      <c r="L5" s="1">
        <v>0.859003416041074</v>
      </c>
    </row>
    <row r="6" spans="1:21" x14ac:dyDescent="0.3">
      <c r="A6" t="s">
        <v>10</v>
      </c>
      <c r="B6" t="s">
        <v>16</v>
      </c>
      <c r="C6" t="s">
        <v>574</v>
      </c>
      <c r="D6" t="s">
        <v>575</v>
      </c>
      <c r="E6" s="2">
        <v>0.644303466225988</v>
      </c>
      <c r="F6" s="2">
        <v>0.66310677105589499</v>
      </c>
      <c r="G6" s="2">
        <v>0.77210175459750796</v>
      </c>
      <c r="H6" s="2">
        <v>0.77581541505426399</v>
      </c>
      <c r="I6" s="1">
        <v>0.87297676854123496</v>
      </c>
      <c r="J6" s="1">
        <v>0.87899986601252</v>
      </c>
      <c r="K6" s="1">
        <v>0.93352766230339301</v>
      </c>
      <c r="L6" s="1">
        <v>0.90122099168794201</v>
      </c>
    </row>
    <row r="7" spans="1:21" x14ac:dyDescent="0.3">
      <c r="A7" t="s">
        <v>10</v>
      </c>
      <c r="B7" t="s">
        <v>17</v>
      </c>
      <c r="C7" t="s">
        <v>576</v>
      </c>
      <c r="D7" t="s">
        <v>14</v>
      </c>
      <c r="E7" s="2">
        <v>0.88337412745897903</v>
      </c>
      <c r="F7" s="2">
        <v>0.93491070619164096</v>
      </c>
      <c r="G7" s="2">
        <v>0.97479829571208398</v>
      </c>
      <c r="H7" s="2">
        <v>0.985359441573746</v>
      </c>
      <c r="I7" s="1">
        <v>0.97860574743903495</v>
      </c>
      <c r="J7" s="1">
        <v>0.985359441573746</v>
      </c>
      <c r="K7" s="1">
        <v>0.97189738011059701</v>
      </c>
      <c r="L7" s="1">
        <v>0.985359441573746</v>
      </c>
    </row>
    <row r="8" spans="1:21" x14ac:dyDescent="0.3">
      <c r="A8" t="s">
        <v>10</v>
      </c>
      <c r="B8" t="s">
        <v>578</v>
      </c>
      <c r="C8" t="s">
        <v>574</v>
      </c>
      <c r="D8" t="s">
        <v>575</v>
      </c>
      <c r="E8" s="2">
        <v>0.768040419866728</v>
      </c>
      <c r="F8" s="2">
        <v>0.85243577727105202</v>
      </c>
      <c r="G8" s="2">
        <v>0.84708019156069703</v>
      </c>
      <c r="H8" s="2">
        <v>0.86445495199324696</v>
      </c>
      <c r="I8" s="1">
        <v>0.86070580884032999</v>
      </c>
      <c r="J8" s="1">
        <v>0.86450857779705104</v>
      </c>
      <c r="K8" s="1">
        <v>0.888975933671875</v>
      </c>
      <c r="L8" s="1">
        <v>0.86570932949092705</v>
      </c>
    </row>
    <row r="9" spans="1:21" x14ac:dyDescent="0.3">
      <c r="A9" t="s">
        <v>10</v>
      </c>
      <c r="B9" t="s">
        <v>579</v>
      </c>
      <c r="C9" t="s">
        <v>576</v>
      </c>
      <c r="D9" t="s">
        <v>14</v>
      </c>
      <c r="E9" s="2">
        <v>0.95594549187978295</v>
      </c>
      <c r="F9" s="2">
        <v>0.93195818555161403</v>
      </c>
      <c r="G9" s="2">
        <v>0.979839462385663</v>
      </c>
      <c r="H9" s="2">
        <v>0.98305954825462005</v>
      </c>
      <c r="I9" s="1">
        <v>0.98441291767780403</v>
      </c>
      <c r="J9" s="1">
        <v>0.98445958558894897</v>
      </c>
      <c r="K9" s="1">
        <v>0.985859622923277</v>
      </c>
      <c r="L9" s="1">
        <v>0.98445958558894897</v>
      </c>
    </row>
    <row r="10" spans="1:21" x14ac:dyDescent="0.3">
      <c r="A10" t="s">
        <v>10</v>
      </c>
      <c r="B10" t="s">
        <v>18</v>
      </c>
      <c r="C10" t="s">
        <v>574</v>
      </c>
      <c r="D10" t="s">
        <v>575</v>
      </c>
      <c r="E10" s="2">
        <v>0.86906237370335404</v>
      </c>
      <c r="F10" s="2">
        <v>0.86814630203421705</v>
      </c>
      <c r="G10" s="2">
        <v>0.98101845614980399</v>
      </c>
      <c r="H10" s="2">
        <v>0.97027482150073996</v>
      </c>
      <c r="I10" s="1">
        <v>0.97494274552067794</v>
      </c>
      <c r="J10" s="1">
        <v>0.98577394584399802</v>
      </c>
      <c r="K10" s="1">
        <v>0.97812205307827005</v>
      </c>
      <c r="L10" s="1">
        <v>0.98579415330728803</v>
      </c>
    </row>
    <row r="11" spans="1:21" x14ac:dyDescent="0.3">
      <c r="A11" t="s">
        <v>10</v>
      </c>
      <c r="B11" t="s">
        <v>20</v>
      </c>
      <c r="C11" t="s">
        <v>576</v>
      </c>
      <c r="D11" t="s">
        <v>577</v>
      </c>
      <c r="E11" s="2">
        <v>0.78841900274077903</v>
      </c>
      <c r="F11" s="2">
        <v>0.91141751214117395</v>
      </c>
      <c r="G11" s="2">
        <v>0.92073375967687598</v>
      </c>
      <c r="H11" s="2">
        <v>0.93228590662114696</v>
      </c>
      <c r="I11" s="1">
        <v>0.93252031543011005</v>
      </c>
      <c r="J11" s="1">
        <v>0.93238808481992597</v>
      </c>
      <c r="K11" s="1">
        <v>0.93241813723133105</v>
      </c>
      <c r="L11" s="1">
        <v>0.93243616867817403</v>
      </c>
    </row>
    <row r="12" spans="1:21" x14ac:dyDescent="0.3">
      <c r="A12" t="s">
        <v>10</v>
      </c>
      <c r="B12" t="s">
        <v>582</v>
      </c>
      <c r="C12" t="s">
        <v>574</v>
      </c>
      <c r="D12" t="s">
        <v>575</v>
      </c>
      <c r="E12" s="2">
        <v>0.80899056517358203</v>
      </c>
      <c r="F12" s="2">
        <v>0.80068929193001703</v>
      </c>
      <c r="G12" s="2">
        <v>0.96766510946230599</v>
      </c>
      <c r="H12" s="2">
        <v>0.96719565814784203</v>
      </c>
      <c r="I12" s="1">
        <v>0.96836356141797197</v>
      </c>
      <c r="J12" s="1">
        <v>0.96623385545479501</v>
      </c>
      <c r="K12" s="1">
        <v>0.96720710817990296</v>
      </c>
      <c r="L12" s="1">
        <v>0.96297059631766901</v>
      </c>
    </row>
    <row r="13" spans="1:21" x14ac:dyDescent="0.3">
      <c r="A13" t="s">
        <v>10</v>
      </c>
      <c r="B13" t="s">
        <v>21</v>
      </c>
      <c r="C13" t="s">
        <v>576</v>
      </c>
      <c r="D13" t="s">
        <v>583</v>
      </c>
      <c r="E13" s="2">
        <v>0.88699754901960703</v>
      </c>
      <c r="F13" s="2">
        <v>0.90952205882352899</v>
      </c>
      <c r="G13" s="2">
        <v>0.97844362745098001</v>
      </c>
      <c r="H13" s="2">
        <v>0.99007352941176396</v>
      </c>
      <c r="I13" s="1">
        <v>0.99431372549019603</v>
      </c>
      <c r="J13" s="1">
        <v>0.99599264705882296</v>
      </c>
      <c r="K13" s="1">
        <v>0.99803921568627396</v>
      </c>
      <c r="L13" s="1">
        <v>1</v>
      </c>
    </row>
    <row r="14" spans="1:21" x14ac:dyDescent="0.3">
      <c r="A14" t="s">
        <v>10</v>
      </c>
      <c r="B14" t="s">
        <v>22</v>
      </c>
      <c r="C14" t="s">
        <v>574</v>
      </c>
      <c r="D14" t="s">
        <v>575</v>
      </c>
      <c r="E14" s="2">
        <v>0.81795421901419896</v>
      </c>
      <c r="F14" s="2">
        <v>0.74799412737950199</v>
      </c>
      <c r="G14" s="2">
        <v>0.90448400938164697</v>
      </c>
      <c r="H14" s="2">
        <v>0.86989372920492303</v>
      </c>
      <c r="I14" s="1">
        <v>0.92378820385083904</v>
      </c>
      <c r="J14" s="1">
        <v>0.91100934528463096</v>
      </c>
      <c r="K14" s="1">
        <v>0.99175105907165295</v>
      </c>
      <c r="L14" s="1">
        <v>0.91631243068307799</v>
      </c>
    </row>
    <row r="15" spans="1:21" x14ac:dyDescent="0.3">
      <c r="A15" t="s">
        <v>10</v>
      </c>
      <c r="B15" t="s">
        <v>23</v>
      </c>
      <c r="C15" t="s">
        <v>574</v>
      </c>
      <c r="D15" t="s">
        <v>575</v>
      </c>
      <c r="E15" s="2">
        <v>0.74112239330993601</v>
      </c>
      <c r="F15" s="2">
        <v>0.91739611917693298</v>
      </c>
      <c r="G15" s="2">
        <v>0.92834401387520404</v>
      </c>
      <c r="H15" s="2">
        <v>0.97532550545969698</v>
      </c>
      <c r="I15" s="1">
        <v>0.98479345976272004</v>
      </c>
      <c r="J15" s="1">
        <v>0.97963911439715301</v>
      </c>
      <c r="K15" s="1">
        <v>0.98636704150347199</v>
      </c>
      <c r="L15" s="1">
        <v>0.98100912799550499</v>
      </c>
    </row>
    <row r="16" spans="1:21" x14ac:dyDescent="0.3">
      <c r="A16" t="s">
        <v>10</v>
      </c>
      <c r="B16" t="s">
        <v>24</v>
      </c>
      <c r="C16" t="s">
        <v>576</v>
      </c>
      <c r="D16" t="s">
        <v>583</v>
      </c>
      <c r="E16" s="2">
        <v>0.89832128898011898</v>
      </c>
      <c r="F16" s="2">
        <v>0.88691898883671205</v>
      </c>
      <c r="G16" s="2">
        <v>0.938405083935551</v>
      </c>
      <c r="H16" s="2">
        <v>0.95981778815060503</v>
      </c>
      <c r="I16" s="1">
        <v>0.98213030396760603</v>
      </c>
      <c r="J16" s="1">
        <v>0.99031296572280103</v>
      </c>
      <c r="K16" s="1">
        <v>0.99273120940303095</v>
      </c>
      <c r="L16" s="1">
        <v>0.99841127014031406</v>
      </c>
    </row>
    <row r="17" spans="1:12" x14ac:dyDescent="0.3">
      <c r="A17" t="s">
        <v>10</v>
      </c>
      <c r="B17" t="s">
        <v>25</v>
      </c>
      <c r="C17" t="s">
        <v>576</v>
      </c>
      <c r="D17" t="s">
        <v>583</v>
      </c>
      <c r="E17" s="2">
        <v>0.93491892225168005</v>
      </c>
      <c r="F17" s="2">
        <v>0.98872310253406404</v>
      </c>
      <c r="G17" s="2">
        <v>0.99620815093408899</v>
      </c>
      <c r="H17" s="2">
        <v>0.99814106911646805</v>
      </c>
      <c r="I17" s="1">
        <v>0.99906899315617403</v>
      </c>
      <c r="J17" s="1">
        <v>1</v>
      </c>
      <c r="K17" s="1">
        <v>1</v>
      </c>
      <c r="L17" s="1">
        <v>1</v>
      </c>
    </row>
    <row r="18" spans="1:12" x14ac:dyDescent="0.3">
      <c r="A18" t="s">
        <v>10</v>
      </c>
      <c r="B18" t="s">
        <v>26</v>
      </c>
      <c r="C18" t="s">
        <v>576</v>
      </c>
      <c r="D18" t="s">
        <v>583</v>
      </c>
      <c r="E18" s="2">
        <v>0.92156639061719503</v>
      </c>
      <c r="F18" s="2">
        <v>0.97882764276772904</v>
      </c>
      <c r="G18" s="2">
        <v>0.99701854238479504</v>
      </c>
      <c r="H18" s="2">
        <v>0.99805758190529603</v>
      </c>
      <c r="I18" s="1">
        <v>1</v>
      </c>
      <c r="J18" s="1">
        <v>0.99969167966750705</v>
      </c>
      <c r="K18" s="1">
        <v>1</v>
      </c>
      <c r="L18" s="1">
        <v>0.99969167966750705</v>
      </c>
    </row>
    <row r="19" spans="1:12" x14ac:dyDescent="0.3">
      <c r="A19" t="s">
        <v>10</v>
      </c>
      <c r="B19" t="s">
        <v>27</v>
      </c>
      <c r="C19" t="s">
        <v>576</v>
      </c>
      <c r="D19" t="s">
        <v>577</v>
      </c>
      <c r="E19" s="2">
        <v>0.72275575103629397</v>
      </c>
      <c r="F19" s="2">
        <v>0.92478562161819999</v>
      </c>
      <c r="G19" s="2">
        <v>0.78625842483308495</v>
      </c>
      <c r="H19" s="2">
        <v>0.98549583900262605</v>
      </c>
      <c r="I19" s="1">
        <v>0.89755719393728395</v>
      </c>
      <c r="J19" s="1">
        <v>0.99341043571812804</v>
      </c>
      <c r="K19" s="1">
        <v>0.979602411163497</v>
      </c>
      <c r="L19" s="1">
        <v>0.99563332595006804</v>
      </c>
    </row>
    <row r="20" spans="1:12" x14ac:dyDescent="0.3">
      <c r="A20" t="s">
        <v>10</v>
      </c>
      <c r="B20" t="s">
        <v>28</v>
      </c>
      <c r="C20" t="s">
        <v>576</v>
      </c>
      <c r="D20" t="s">
        <v>577</v>
      </c>
      <c r="E20" s="2">
        <v>0.831732384737494</v>
      </c>
      <c r="F20" s="2">
        <v>0.84971553711921899</v>
      </c>
      <c r="G20" s="2">
        <v>0.86429208718120998</v>
      </c>
      <c r="H20" s="2">
        <v>0.87130806576828101</v>
      </c>
      <c r="I20" s="1">
        <v>0.86990023521777904</v>
      </c>
      <c r="J20" s="1">
        <v>0.87104156286571699</v>
      </c>
      <c r="K20" s="1">
        <v>0.87020149936850399</v>
      </c>
      <c r="L20" s="1">
        <v>0.86937881649537097</v>
      </c>
    </row>
    <row r="21" spans="1:12" x14ac:dyDescent="0.3">
      <c r="A21" t="s">
        <v>10</v>
      </c>
      <c r="B21" t="s">
        <v>584</v>
      </c>
      <c r="C21" t="s">
        <v>576</v>
      </c>
      <c r="D21" t="s">
        <v>577</v>
      </c>
      <c r="E21" s="2">
        <v>0.83300242204286701</v>
      </c>
      <c r="F21" s="2">
        <v>0.88456384246850905</v>
      </c>
      <c r="G21" s="2">
        <v>0.86998982590143203</v>
      </c>
      <c r="H21" s="2">
        <v>0.95779077801483603</v>
      </c>
      <c r="I21" s="1">
        <v>0.94928895199192098</v>
      </c>
      <c r="J21" s="1">
        <v>0.96824580318434095</v>
      </c>
      <c r="K21" s="1">
        <v>0.95476702073541997</v>
      </c>
      <c r="L21" s="1">
        <v>0.97299687943693203</v>
      </c>
    </row>
    <row r="22" spans="1:12" x14ac:dyDescent="0.3">
      <c r="A22" t="s">
        <v>10</v>
      </c>
      <c r="B22" t="s">
        <v>29</v>
      </c>
      <c r="C22" t="s">
        <v>576</v>
      </c>
      <c r="D22" t="s">
        <v>577</v>
      </c>
      <c r="E22" s="2">
        <v>0.85002773005803001</v>
      </c>
      <c r="F22" s="2">
        <v>0.97476564719250003</v>
      </c>
      <c r="G22" s="2">
        <v>0.97862756503036696</v>
      </c>
      <c r="H22" s="2">
        <v>0.99528589013486202</v>
      </c>
      <c r="I22" s="1">
        <v>0.99147807972729796</v>
      </c>
      <c r="J22" s="1">
        <v>0.99548879299849802</v>
      </c>
      <c r="K22" s="1">
        <v>0.98984132996063601</v>
      </c>
      <c r="L22" s="1">
        <v>0.99548202956970999</v>
      </c>
    </row>
    <row r="23" spans="1:12" x14ac:dyDescent="0.3">
      <c r="A23" t="s">
        <v>10</v>
      </c>
      <c r="B23" t="s">
        <v>585</v>
      </c>
      <c r="C23" t="s">
        <v>576</v>
      </c>
      <c r="D23" t="s">
        <v>577</v>
      </c>
      <c r="E23" s="2">
        <v>0.81402059533264004</v>
      </c>
      <c r="F23" s="2">
        <v>0.95344668275398603</v>
      </c>
      <c r="G23" s="2">
        <v>0.87089735170138605</v>
      </c>
      <c r="H23" s="2">
        <v>0.99200279491722099</v>
      </c>
      <c r="I23" s="1">
        <v>0.93440344553729604</v>
      </c>
      <c r="J23" s="1">
        <v>0.99600139745861005</v>
      </c>
      <c r="K23" s="1">
        <v>0.96883686388905799</v>
      </c>
      <c r="L23" s="1">
        <v>0.99777303897611302</v>
      </c>
    </row>
    <row r="24" spans="1:12" x14ac:dyDescent="0.3">
      <c r="A24" t="s">
        <v>10</v>
      </c>
      <c r="B24" t="s">
        <v>586</v>
      </c>
      <c r="C24" t="s">
        <v>576</v>
      </c>
      <c r="D24" t="s">
        <v>577</v>
      </c>
      <c r="E24" s="2">
        <v>0.82075643568937495</v>
      </c>
      <c r="F24" s="2">
        <v>0.82401693435047396</v>
      </c>
      <c r="G24" s="2">
        <v>0.91579961018605804</v>
      </c>
      <c r="H24" s="2">
        <v>0.98612516844704801</v>
      </c>
      <c r="I24" s="1">
        <v>0.96668507776036205</v>
      </c>
      <c r="J24" s="1">
        <v>0.98612516844704801</v>
      </c>
      <c r="K24" s="1">
        <v>0.97475896890163805</v>
      </c>
      <c r="L24" s="1">
        <v>0.98612516844704801</v>
      </c>
    </row>
    <row r="25" spans="1:12" x14ac:dyDescent="0.3">
      <c r="A25" t="s">
        <v>10</v>
      </c>
      <c r="B25" t="s">
        <v>587</v>
      </c>
      <c r="C25" t="s">
        <v>576</v>
      </c>
      <c r="D25" t="s">
        <v>577</v>
      </c>
      <c r="E25" s="2">
        <v>0.76584258934374805</v>
      </c>
      <c r="F25" s="2">
        <v>0.80893696326164299</v>
      </c>
      <c r="G25" s="2">
        <v>0.95287918965090701</v>
      </c>
      <c r="H25" s="2">
        <v>0.98065584897412095</v>
      </c>
      <c r="I25" s="1">
        <v>0.96144399514526802</v>
      </c>
      <c r="J25" s="1">
        <v>0.98256265422689504</v>
      </c>
      <c r="K25" s="1">
        <v>0.98506479686628201</v>
      </c>
      <c r="L25" s="1">
        <v>0.98256265422689504</v>
      </c>
    </row>
    <row r="26" spans="1:12" x14ac:dyDescent="0.3">
      <c r="A26" t="s">
        <v>10</v>
      </c>
      <c r="B26" t="s">
        <v>588</v>
      </c>
      <c r="C26" t="s">
        <v>576</v>
      </c>
      <c r="D26" t="s">
        <v>577</v>
      </c>
      <c r="E26" s="2">
        <v>0.73873759404689499</v>
      </c>
      <c r="F26" s="2">
        <v>0.85371446898226899</v>
      </c>
      <c r="G26" s="2">
        <v>0.78376793966978198</v>
      </c>
      <c r="H26" s="2">
        <v>0.975973241872928</v>
      </c>
      <c r="I26" s="1">
        <v>0.82249081219012499</v>
      </c>
      <c r="J26" s="1">
        <v>0.98601542605675097</v>
      </c>
      <c r="K26" s="1">
        <v>0.82292982914266299</v>
      </c>
      <c r="L26" s="1">
        <v>0.98891241217470205</v>
      </c>
    </row>
    <row r="27" spans="1:12" x14ac:dyDescent="0.3">
      <c r="A27" t="s">
        <v>10</v>
      </c>
      <c r="B27" t="s">
        <v>30</v>
      </c>
      <c r="C27" t="s">
        <v>576</v>
      </c>
      <c r="D27" t="s">
        <v>583</v>
      </c>
      <c r="E27" s="2">
        <v>0.82492312307807603</v>
      </c>
      <c r="F27" s="2">
        <v>0.70597014925373103</v>
      </c>
      <c r="G27" s="2">
        <v>0.86914422860571505</v>
      </c>
      <c r="H27" s="2">
        <v>0.76589664741618502</v>
      </c>
      <c r="I27" s="1">
        <v>0.90134253356333904</v>
      </c>
      <c r="J27" s="1">
        <v>0.83510837770944202</v>
      </c>
      <c r="K27" s="1">
        <v>0.96077401935048301</v>
      </c>
      <c r="L27" s="1">
        <v>0.96132903322582997</v>
      </c>
    </row>
    <row r="28" spans="1:12" x14ac:dyDescent="0.3">
      <c r="A28" t="s">
        <v>10</v>
      </c>
      <c r="B28" t="s">
        <v>31</v>
      </c>
      <c r="C28" t="s">
        <v>576</v>
      </c>
      <c r="D28" t="s">
        <v>583</v>
      </c>
      <c r="E28" s="2">
        <v>0.96234398138354105</v>
      </c>
      <c r="F28" s="2">
        <v>0.92430011987871097</v>
      </c>
      <c r="G28" s="2">
        <v>0.99457019956279502</v>
      </c>
      <c r="H28" s="2">
        <v>0.99457019956279502</v>
      </c>
      <c r="I28" s="1">
        <v>0.995363514561737</v>
      </c>
      <c r="J28" s="1">
        <v>0.99783160566955698</v>
      </c>
      <c r="K28" s="1">
        <v>0.998536774557506</v>
      </c>
      <c r="L28" s="1">
        <v>0.999999999999999</v>
      </c>
    </row>
    <row r="29" spans="1:12" x14ac:dyDescent="0.3">
      <c r="A29" t="s">
        <v>10</v>
      </c>
      <c r="B29" t="s">
        <v>32</v>
      </c>
      <c r="C29" t="s">
        <v>576</v>
      </c>
      <c r="D29" t="s">
        <v>589</v>
      </c>
      <c r="E29" s="2">
        <v>0.90276013995075799</v>
      </c>
      <c r="F29" s="2">
        <v>0.90610340806012701</v>
      </c>
      <c r="G29" s="2">
        <v>0.97484773875858399</v>
      </c>
      <c r="H29" s="2">
        <v>0.99543864195930998</v>
      </c>
      <c r="I29" s="1">
        <v>0.99460930413373005</v>
      </c>
      <c r="J29" s="1">
        <v>1</v>
      </c>
      <c r="K29" s="1">
        <v>0.99909291175327097</v>
      </c>
      <c r="L29" s="1">
        <v>1</v>
      </c>
    </row>
    <row r="30" spans="1:12" x14ac:dyDescent="0.3">
      <c r="A30" t="s">
        <v>10</v>
      </c>
      <c r="B30" t="s">
        <v>590</v>
      </c>
      <c r="C30" t="s">
        <v>576</v>
      </c>
      <c r="D30" t="s">
        <v>583</v>
      </c>
      <c r="E30" s="2">
        <v>1</v>
      </c>
      <c r="F30" s="2">
        <v>1</v>
      </c>
      <c r="G30" s="2">
        <v>1</v>
      </c>
      <c r="H30" s="2">
        <v>1</v>
      </c>
      <c r="I30" s="1">
        <v>1</v>
      </c>
      <c r="J30" s="1">
        <v>1</v>
      </c>
      <c r="K30" s="1">
        <v>1</v>
      </c>
      <c r="L30" s="1">
        <v>1</v>
      </c>
    </row>
    <row r="31" spans="1:12" x14ac:dyDescent="0.3">
      <c r="A31" t="s">
        <v>10</v>
      </c>
      <c r="B31" t="s">
        <v>37</v>
      </c>
      <c r="C31" t="s">
        <v>576</v>
      </c>
      <c r="D31" t="s">
        <v>591</v>
      </c>
      <c r="E31" s="2">
        <v>0.99925686471221997</v>
      </c>
      <c r="F31" s="2">
        <v>0.99925686471221997</v>
      </c>
      <c r="G31" s="2">
        <v>0.99925686471221997</v>
      </c>
      <c r="H31" s="2">
        <v>0.99925686471221997</v>
      </c>
      <c r="I31" s="1">
        <v>0.99925686471221997</v>
      </c>
      <c r="J31" s="1">
        <v>0.99925686471221997</v>
      </c>
      <c r="K31" s="1">
        <v>0.99925686471221997</v>
      </c>
      <c r="L31" s="1">
        <v>0.99925686471221997</v>
      </c>
    </row>
    <row r="32" spans="1:12" x14ac:dyDescent="0.3">
      <c r="A32" t="s">
        <v>10</v>
      </c>
      <c r="B32" t="s">
        <v>42</v>
      </c>
      <c r="C32" t="s">
        <v>576</v>
      </c>
      <c r="D32" t="s">
        <v>591</v>
      </c>
      <c r="E32" s="2">
        <v>1</v>
      </c>
      <c r="F32" s="2">
        <v>1</v>
      </c>
      <c r="G32" s="2">
        <v>1</v>
      </c>
      <c r="H32" s="2">
        <v>1</v>
      </c>
      <c r="I32" s="1">
        <v>1</v>
      </c>
      <c r="J32" s="1">
        <v>1</v>
      </c>
      <c r="K32" s="1">
        <v>1</v>
      </c>
      <c r="L32" s="1">
        <v>1</v>
      </c>
    </row>
    <row r="33" spans="1:12" x14ac:dyDescent="0.3">
      <c r="A33" t="s">
        <v>10</v>
      </c>
      <c r="B33" t="s">
        <v>47</v>
      </c>
      <c r="C33" t="s">
        <v>574</v>
      </c>
      <c r="D33" t="s">
        <v>575</v>
      </c>
      <c r="E33" s="2">
        <v>0.92353012048192695</v>
      </c>
      <c r="F33" s="2">
        <v>0.91750602409638504</v>
      </c>
      <c r="G33" s="2">
        <v>0.92353012048192695</v>
      </c>
      <c r="H33" s="2">
        <v>0.92353012048192695</v>
      </c>
      <c r="I33" s="1">
        <v>0.91750602409638504</v>
      </c>
      <c r="J33" s="1">
        <v>0.92353012048192695</v>
      </c>
      <c r="K33" s="1">
        <v>0.92353012048192695</v>
      </c>
      <c r="L33" s="1">
        <v>0.92955421686746897</v>
      </c>
    </row>
    <row r="34" spans="1:12" x14ac:dyDescent="0.3">
      <c r="A34" t="s">
        <v>10</v>
      </c>
      <c r="B34" t="s">
        <v>48</v>
      </c>
      <c r="C34" t="s">
        <v>576</v>
      </c>
      <c r="D34" t="s">
        <v>591</v>
      </c>
      <c r="E34" s="2">
        <v>0.93467741935483795</v>
      </c>
      <c r="F34" s="2">
        <v>0.99958064516128997</v>
      </c>
      <c r="G34" s="2">
        <v>0.98345161290322503</v>
      </c>
      <c r="H34" s="2">
        <v>0.99958064516128997</v>
      </c>
      <c r="I34" s="1">
        <v>0.98345161290322503</v>
      </c>
      <c r="J34" s="1">
        <v>0.99151612903225805</v>
      </c>
      <c r="K34" s="1">
        <v>0.98345161290322503</v>
      </c>
      <c r="L34" s="1">
        <v>0.98345161290322503</v>
      </c>
    </row>
    <row r="35" spans="1:12" x14ac:dyDescent="0.3">
      <c r="A35" t="s">
        <v>10</v>
      </c>
      <c r="B35" t="s">
        <v>49</v>
      </c>
      <c r="C35" t="s">
        <v>576</v>
      </c>
      <c r="D35" t="s">
        <v>592</v>
      </c>
      <c r="E35" s="2">
        <v>0.95970833333333305</v>
      </c>
      <c r="F35" s="2">
        <v>0.96329166666666599</v>
      </c>
      <c r="G35" s="2">
        <v>0.98399999999999999</v>
      </c>
      <c r="H35" s="2">
        <v>1</v>
      </c>
      <c r="I35" s="1">
        <v>1</v>
      </c>
      <c r="J35" s="1">
        <v>1</v>
      </c>
      <c r="K35" s="1">
        <v>1</v>
      </c>
      <c r="L35" s="1">
        <v>1</v>
      </c>
    </row>
    <row r="36" spans="1:12" x14ac:dyDescent="0.3">
      <c r="A36" t="s">
        <v>10</v>
      </c>
      <c r="B36" t="s">
        <v>593</v>
      </c>
      <c r="C36" t="s">
        <v>576</v>
      </c>
      <c r="D36" t="s">
        <v>577</v>
      </c>
      <c r="E36" s="2">
        <v>0.940381346930104</v>
      </c>
      <c r="F36" s="2">
        <v>0.95760746406061803</v>
      </c>
      <c r="G36" s="2">
        <v>0.99571560087812405</v>
      </c>
      <c r="H36" s="2">
        <v>0.99571560087812405</v>
      </c>
      <c r="I36" s="1">
        <v>0.99571560087812405</v>
      </c>
      <c r="J36" s="1">
        <v>0.99571560087812405</v>
      </c>
      <c r="K36" s="1">
        <v>0.99571560087812405</v>
      </c>
      <c r="L36" s="1">
        <v>0.99726471213086798</v>
      </c>
    </row>
    <row r="37" spans="1:12" x14ac:dyDescent="0.3">
      <c r="A37" t="s">
        <v>10</v>
      </c>
      <c r="B37" t="s">
        <v>594</v>
      </c>
      <c r="C37" t="s">
        <v>576</v>
      </c>
      <c r="D37" t="s">
        <v>577</v>
      </c>
      <c r="E37" s="2">
        <v>0.710425567551903</v>
      </c>
      <c r="F37" s="2">
        <v>0.96198817971302697</v>
      </c>
      <c r="G37" s="2">
        <v>0.85155649730281502</v>
      </c>
      <c r="H37" s="2">
        <v>0.99892458252798799</v>
      </c>
      <c r="I37" s="1">
        <v>0.90218087750875298</v>
      </c>
      <c r="J37" s="1">
        <v>0.99892458252798799</v>
      </c>
      <c r="K37" s="1">
        <v>0.99292138684986397</v>
      </c>
      <c r="L37" s="1">
        <v>0.99892458252798799</v>
      </c>
    </row>
    <row r="38" spans="1:12" x14ac:dyDescent="0.3">
      <c r="A38" t="s">
        <v>10</v>
      </c>
      <c r="B38" t="s">
        <v>50</v>
      </c>
      <c r="C38" t="s">
        <v>576</v>
      </c>
      <c r="D38" t="s">
        <v>14</v>
      </c>
      <c r="E38" s="2">
        <v>0.90894194756554303</v>
      </c>
      <c r="F38" s="2">
        <v>0.95795880149812696</v>
      </c>
      <c r="G38" s="2">
        <v>0.98787453183520602</v>
      </c>
      <c r="H38" s="2">
        <v>0.98707865168539299</v>
      </c>
      <c r="I38" s="1">
        <v>0.99049625468164704</v>
      </c>
      <c r="J38" s="1">
        <v>0.98707865168539299</v>
      </c>
      <c r="K38" s="1">
        <v>0.992041198501872</v>
      </c>
      <c r="L38" s="1">
        <v>0.98721910112359501</v>
      </c>
    </row>
    <row r="39" spans="1:12" x14ac:dyDescent="0.3">
      <c r="A39" t="s">
        <v>10</v>
      </c>
      <c r="B39" t="s">
        <v>51</v>
      </c>
      <c r="C39" t="s">
        <v>574</v>
      </c>
      <c r="D39" t="s">
        <v>575</v>
      </c>
      <c r="E39" s="2">
        <v>0.72003474983575899</v>
      </c>
      <c r="F39" s="2">
        <v>0.988025569655267</v>
      </c>
      <c r="G39" s="2">
        <v>0.86416012586010105</v>
      </c>
      <c r="H39" s="2">
        <v>0.99845484250198802</v>
      </c>
      <c r="I39" s="1">
        <v>0.92203978078213</v>
      </c>
      <c r="J39" s="1">
        <v>0.99873578022889897</v>
      </c>
      <c r="K39" s="1">
        <v>0.99892811451886099</v>
      </c>
      <c r="L39" s="1">
        <v>0.99894972511323898</v>
      </c>
    </row>
    <row r="40" spans="1:12" x14ac:dyDescent="0.3">
      <c r="A40" t="s">
        <v>10</v>
      </c>
      <c r="B40" t="s">
        <v>52</v>
      </c>
      <c r="C40" t="s">
        <v>576</v>
      </c>
      <c r="D40" t="s">
        <v>577</v>
      </c>
      <c r="E40" s="2">
        <v>0.89280441531562604</v>
      </c>
      <c r="F40" s="2">
        <v>0.91207312866505597</v>
      </c>
      <c r="G40" s="2">
        <v>0.94129699896515995</v>
      </c>
      <c r="H40" s="2">
        <v>0.94451190065539803</v>
      </c>
      <c r="I40" s="1">
        <v>0.94467057606071003</v>
      </c>
      <c r="J40" s="1">
        <v>0.94476026215936504</v>
      </c>
      <c r="K40" s="1">
        <v>0.94449810279406698</v>
      </c>
      <c r="L40" s="1">
        <v>0.94456709210072398</v>
      </c>
    </row>
    <row r="41" spans="1:12" x14ac:dyDescent="0.3">
      <c r="A41" t="s">
        <v>10</v>
      </c>
      <c r="B41" t="s">
        <v>53</v>
      </c>
      <c r="C41" t="s">
        <v>576</v>
      </c>
      <c r="D41" t="s">
        <v>595</v>
      </c>
      <c r="E41" s="2">
        <v>0.74580372575379295</v>
      </c>
      <c r="F41" s="2">
        <v>0.97243545776290097</v>
      </c>
      <c r="G41" s="2">
        <v>0.89824000658454195</v>
      </c>
      <c r="H41" s="2">
        <v>0.99124255809487205</v>
      </c>
      <c r="I41" s="1">
        <v>0.99583939202721605</v>
      </c>
      <c r="J41" s="1">
        <v>0.997696781804713</v>
      </c>
      <c r="K41" s="1">
        <v>0.99603967187028397</v>
      </c>
      <c r="L41" s="1">
        <v>0.99820571209086595</v>
      </c>
    </row>
    <row r="42" spans="1:12" x14ac:dyDescent="0.3">
      <c r="A42" t="s">
        <v>10</v>
      </c>
      <c r="B42" t="s">
        <v>54</v>
      </c>
      <c r="C42" t="s">
        <v>576</v>
      </c>
      <c r="D42" t="s">
        <v>14</v>
      </c>
      <c r="E42" s="2">
        <v>0.91655826054636602</v>
      </c>
      <c r="F42" s="2">
        <v>0.92129715666233003</v>
      </c>
      <c r="G42" s="2">
        <v>0.98332094406244097</v>
      </c>
      <c r="H42" s="2">
        <v>0.987316483924921</v>
      </c>
      <c r="I42" s="1">
        <v>0.98805984017840498</v>
      </c>
      <c r="J42" s="1">
        <v>0.987316483924921</v>
      </c>
      <c r="K42" s="1">
        <v>0.98917487455863196</v>
      </c>
      <c r="L42" s="1">
        <v>0.987316483924921</v>
      </c>
    </row>
    <row r="43" spans="1:12" x14ac:dyDescent="0.3">
      <c r="A43" t="s">
        <v>10</v>
      </c>
      <c r="B43" t="s">
        <v>596</v>
      </c>
      <c r="C43" t="s">
        <v>574</v>
      </c>
      <c r="D43" t="s">
        <v>575</v>
      </c>
      <c r="E43" s="2">
        <v>0.97975134886444404</v>
      </c>
      <c r="F43" s="2">
        <v>0.96911858505165405</v>
      </c>
      <c r="G43" s="2">
        <v>0.979770954452298</v>
      </c>
      <c r="H43" s="2">
        <v>0.98482919611861597</v>
      </c>
      <c r="I43" s="1">
        <v>0.98639502906855103</v>
      </c>
      <c r="J43" s="1">
        <v>0.98518078966079703</v>
      </c>
      <c r="K43" s="1">
        <v>0.98572190388556602</v>
      </c>
      <c r="L43" s="1">
        <v>0.985889204901919</v>
      </c>
    </row>
    <row r="44" spans="1:12" x14ac:dyDescent="0.3">
      <c r="A44" t="s">
        <v>10</v>
      </c>
      <c r="B44" t="s">
        <v>597</v>
      </c>
      <c r="C44" t="s">
        <v>576</v>
      </c>
      <c r="D44" t="s">
        <v>598</v>
      </c>
      <c r="E44" s="2">
        <v>0.71453528121369203</v>
      </c>
      <c r="F44" s="2">
        <v>0.92563744426688099</v>
      </c>
      <c r="G44" s="2">
        <v>0.75316782222445899</v>
      </c>
      <c r="H44" s="2">
        <v>0.95799515965991699</v>
      </c>
      <c r="I44" s="1">
        <v>0.94471148804805005</v>
      </c>
      <c r="J44" s="1">
        <v>0.97429250921719801</v>
      </c>
      <c r="K44" s="1">
        <v>0.98859751775280702</v>
      </c>
      <c r="L44" s="1">
        <v>0.97125366485887898</v>
      </c>
    </row>
    <row r="45" spans="1:12" x14ac:dyDescent="0.3">
      <c r="A45" t="s">
        <v>10</v>
      </c>
      <c r="B45" t="s">
        <v>56</v>
      </c>
      <c r="C45" t="s">
        <v>576</v>
      </c>
      <c r="D45" t="s">
        <v>577</v>
      </c>
      <c r="E45" s="2">
        <v>0.75518400543895603</v>
      </c>
      <c r="F45" s="2">
        <v>0.87448222896496097</v>
      </c>
      <c r="G45" s="2">
        <v>0.89092500031475397</v>
      </c>
      <c r="H45" s="2">
        <v>0.89835320482959102</v>
      </c>
      <c r="I45" s="1">
        <v>0.90218691376987603</v>
      </c>
      <c r="J45" s="1">
        <v>0.89911491054679105</v>
      </c>
      <c r="K45" s="1">
        <v>0.90387399750714403</v>
      </c>
      <c r="L45" s="1">
        <v>0.89911491054679105</v>
      </c>
    </row>
    <row r="46" spans="1:12" x14ac:dyDescent="0.3">
      <c r="A46" t="s">
        <v>10</v>
      </c>
      <c r="B46" t="s">
        <v>599</v>
      </c>
      <c r="C46" t="s">
        <v>574</v>
      </c>
      <c r="D46" t="s">
        <v>575</v>
      </c>
      <c r="E46" s="2">
        <v>0.56268905620592102</v>
      </c>
      <c r="F46" s="2">
        <v>0.62998786880684099</v>
      </c>
      <c r="G46" s="2">
        <v>0.64016724805116498</v>
      </c>
      <c r="H46" s="2">
        <v>0.69194730732965704</v>
      </c>
      <c r="I46" s="1">
        <v>0.71592276612267902</v>
      </c>
      <c r="J46" s="1">
        <v>0.74265670635749903</v>
      </c>
      <c r="K46" s="1">
        <v>0.74479345375651196</v>
      </c>
      <c r="L46" s="1">
        <v>0.74292146126416003</v>
      </c>
    </row>
    <row r="47" spans="1:12" x14ac:dyDescent="0.3">
      <c r="A47" t="s">
        <v>57</v>
      </c>
      <c r="B47" t="s">
        <v>600</v>
      </c>
      <c r="C47" t="s">
        <v>574</v>
      </c>
      <c r="D47" t="s">
        <v>575</v>
      </c>
      <c r="E47" s="2">
        <v>0.88405990173106896</v>
      </c>
      <c r="F47" s="2">
        <v>0.83801103370451901</v>
      </c>
      <c r="G47" s="2">
        <v>0.98474049635997396</v>
      </c>
      <c r="H47" s="2">
        <v>0.91241409304986298</v>
      </c>
      <c r="I47" s="1">
        <v>1</v>
      </c>
      <c r="J47" s="1">
        <v>0.98705224553127102</v>
      </c>
      <c r="K47" s="1">
        <v>1</v>
      </c>
      <c r="L47" s="1">
        <v>1</v>
      </c>
    </row>
    <row r="48" spans="1:12" x14ac:dyDescent="0.3">
      <c r="A48" t="s">
        <v>57</v>
      </c>
      <c r="B48" t="s">
        <v>604</v>
      </c>
      <c r="C48" t="s">
        <v>574</v>
      </c>
      <c r="D48" t="s">
        <v>575</v>
      </c>
      <c r="E48" s="2">
        <v>0.53912699955213395</v>
      </c>
      <c r="F48" s="2">
        <v>0.53360261621274396</v>
      </c>
      <c r="G48" s="2">
        <v>0.59192447122250402</v>
      </c>
      <c r="H48" s="2">
        <v>0.57942436559375998</v>
      </c>
      <c r="I48" s="1">
        <v>0.59194559697141202</v>
      </c>
      <c r="J48" s="1">
        <v>0.59142167839849902</v>
      </c>
      <c r="K48" s="1">
        <v>0.592120940687347</v>
      </c>
      <c r="L48" s="1">
        <v>0.59121887120898398</v>
      </c>
    </row>
    <row r="49" spans="1:12" x14ac:dyDescent="0.3">
      <c r="A49" t="s">
        <v>57</v>
      </c>
      <c r="B49" t="s">
        <v>62</v>
      </c>
      <c r="C49" t="s">
        <v>576</v>
      </c>
      <c r="D49" t="s">
        <v>598</v>
      </c>
      <c r="E49" s="2">
        <v>0.87385381384300198</v>
      </c>
      <c r="F49" s="2">
        <v>0.79454938580787204</v>
      </c>
      <c r="G49" s="2">
        <v>0.88208850119267801</v>
      </c>
      <c r="H49" s="2">
        <v>0.88208850119267801</v>
      </c>
      <c r="I49" s="1">
        <v>0.88225959225775696</v>
      </c>
      <c r="J49" s="1">
        <v>0.88225959225775696</v>
      </c>
      <c r="K49" s="1">
        <v>0.88225959225775696</v>
      </c>
      <c r="L49" s="1">
        <v>0.88309025177661904</v>
      </c>
    </row>
    <row r="50" spans="1:12" x14ac:dyDescent="0.3">
      <c r="A50" t="s">
        <v>57</v>
      </c>
      <c r="B50" t="s">
        <v>605</v>
      </c>
      <c r="C50" t="s">
        <v>576</v>
      </c>
      <c r="D50" t="s">
        <v>583</v>
      </c>
      <c r="E50" s="2">
        <v>0.93489321564793504</v>
      </c>
      <c r="F50" s="2">
        <v>0.78787367638351402</v>
      </c>
      <c r="G50" s="2">
        <v>0.99420982333420505</v>
      </c>
      <c r="H50" s="2">
        <v>0.99985197526954195</v>
      </c>
      <c r="I50" s="1">
        <v>1</v>
      </c>
      <c r="J50" s="1">
        <v>0.99985197526954195</v>
      </c>
      <c r="K50" s="1">
        <v>1</v>
      </c>
      <c r="L50" s="1">
        <v>1</v>
      </c>
    </row>
    <row r="51" spans="1:12" x14ac:dyDescent="0.3">
      <c r="A51" t="s">
        <v>57</v>
      </c>
      <c r="B51" t="s">
        <v>63</v>
      </c>
      <c r="C51" t="s">
        <v>576</v>
      </c>
      <c r="D51" t="s">
        <v>583</v>
      </c>
      <c r="E51" s="2">
        <v>0.87852968942317999</v>
      </c>
      <c r="F51" s="2">
        <v>0.86699210114360103</v>
      </c>
      <c r="G51" s="2">
        <v>0.95781998733314999</v>
      </c>
      <c r="H51" s="2">
        <v>0.99813880955510603</v>
      </c>
      <c r="I51" s="1">
        <v>1</v>
      </c>
      <c r="J51" s="1">
        <v>0.99925910877956103</v>
      </c>
      <c r="K51" s="1">
        <v>1</v>
      </c>
      <c r="L51" s="1">
        <v>0.99969527861094798</v>
      </c>
    </row>
    <row r="52" spans="1:12" x14ac:dyDescent="0.3">
      <c r="A52" t="s">
        <v>57</v>
      </c>
      <c r="B52" t="s">
        <v>205</v>
      </c>
      <c r="C52" t="s">
        <v>576</v>
      </c>
      <c r="D52" t="s">
        <v>14</v>
      </c>
      <c r="E52" s="2">
        <v>0.74128243265575899</v>
      </c>
      <c r="F52" s="2">
        <v>0.87749958684514895</v>
      </c>
      <c r="G52" s="2">
        <v>0.85700710626342702</v>
      </c>
      <c r="H52" s="2">
        <v>0.89043133366385696</v>
      </c>
      <c r="I52" s="1">
        <v>0.97624359609981803</v>
      </c>
      <c r="J52" s="1">
        <v>0.88534952900346997</v>
      </c>
      <c r="K52" s="1">
        <v>0.98710956866633603</v>
      </c>
      <c r="L52" s="1">
        <v>0.90051231201454296</v>
      </c>
    </row>
    <row r="53" spans="1:12" x14ac:dyDescent="0.3">
      <c r="A53" t="s">
        <v>57</v>
      </c>
      <c r="B53" t="s">
        <v>209</v>
      </c>
      <c r="C53" t="s">
        <v>576</v>
      </c>
      <c r="D53" t="s">
        <v>583</v>
      </c>
      <c r="E53" s="2">
        <v>0.81021410872741895</v>
      </c>
      <c r="F53" s="2">
        <v>0.85039214440514699</v>
      </c>
      <c r="G53" s="2">
        <v>0.93381901353268804</v>
      </c>
      <c r="H53" s="2">
        <v>0.98948163521746102</v>
      </c>
      <c r="I53" s="1">
        <v>0.99722569304729003</v>
      </c>
      <c r="J53" s="1">
        <v>0.99926230260417703</v>
      </c>
      <c r="K53" s="1">
        <v>1</v>
      </c>
      <c r="L53" s="1">
        <v>1</v>
      </c>
    </row>
    <row r="54" spans="1:12" x14ac:dyDescent="0.3">
      <c r="A54" t="s">
        <v>57</v>
      </c>
      <c r="B54" t="s">
        <v>210</v>
      </c>
      <c r="C54" t="s">
        <v>576</v>
      </c>
      <c r="D54" t="s">
        <v>583</v>
      </c>
      <c r="E54" s="2">
        <v>0.77541822953064099</v>
      </c>
      <c r="F54" s="2">
        <v>0.85898212986864797</v>
      </c>
      <c r="G54" s="2">
        <v>0.906905600638932</v>
      </c>
      <c r="H54" s="2">
        <v>0.98806994024273698</v>
      </c>
      <c r="I54" s="1">
        <v>0.99794272430366304</v>
      </c>
      <c r="J54" s="1">
        <v>1</v>
      </c>
      <c r="K54" s="1">
        <v>1</v>
      </c>
      <c r="L54" s="1">
        <v>1</v>
      </c>
    </row>
    <row r="55" spans="1:12" x14ac:dyDescent="0.3">
      <c r="A55" t="s">
        <v>57</v>
      </c>
      <c r="B55" t="s">
        <v>215</v>
      </c>
      <c r="C55" t="s">
        <v>574</v>
      </c>
      <c r="D55" t="s">
        <v>575</v>
      </c>
      <c r="E55" s="2">
        <v>0.72623284132263499</v>
      </c>
      <c r="F55" s="2">
        <v>0.70684356386036395</v>
      </c>
      <c r="G55" s="2">
        <v>0.88225518199325803</v>
      </c>
      <c r="H55" s="2">
        <v>0.83440660110003395</v>
      </c>
      <c r="I55" s="1">
        <v>0.99900688248333003</v>
      </c>
      <c r="J55" s="1">
        <v>0.98458207422882404</v>
      </c>
      <c r="K55" s="1">
        <v>0.99993960771858004</v>
      </c>
      <c r="L55" s="1">
        <v>0.99970698559755899</v>
      </c>
    </row>
    <row r="56" spans="1:12" x14ac:dyDescent="0.3">
      <c r="A56" t="s">
        <v>57</v>
      </c>
      <c r="B56" t="s">
        <v>217</v>
      </c>
      <c r="C56" t="s">
        <v>574</v>
      </c>
      <c r="D56" t="s">
        <v>575</v>
      </c>
      <c r="E56" s="2">
        <v>0.75661599721038097</v>
      </c>
      <c r="F56" s="2">
        <v>0.73003033641954096</v>
      </c>
      <c r="G56" s="2">
        <v>0.83185412416928295</v>
      </c>
      <c r="H56" s="2">
        <v>0.86144589778604597</v>
      </c>
      <c r="I56" s="1">
        <v>0.893672310930967</v>
      </c>
      <c r="J56" s="1">
        <v>0.88917486706149995</v>
      </c>
      <c r="K56" s="1">
        <v>0.89550146856003598</v>
      </c>
      <c r="L56" s="1">
        <v>0.89237980136884298</v>
      </c>
    </row>
    <row r="57" spans="1:12" x14ac:dyDescent="0.3">
      <c r="A57" t="s">
        <v>57</v>
      </c>
      <c r="B57" t="s">
        <v>688</v>
      </c>
      <c r="C57" t="s">
        <v>576</v>
      </c>
      <c r="D57" t="s">
        <v>583</v>
      </c>
      <c r="E57" s="2">
        <v>0.85909752649679605</v>
      </c>
      <c r="F57" s="2">
        <v>0.90497373177576002</v>
      </c>
      <c r="G57" s="2">
        <v>0.93881648814589203</v>
      </c>
      <c r="H57" s="2">
        <v>0.99418723230674999</v>
      </c>
      <c r="I57" s="1">
        <v>1</v>
      </c>
      <c r="J57" s="1">
        <v>0.99978549375118597</v>
      </c>
      <c r="K57" s="1">
        <v>1</v>
      </c>
      <c r="L57" s="1">
        <v>1</v>
      </c>
    </row>
    <row r="58" spans="1:12" x14ac:dyDescent="0.3">
      <c r="A58" t="s">
        <v>57</v>
      </c>
      <c r="B58" t="s">
        <v>690</v>
      </c>
      <c r="C58" t="s">
        <v>576</v>
      </c>
      <c r="D58" t="s">
        <v>583</v>
      </c>
      <c r="E58" s="2">
        <v>0.93210662092719199</v>
      </c>
      <c r="F58" s="2">
        <v>0.80053877596187695</v>
      </c>
      <c r="G58" s="2">
        <v>0.99582258432639104</v>
      </c>
      <c r="H58" s="2">
        <v>0.99967493619758296</v>
      </c>
      <c r="I58" s="1">
        <v>1</v>
      </c>
      <c r="J58" s="1">
        <v>0.99967493619758296</v>
      </c>
      <c r="K58" s="1">
        <v>1</v>
      </c>
      <c r="L58" s="1">
        <v>1</v>
      </c>
    </row>
    <row r="59" spans="1:12" x14ac:dyDescent="0.3">
      <c r="A59" t="s">
        <v>57</v>
      </c>
      <c r="B59" t="s">
        <v>223</v>
      </c>
      <c r="C59" t="s">
        <v>574</v>
      </c>
      <c r="D59" t="s">
        <v>575</v>
      </c>
      <c r="E59" s="2">
        <v>0.99673362730687498</v>
      </c>
      <c r="F59" s="2">
        <v>0.99673362730687498</v>
      </c>
      <c r="G59" s="2">
        <v>0.99673362730687498</v>
      </c>
      <c r="H59" s="2">
        <v>0.99673362730687498</v>
      </c>
      <c r="I59" s="1">
        <v>0.99673362730687498</v>
      </c>
      <c r="J59" s="1">
        <v>0.99673362730687498</v>
      </c>
      <c r="K59" s="1">
        <v>0.99673362730687498</v>
      </c>
      <c r="L59" s="1">
        <v>0.99673362730687498</v>
      </c>
    </row>
    <row r="60" spans="1:12" x14ac:dyDescent="0.3">
      <c r="A60" t="s">
        <v>57</v>
      </c>
      <c r="B60" t="s">
        <v>224</v>
      </c>
      <c r="C60" t="s">
        <v>576</v>
      </c>
      <c r="D60" t="s">
        <v>591</v>
      </c>
      <c r="E60" s="2">
        <v>0.69178082191780799</v>
      </c>
      <c r="F60" s="2">
        <v>0.79427397260273902</v>
      </c>
      <c r="G60" s="2">
        <v>0.69178082191780799</v>
      </c>
      <c r="H60" s="2">
        <v>0.79452054794520499</v>
      </c>
      <c r="I60" s="1">
        <v>0.69178082191780799</v>
      </c>
      <c r="J60" s="1">
        <v>0.79452054794520499</v>
      </c>
      <c r="K60" s="1">
        <v>0.69178082191780799</v>
      </c>
      <c r="L60" s="1">
        <v>0.79452054794520499</v>
      </c>
    </row>
    <row r="61" spans="1:12" x14ac:dyDescent="0.3">
      <c r="A61" t="s">
        <v>57</v>
      </c>
      <c r="B61" t="s">
        <v>225</v>
      </c>
      <c r="C61" t="s">
        <v>576</v>
      </c>
      <c r="D61" t="s">
        <v>591</v>
      </c>
      <c r="E61" s="2">
        <v>0.85870000000000002</v>
      </c>
      <c r="F61" s="2">
        <v>0.89964999999999995</v>
      </c>
      <c r="G61" s="2">
        <v>0.99965000000000004</v>
      </c>
      <c r="H61" s="2">
        <v>0.89964999999999995</v>
      </c>
      <c r="I61" s="1">
        <v>0.99965000000000004</v>
      </c>
      <c r="J61" s="1">
        <v>0.89964999999999995</v>
      </c>
      <c r="K61" s="1">
        <v>0.99965000000000004</v>
      </c>
      <c r="L61" s="1">
        <v>0.89964999999999995</v>
      </c>
    </row>
    <row r="62" spans="1:12" x14ac:dyDescent="0.3">
      <c r="A62" t="s">
        <v>57</v>
      </c>
      <c r="B62" t="s">
        <v>228</v>
      </c>
      <c r="C62" t="s">
        <v>574</v>
      </c>
      <c r="D62" t="s">
        <v>575</v>
      </c>
      <c r="E62" s="2">
        <v>0.76865625000000004</v>
      </c>
      <c r="F62" s="2">
        <v>0.87437500000000001</v>
      </c>
      <c r="G62" s="2">
        <v>0.87437500000000001</v>
      </c>
      <c r="H62" s="2">
        <v>0.87437500000000001</v>
      </c>
      <c r="I62" s="1">
        <v>0.87437500000000001</v>
      </c>
      <c r="J62" s="1">
        <v>0.87437500000000001</v>
      </c>
      <c r="K62" s="1">
        <v>0.87437500000000001</v>
      </c>
      <c r="L62" s="1">
        <v>0.87437500000000001</v>
      </c>
    </row>
    <row r="63" spans="1:12" x14ac:dyDescent="0.3">
      <c r="A63" t="s">
        <v>57</v>
      </c>
      <c r="B63" t="s">
        <v>229</v>
      </c>
      <c r="C63" t="s">
        <v>576</v>
      </c>
      <c r="D63" t="s">
        <v>591</v>
      </c>
      <c r="E63" s="2">
        <v>0.81603225806451596</v>
      </c>
      <c r="F63" s="2">
        <v>0.81603225806451596</v>
      </c>
      <c r="G63" s="2">
        <v>0.82678494623655896</v>
      </c>
      <c r="H63" s="2">
        <v>0.81603225806451596</v>
      </c>
      <c r="I63" s="1">
        <v>0.81603225806451596</v>
      </c>
      <c r="J63" s="1">
        <v>0.81603225806451596</v>
      </c>
      <c r="K63" s="1">
        <v>0.81603225806451596</v>
      </c>
      <c r="L63" s="1">
        <v>0.81603225806451596</v>
      </c>
    </row>
    <row r="64" spans="1:12" x14ac:dyDescent="0.3">
      <c r="A64" t="s">
        <v>57</v>
      </c>
      <c r="B64" t="s">
        <v>233</v>
      </c>
      <c r="C64" t="s">
        <v>574</v>
      </c>
      <c r="D64" t="s">
        <v>575</v>
      </c>
      <c r="E64" s="2">
        <v>0.91928205128205098</v>
      </c>
      <c r="F64" s="2">
        <v>0.91928205128205098</v>
      </c>
      <c r="G64" s="2">
        <v>0.91928205128205098</v>
      </c>
      <c r="H64" s="2">
        <v>0.92569230769230704</v>
      </c>
      <c r="I64" s="1">
        <v>0.91928205128205098</v>
      </c>
      <c r="J64" s="1">
        <v>0.93210256410256398</v>
      </c>
      <c r="K64" s="1">
        <v>0.92569230769230704</v>
      </c>
      <c r="L64" s="1">
        <v>0.93273076923076903</v>
      </c>
    </row>
    <row r="65" spans="1:12" x14ac:dyDescent="0.3">
      <c r="A65" t="s">
        <v>57</v>
      </c>
      <c r="B65" t="s">
        <v>234</v>
      </c>
      <c r="C65" t="s">
        <v>576</v>
      </c>
      <c r="D65" t="s">
        <v>591</v>
      </c>
      <c r="E65" s="2">
        <v>0.74975000000000003</v>
      </c>
      <c r="F65" s="2">
        <v>0.75</v>
      </c>
      <c r="G65" s="2">
        <v>0.75</v>
      </c>
      <c r="H65" s="2">
        <v>0.75</v>
      </c>
      <c r="I65" s="1">
        <v>0.75</v>
      </c>
      <c r="J65" s="1">
        <v>0.75</v>
      </c>
      <c r="K65" s="1">
        <v>0.75</v>
      </c>
      <c r="L65" s="1">
        <v>0.75</v>
      </c>
    </row>
    <row r="66" spans="1:12" x14ac:dyDescent="0.3">
      <c r="A66" t="s">
        <v>57</v>
      </c>
      <c r="B66" t="s">
        <v>235</v>
      </c>
      <c r="C66" t="s">
        <v>574</v>
      </c>
      <c r="D66" t="s">
        <v>575</v>
      </c>
      <c r="E66" s="2">
        <v>0.83823529411764697</v>
      </c>
      <c r="F66" s="2">
        <v>0.83529411764705797</v>
      </c>
      <c r="G66" s="2">
        <v>0.84117647058823497</v>
      </c>
      <c r="H66" s="2">
        <v>0.84117647058823497</v>
      </c>
      <c r="I66" s="1">
        <v>0.83529411764705797</v>
      </c>
      <c r="J66" s="1">
        <v>0.84117647058823497</v>
      </c>
      <c r="K66" s="1">
        <v>0.84117647058823497</v>
      </c>
      <c r="L66" s="1">
        <v>0.841464705882353</v>
      </c>
    </row>
    <row r="67" spans="1:12" x14ac:dyDescent="0.3">
      <c r="A67" t="s">
        <v>57</v>
      </c>
      <c r="B67" t="s">
        <v>236</v>
      </c>
      <c r="C67" t="s">
        <v>574</v>
      </c>
      <c r="D67" t="s">
        <v>575</v>
      </c>
      <c r="E67" s="2">
        <v>0.84248837209302296</v>
      </c>
      <c r="F67" s="2">
        <v>0.84248837209302296</v>
      </c>
      <c r="G67" s="2">
        <v>0.84248837209302296</v>
      </c>
      <c r="H67" s="2">
        <v>0.84248837209302296</v>
      </c>
      <c r="I67" s="1">
        <v>0.84248837209302296</v>
      </c>
      <c r="J67" s="1">
        <v>0.84248837209302296</v>
      </c>
      <c r="K67" s="1">
        <v>0.84248837209302296</v>
      </c>
      <c r="L67" s="1">
        <v>0.84248837209302296</v>
      </c>
    </row>
    <row r="68" spans="1:12" x14ac:dyDescent="0.3">
      <c r="A68" t="s">
        <v>57</v>
      </c>
      <c r="B68" t="s">
        <v>237</v>
      </c>
      <c r="C68" t="s">
        <v>576</v>
      </c>
      <c r="D68" t="s">
        <v>591</v>
      </c>
      <c r="E68" s="2">
        <v>0.75306329113923998</v>
      </c>
      <c r="F68" s="2">
        <v>0.74335443037974602</v>
      </c>
      <c r="G68" s="2">
        <v>0.75306329113923998</v>
      </c>
      <c r="H68" s="2">
        <v>0.74335443037974602</v>
      </c>
      <c r="I68" s="1">
        <v>0.75306329113923998</v>
      </c>
      <c r="J68" s="1">
        <v>0.74335443037974602</v>
      </c>
      <c r="K68" s="1">
        <v>0.75306329113923998</v>
      </c>
      <c r="L68" s="1">
        <v>0.74335443037974602</v>
      </c>
    </row>
    <row r="69" spans="1:12" x14ac:dyDescent="0.3">
      <c r="A69" t="s">
        <v>57</v>
      </c>
      <c r="B69" t="s">
        <v>239</v>
      </c>
      <c r="C69" t="s">
        <v>576</v>
      </c>
      <c r="D69" t="s">
        <v>591</v>
      </c>
      <c r="E69" s="2">
        <v>0.84615384615384603</v>
      </c>
      <c r="F69" s="2">
        <v>0.84615384615384603</v>
      </c>
      <c r="G69" s="2">
        <v>0.84615384615384603</v>
      </c>
      <c r="H69" s="2">
        <v>0.84615384615384603</v>
      </c>
      <c r="I69" s="1">
        <v>0.84615384615384603</v>
      </c>
      <c r="J69" s="1">
        <v>0.84615384615384603</v>
      </c>
      <c r="K69" s="1">
        <v>0.84615384615384603</v>
      </c>
      <c r="L69" s="1">
        <v>0.84615384615384603</v>
      </c>
    </row>
    <row r="70" spans="1:12" x14ac:dyDescent="0.3">
      <c r="A70" t="s">
        <v>57</v>
      </c>
      <c r="B70" t="s">
        <v>257</v>
      </c>
      <c r="C70" t="s">
        <v>576</v>
      </c>
      <c r="D70" t="s">
        <v>591</v>
      </c>
      <c r="E70" s="2">
        <v>0.81455555555555503</v>
      </c>
      <c r="F70" s="2">
        <v>0.81455555555555503</v>
      </c>
      <c r="G70" s="2">
        <v>0.81481481481481399</v>
      </c>
      <c r="H70" s="2">
        <v>0.81481481481481399</v>
      </c>
      <c r="I70" s="1">
        <v>0.81481481481481399</v>
      </c>
      <c r="J70" s="1">
        <v>0.81481481481481399</v>
      </c>
      <c r="K70" s="1">
        <v>0.81481481481481399</v>
      </c>
      <c r="L70" s="1">
        <v>0.81481481481481399</v>
      </c>
    </row>
    <row r="71" spans="1:12" x14ac:dyDescent="0.3">
      <c r="A71" t="s">
        <v>57</v>
      </c>
      <c r="B71" t="s">
        <v>263</v>
      </c>
      <c r="C71" t="s">
        <v>576</v>
      </c>
      <c r="D71" t="s">
        <v>591</v>
      </c>
      <c r="E71" s="2">
        <v>0.85860000000000003</v>
      </c>
      <c r="F71" s="2">
        <v>0.99960000000000004</v>
      </c>
      <c r="G71" s="2">
        <v>0.99960000000000004</v>
      </c>
      <c r="H71" s="2">
        <v>0.99960000000000004</v>
      </c>
      <c r="I71" s="1">
        <v>0.99960000000000004</v>
      </c>
      <c r="J71" s="1">
        <v>0.99960000000000004</v>
      </c>
      <c r="K71" s="1">
        <v>0.99960000000000004</v>
      </c>
      <c r="L71" s="1">
        <v>0.99960000000000004</v>
      </c>
    </row>
    <row r="72" spans="1:12" x14ac:dyDescent="0.3">
      <c r="A72" t="s">
        <v>57</v>
      </c>
      <c r="B72" t="s">
        <v>265</v>
      </c>
      <c r="C72" t="s">
        <v>574</v>
      </c>
      <c r="D72" t="s">
        <v>575</v>
      </c>
      <c r="E72" s="2">
        <v>0.93738012719135899</v>
      </c>
      <c r="F72" s="2">
        <v>0.91168388348643403</v>
      </c>
      <c r="G72" s="2">
        <v>0.99775676615408704</v>
      </c>
      <c r="H72" s="2">
        <v>0.97161187567997997</v>
      </c>
      <c r="I72" s="1">
        <v>0.99775676615408704</v>
      </c>
      <c r="J72" s="1">
        <v>0.99559484953508903</v>
      </c>
      <c r="K72" s="1">
        <v>0.99775676615408704</v>
      </c>
      <c r="L72" s="1">
        <v>0.99775676615408704</v>
      </c>
    </row>
    <row r="73" spans="1:12" x14ac:dyDescent="0.3">
      <c r="A73" t="s">
        <v>57</v>
      </c>
      <c r="B73" t="s">
        <v>266</v>
      </c>
      <c r="C73" t="s">
        <v>574</v>
      </c>
      <c r="D73" t="s">
        <v>575</v>
      </c>
      <c r="E73" s="2">
        <v>0.79666319627007798</v>
      </c>
      <c r="F73" s="2">
        <v>0.82115212524069303</v>
      </c>
      <c r="G73" s="2">
        <v>0.93663798656643105</v>
      </c>
      <c r="H73" s="2">
        <v>0.96394385617933698</v>
      </c>
      <c r="I73" s="1">
        <v>0.99982589983669401</v>
      </c>
      <c r="J73" s="1">
        <v>0.97979393504671097</v>
      </c>
      <c r="K73" s="1">
        <v>0.99982589983669401</v>
      </c>
      <c r="L73" s="1">
        <v>1</v>
      </c>
    </row>
    <row r="74" spans="1:12" x14ac:dyDescent="0.3">
      <c r="A74" t="s">
        <v>57</v>
      </c>
      <c r="B74" t="s">
        <v>267</v>
      </c>
      <c r="C74" t="s">
        <v>574</v>
      </c>
      <c r="D74" t="s">
        <v>575</v>
      </c>
      <c r="E74" s="2">
        <v>0.885198772465977</v>
      </c>
      <c r="F74" s="2">
        <v>0.83872219067609999</v>
      </c>
      <c r="G74" s="2">
        <v>0.98072184614991997</v>
      </c>
      <c r="H74" s="2">
        <v>0.94979679335447198</v>
      </c>
      <c r="I74" s="1">
        <v>1</v>
      </c>
      <c r="J74" s="1">
        <v>0.99722720225600803</v>
      </c>
      <c r="K74" s="1">
        <v>1</v>
      </c>
      <c r="L74" s="1">
        <v>0.99722720225600803</v>
      </c>
    </row>
    <row r="75" spans="1:12" x14ac:dyDescent="0.3">
      <c r="A75" t="s">
        <v>57</v>
      </c>
      <c r="B75" t="s">
        <v>268</v>
      </c>
      <c r="C75" t="s">
        <v>574</v>
      </c>
      <c r="D75" t="s">
        <v>575</v>
      </c>
      <c r="E75" s="2">
        <v>0.65543779009023895</v>
      </c>
      <c r="F75" s="2">
        <v>0.65731870367963097</v>
      </c>
      <c r="G75" s="2">
        <v>0.77863127740861005</v>
      </c>
      <c r="H75" s="2">
        <v>0.69231693955958495</v>
      </c>
      <c r="I75" s="1">
        <v>0.78960058562921398</v>
      </c>
      <c r="J75" s="1">
        <v>0.69962288879788603</v>
      </c>
      <c r="K75" s="1">
        <v>0.79021680595559096</v>
      </c>
      <c r="L75" s="1">
        <v>0.74516186412268504</v>
      </c>
    </row>
    <row r="76" spans="1:12" x14ac:dyDescent="0.3">
      <c r="A76" t="s">
        <v>57</v>
      </c>
      <c r="B76" t="s">
        <v>269</v>
      </c>
      <c r="C76" t="s">
        <v>574</v>
      </c>
      <c r="D76" t="s">
        <v>575</v>
      </c>
      <c r="E76" s="2">
        <v>0.96535475349939504</v>
      </c>
      <c r="F76" s="2">
        <v>0.98844335546942497</v>
      </c>
      <c r="G76" s="2">
        <v>1</v>
      </c>
      <c r="H76" s="2">
        <v>0.99967289604265896</v>
      </c>
      <c r="I76" s="1">
        <v>1</v>
      </c>
      <c r="J76" s="1">
        <v>0.99967289604265896</v>
      </c>
      <c r="K76" s="1">
        <v>1</v>
      </c>
      <c r="L76" s="1">
        <v>1</v>
      </c>
    </row>
    <row r="77" spans="1:12" x14ac:dyDescent="0.3">
      <c r="A77" t="s">
        <v>57</v>
      </c>
      <c r="B77" t="s">
        <v>270</v>
      </c>
      <c r="C77" t="s">
        <v>576</v>
      </c>
      <c r="D77" t="s">
        <v>583</v>
      </c>
      <c r="E77" s="2">
        <v>0.86084998635412502</v>
      </c>
      <c r="F77" s="2">
        <v>0.97023177770365199</v>
      </c>
      <c r="G77" s="2">
        <v>0.99928485510103005</v>
      </c>
      <c r="H77" s="2">
        <v>0.99515318757517801</v>
      </c>
      <c r="I77" s="1">
        <v>1</v>
      </c>
      <c r="J77" s="1">
        <v>0.99915850441216603</v>
      </c>
      <c r="K77" s="1">
        <v>0.999999999999999</v>
      </c>
      <c r="L77" s="1">
        <v>0.99961083987829802</v>
      </c>
    </row>
    <row r="78" spans="1:12" x14ac:dyDescent="0.3">
      <c r="A78" t="s">
        <v>57</v>
      </c>
      <c r="B78" t="s">
        <v>273</v>
      </c>
      <c r="C78" t="s">
        <v>576</v>
      </c>
      <c r="D78" t="s">
        <v>577</v>
      </c>
      <c r="E78" s="2">
        <v>0.70272896892999104</v>
      </c>
      <c r="F78" s="2">
        <v>0.80139758254238602</v>
      </c>
      <c r="G78" s="2">
        <v>0.82420118439198498</v>
      </c>
      <c r="H78" s="2">
        <v>0.97326616370568597</v>
      </c>
      <c r="I78" s="1">
        <v>0.95463421757118505</v>
      </c>
      <c r="J78" s="1">
        <v>0.99850863957167102</v>
      </c>
      <c r="K78" s="1">
        <v>0.95758968118763699</v>
      </c>
      <c r="L78" s="1">
        <v>0.99942986939238998</v>
      </c>
    </row>
    <row r="79" spans="1:12" x14ac:dyDescent="0.3">
      <c r="A79" t="s">
        <v>57</v>
      </c>
      <c r="B79" t="s">
        <v>692</v>
      </c>
      <c r="C79" t="s">
        <v>576</v>
      </c>
      <c r="D79" t="s">
        <v>595</v>
      </c>
      <c r="E79" s="2">
        <v>0.61531719439944899</v>
      </c>
      <c r="F79" s="2">
        <v>0.73483091841036596</v>
      </c>
      <c r="G79" s="2">
        <v>0.70385897663478802</v>
      </c>
      <c r="H79" s="2">
        <v>0.74600178622939095</v>
      </c>
      <c r="I79" s="1">
        <v>0.88353174162912895</v>
      </c>
      <c r="J79" s="1">
        <v>0.82123283111811296</v>
      </c>
      <c r="K79" s="1">
        <v>0.985570095635387</v>
      </c>
      <c r="L79" s="1">
        <v>0.956887800386091</v>
      </c>
    </row>
    <row r="80" spans="1:12" x14ac:dyDescent="0.3">
      <c r="A80" t="s">
        <v>57</v>
      </c>
      <c r="B80" t="s">
        <v>693</v>
      </c>
      <c r="C80" t="s">
        <v>576</v>
      </c>
      <c r="D80" t="s">
        <v>595</v>
      </c>
      <c r="E80" s="2">
        <v>0.67814474166859096</v>
      </c>
      <c r="F80" s="2">
        <v>0.91071365495129497</v>
      </c>
      <c r="G80" s="2">
        <v>0.78227342508185305</v>
      </c>
      <c r="H80" s="2">
        <v>0.99071827407719304</v>
      </c>
      <c r="I80" s="1">
        <v>0.97507438151262704</v>
      </c>
      <c r="J80" s="1">
        <v>0.99345714402162799</v>
      </c>
      <c r="K80" s="1">
        <v>0.99926773268846703</v>
      </c>
      <c r="L80" s="1">
        <v>0.99507791378537302</v>
      </c>
    </row>
    <row r="81" spans="1:12" x14ac:dyDescent="0.3">
      <c r="A81" t="s">
        <v>57</v>
      </c>
      <c r="B81" t="s">
        <v>277</v>
      </c>
      <c r="C81" t="s">
        <v>576</v>
      </c>
      <c r="D81" t="s">
        <v>577</v>
      </c>
      <c r="E81" s="2">
        <v>0.95044567062818297</v>
      </c>
      <c r="F81" s="2">
        <v>0.95129456706281801</v>
      </c>
      <c r="G81" s="2">
        <v>0.99906267685342398</v>
      </c>
      <c r="H81" s="2">
        <v>0.99911573288058797</v>
      </c>
      <c r="I81" s="1">
        <v>0.999982314657611</v>
      </c>
      <c r="J81" s="1">
        <v>0.99955786644029399</v>
      </c>
      <c r="K81" s="1">
        <v>1</v>
      </c>
      <c r="L81" s="1">
        <v>0.99955786644029399</v>
      </c>
    </row>
    <row r="82" spans="1:12" x14ac:dyDescent="0.3">
      <c r="A82" t="s">
        <v>57</v>
      </c>
      <c r="B82" t="s">
        <v>278</v>
      </c>
      <c r="C82" t="s">
        <v>576</v>
      </c>
      <c r="D82" t="s">
        <v>577</v>
      </c>
      <c r="E82" s="2">
        <v>0.93024223869373701</v>
      </c>
      <c r="F82" s="2">
        <v>0.960938339241594</v>
      </c>
      <c r="G82" s="2">
        <v>0.99713986464711502</v>
      </c>
      <c r="H82" s="2">
        <v>0.99944945751423298</v>
      </c>
      <c r="I82" s="1">
        <v>1</v>
      </c>
      <c r="J82" s="1">
        <v>1</v>
      </c>
      <c r="K82" s="1">
        <v>1</v>
      </c>
      <c r="L82" s="1">
        <v>1</v>
      </c>
    </row>
    <row r="83" spans="1:12" x14ac:dyDescent="0.3">
      <c r="A83" t="s">
        <v>57</v>
      </c>
      <c r="B83" t="s">
        <v>279</v>
      </c>
      <c r="C83" t="s">
        <v>576</v>
      </c>
      <c r="D83" t="s">
        <v>577</v>
      </c>
      <c r="E83" s="2">
        <v>0.89532473102905896</v>
      </c>
      <c r="F83" s="2">
        <v>0.95347070808163803</v>
      </c>
      <c r="G83" s="2">
        <v>0.999892769060299</v>
      </c>
      <c r="H83" s="2">
        <v>1</v>
      </c>
      <c r="I83" s="1">
        <v>0.999892769060299</v>
      </c>
      <c r="J83" s="1">
        <v>1</v>
      </c>
      <c r="K83" s="1">
        <v>1</v>
      </c>
      <c r="L83" s="1">
        <v>1</v>
      </c>
    </row>
    <row r="84" spans="1:12" x14ac:dyDescent="0.3">
      <c r="A84" t="s">
        <v>57</v>
      </c>
      <c r="B84" t="s">
        <v>280</v>
      </c>
      <c r="C84" t="s">
        <v>576</v>
      </c>
      <c r="D84" t="s">
        <v>577</v>
      </c>
      <c r="E84" s="2">
        <v>1</v>
      </c>
      <c r="F84" s="2">
        <v>1</v>
      </c>
      <c r="G84" s="2">
        <v>1</v>
      </c>
      <c r="H84" s="2">
        <v>1</v>
      </c>
      <c r="I84" s="1">
        <v>1</v>
      </c>
      <c r="J84" s="1">
        <v>1</v>
      </c>
      <c r="K84" s="1">
        <v>1</v>
      </c>
      <c r="L84" s="1">
        <v>1</v>
      </c>
    </row>
    <row r="85" spans="1:12" x14ac:dyDescent="0.3">
      <c r="A85" t="s">
        <v>57</v>
      </c>
      <c r="B85" t="s">
        <v>283</v>
      </c>
      <c r="C85" t="s">
        <v>574</v>
      </c>
      <c r="D85" t="s">
        <v>575</v>
      </c>
      <c r="E85" s="2">
        <v>0.89309975269639696</v>
      </c>
      <c r="F85" s="2">
        <v>0.96525415472125997</v>
      </c>
      <c r="G85" s="2">
        <v>0.89309975269639696</v>
      </c>
      <c r="H85" s="2">
        <v>0.96649792808087798</v>
      </c>
      <c r="I85" s="1">
        <v>0.89548157868006595</v>
      </c>
      <c r="J85" s="1">
        <v>0.97097758513110399</v>
      </c>
      <c r="K85" s="1">
        <v>0.89548157868006595</v>
      </c>
      <c r="L85" s="1">
        <v>0.97097758513110399</v>
      </c>
    </row>
    <row r="86" spans="1:12" x14ac:dyDescent="0.3">
      <c r="A86" t="s">
        <v>57</v>
      </c>
      <c r="B86" t="s">
        <v>284</v>
      </c>
      <c r="C86" t="s">
        <v>576</v>
      </c>
      <c r="D86" t="s">
        <v>583</v>
      </c>
      <c r="E86" s="2">
        <v>0.803912370470236</v>
      </c>
      <c r="F86" s="2">
        <v>0.90466635655736605</v>
      </c>
      <c r="G86" s="2">
        <v>0.98050516279424205</v>
      </c>
      <c r="H86" s="2">
        <v>0.99917479389557695</v>
      </c>
      <c r="I86" s="1">
        <v>0.99897900454914501</v>
      </c>
      <c r="J86" s="1">
        <v>1</v>
      </c>
      <c r="K86" s="1">
        <v>1</v>
      </c>
      <c r="L86" s="1">
        <v>1</v>
      </c>
    </row>
    <row r="87" spans="1:12" x14ac:dyDescent="0.3">
      <c r="A87" t="s">
        <v>57</v>
      </c>
      <c r="B87" t="s">
        <v>285</v>
      </c>
      <c r="C87" t="s">
        <v>576</v>
      </c>
      <c r="D87" t="s">
        <v>577</v>
      </c>
      <c r="E87" s="2">
        <v>0.81753943400603102</v>
      </c>
      <c r="F87" s="2">
        <v>0.880630944096497</v>
      </c>
      <c r="G87" s="2">
        <v>0.91692182788216103</v>
      </c>
      <c r="H87" s="2">
        <v>0.96012526096033401</v>
      </c>
      <c r="I87" s="1">
        <v>0.97236720018557099</v>
      </c>
      <c r="J87" s="1">
        <v>0.96961261888192896</v>
      </c>
      <c r="K87" s="1">
        <v>0.972961609835305</v>
      </c>
      <c r="L87" s="1">
        <v>0.969632915796799</v>
      </c>
    </row>
    <row r="88" spans="1:12" x14ac:dyDescent="0.3">
      <c r="A88" t="s">
        <v>57</v>
      </c>
      <c r="B88" t="s">
        <v>286</v>
      </c>
      <c r="C88" t="s">
        <v>576</v>
      </c>
      <c r="D88" t="s">
        <v>583</v>
      </c>
      <c r="E88" s="2">
        <v>0.87022587679811103</v>
      </c>
      <c r="F88" s="2">
        <v>0.95672528659744305</v>
      </c>
      <c r="G88" s="2">
        <v>0.99996998979652996</v>
      </c>
      <c r="H88" s="2">
        <v>0.999949982994218</v>
      </c>
      <c r="I88" s="1">
        <v>0.99996998979652996</v>
      </c>
      <c r="J88" s="1">
        <v>1</v>
      </c>
      <c r="K88" s="1">
        <v>0.999999999999999</v>
      </c>
      <c r="L88" s="1">
        <v>0.999999999999999</v>
      </c>
    </row>
    <row r="89" spans="1:12" x14ac:dyDescent="0.3">
      <c r="A89" t="s">
        <v>57</v>
      </c>
      <c r="B89" t="s">
        <v>701</v>
      </c>
      <c r="C89" t="s">
        <v>576</v>
      </c>
      <c r="D89" t="s">
        <v>577</v>
      </c>
      <c r="E89" s="2">
        <v>0.87034385368936595</v>
      </c>
      <c r="F89" s="2">
        <v>0.92648423921630596</v>
      </c>
      <c r="G89" s="2">
        <v>0.95808480802654405</v>
      </c>
      <c r="H89" s="2">
        <v>0.96981158160846803</v>
      </c>
      <c r="I89" s="1">
        <v>1</v>
      </c>
      <c r="J89" s="1">
        <v>1</v>
      </c>
      <c r="K89" s="1">
        <v>1</v>
      </c>
      <c r="L89" s="1">
        <v>1</v>
      </c>
    </row>
    <row r="90" spans="1:12" x14ac:dyDescent="0.3">
      <c r="A90" t="s">
        <v>57</v>
      </c>
      <c r="B90" t="s">
        <v>288</v>
      </c>
      <c r="C90" t="s">
        <v>576</v>
      </c>
      <c r="D90" t="s">
        <v>583</v>
      </c>
      <c r="E90" s="2">
        <v>0.77365185666450098</v>
      </c>
      <c r="F90" s="2">
        <v>0.85633964715877797</v>
      </c>
      <c r="G90" s="2">
        <v>0.86544492478384705</v>
      </c>
      <c r="H90" s="2">
        <v>0.97740079464241003</v>
      </c>
      <c r="I90" s="1">
        <v>0.97061322404917705</v>
      </c>
      <c r="J90" s="1">
        <v>1</v>
      </c>
      <c r="K90" s="1">
        <v>0.98589384776850397</v>
      </c>
      <c r="L90" s="1">
        <v>1</v>
      </c>
    </row>
    <row r="91" spans="1:12" x14ac:dyDescent="0.3">
      <c r="A91" t="s">
        <v>57</v>
      </c>
      <c r="B91" t="s">
        <v>702</v>
      </c>
      <c r="C91" t="s">
        <v>576</v>
      </c>
      <c r="D91" t="s">
        <v>583</v>
      </c>
      <c r="E91" s="2">
        <v>0.74665991520839303</v>
      </c>
      <c r="F91" s="2">
        <v>0.86029828026519395</v>
      </c>
      <c r="G91" s="2">
        <v>0.87877253456452997</v>
      </c>
      <c r="H91" s="2">
        <v>0.98948596661173205</v>
      </c>
      <c r="I91" s="1">
        <v>0.96984173910855498</v>
      </c>
      <c r="J91" s="1">
        <v>1</v>
      </c>
      <c r="K91" s="1">
        <v>0.99697127904489902</v>
      </c>
      <c r="L91" s="1">
        <v>1</v>
      </c>
    </row>
    <row r="92" spans="1:12" x14ac:dyDescent="0.3">
      <c r="A92" t="s">
        <v>57</v>
      </c>
      <c r="B92" t="s">
        <v>289</v>
      </c>
      <c r="C92" t="s">
        <v>576</v>
      </c>
      <c r="D92" t="s">
        <v>577</v>
      </c>
      <c r="E92" s="2">
        <v>0.79955140668346802</v>
      </c>
      <c r="F92" s="2">
        <v>0.933831591486743</v>
      </c>
      <c r="G92" s="2">
        <v>0.903017630718983</v>
      </c>
      <c r="H92" s="2">
        <v>1</v>
      </c>
      <c r="I92" s="1">
        <v>0.95425170950184302</v>
      </c>
      <c r="J92" s="1">
        <v>1</v>
      </c>
      <c r="K92" s="1">
        <v>0.995367397568509</v>
      </c>
      <c r="L92" s="1">
        <v>1</v>
      </c>
    </row>
    <row r="93" spans="1:12" x14ac:dyDescent="0.3">
      <c r="A93" t="s">
        <v>57</v>
      </c>
      <c r="B93" t="s">
        <v>290</v>
      </c>
      <c r="C93" t="s">
        <v>576</v>
      </c>
      <c r="D93" t="s">
        <v>583</v>
      </c>
      <c r="E93" s="2">
        <v>0.68270704508218305</v>
      </c>
      <c r="F93" s="2">
        <v>0.76216901855081598</v>
      </c>
      <c r="G93" s="2">
        <v>0.76473230801754599</v>
      </c>
      <c r="H93" s="2">
        <v>0.82844458538132204</v>
      </c>
      <c r="I93" s="1">
        <v>0.78986311505734297</v>
      </c>
      <c r="J93" s="1">
        <v>0.83425823159452395</v>
      </c>
      <c r="K93" s="1">
        <v>0.80452935891337596</v>
      </c>
      <c r="L93" s="1">
        <v>0.83425823159452395</v>
      </c>
    </row>
    <row r="94" spans="1:12" x14ac:dyDescent="0.3">
      <c r="A94" t="s">
        <v>57</v>
      </c>
      <c r="B94" t="s">
        <v>703</v>
      </c>
      <c r="C94" t="s">
        <v>576</v>
      </c>
      <c r="D94" t="s">
        <v>577</v>
      </c>
      <c r="E94" s="2">
        <v>0.96138786847056701</v>
      </c>
      <c r="F94" s="2">
        <v>0.97688379177493001</v>
      </c>
      <c r="G94" s="2">
        <v>0.99835588208941795</v>
      </c>
      <c r="H94" s="2">
        <v>0.99809156885583705</v>
      </c>
      <c r="I94" s="1">
        <v>0.99835588208941795</v>
      </c>
      <c r="J94" s="1">
        <v>0.99995520114684999</v>
      </c>
      <c r="K94" s="1">
        <v>0.99835588208941795</v>
      </c>
      <c r="L94" s="1">
        <v>1</v>
      </c>
    </row>
    <row r="95" spans="1:12" x14ac:dyDescent="0.3">
      <c r="A95" t="s">
        <v>57</v>
      </c>
      <c r="B95" t="s">
        <v>291</v>
      </c>
      <c r="C95" t="s">
        <v>576</v>
      </c>
      <c r="D95" t="s">
        <v>577</v>
      </c>
      <c r="E95" s="2">
        <v>0.94640353133478805</v>
      </c>
      <c r="F95" s="2">
        <v>0.96042183519884505</v>
      </c>
      <c r="G95" s="2">
        <v>0.95008753661187595</v>
      </c>
      <c r="H95" s="2">
        <v>0.96042183519884505</v>
      </c>
      <c r="I95" s="1">
        <v>0.95256428340289201</v>
      </c>
      <c r="J95" s="1">
        <v>0.96330100148521802</v>
      </c>
      <c r="K95" s="1">
        <v>0.95256428340289201</v>
      </c>
      <c r="L95" s="1">
        <v>0.97208370325503402</v>
      </c>
    </row>
    <row r="96" spans="1:12" x14ac:dyDescent="0.3">
      <c r="A96" t="s">
        <v>57</v>
      </c>
      <c r="B96" t="s">
        <v>704</v>
      </c>
      <c r="C96" t="s">
        <v>574</v>
      </c>
      <c r="D96" t="s">
        <v>575</v>
      </c>
      <c r="E96" s="2">
        <v>0.42684017253111201</v>
      </c>
      <c r="F96" s="2">
        <v>0.403752607930357</v>
      </c>
      <c r="G96" s="2">
        <v>0.46950519015296899</v>
      </c>
      <c r="H96" s="2">
        <v>0.45810119372313202</v>
      </c>
      <c r="I96" s="1">
        <v>0.50970286665472297</v>
      </c>
      <c r="J96" s="1">
        <v>0.50423474867866203</v>
      </c>
      <c r="K96" s="1">
        <v>0.52586058689177995</v>
      </c>
      <c r="L96" s="1">
        <v>0.50694330076215399</v>
      </c>
    </row>
    <row r="97" spans="1:12" x14ac:dyDescent="0.3">
      <c r="A97" t="s">
        <v>292</v>
      </c>
      <c r="B97" t="s">
        <v>293</v>
      </c>
      <c r="C97" t="s">
        <v>574</v>
      </c>
      <c r="D97" t="s">
        <v>575</v>
      </c>
      <c r="E97" s="2">
        <v>0.84298812993105399</v>
      </c>
      <c r="F97" s="2">
        <v>0.78009402638018699</v>
      </c>
      <c r="G97" s="2">
        <v>0.993008945706365</v>
      </c>
      <c r="H97" s="2">
        <v>0.98700283297624902</v>
      </c>
      <c r="I97" s="1">
        <v>0.999456759034554</v>
      </c>
      <c r="J97" s="1">
        <v>0.99805550196480597</v>
      </c>
      <c r="K97" s="1">
        <v>1</v>
      </c>
      <c r="L97" s="1">
        <v>0.99805550196480597</v>
      </c>
    </row>
    <row r="98" spans="1:12" x14ac:dyDescent="0.3">
      <c r="A98" t="s">
        <v>292</v>
      </c>
      <c r="B98" t="s">
        <v>705</v>
      </c>
      <c r="C98" t="s">
        <v>576</v>
      </c>
      <c r="D98" t="s">
        <v>577</v>
      </c>
      <c r="E98" s="2">
        <v>0.66506791299225598</v>
      </c>
      <c r="F98" s="2">
        <v>0.77668793560842198</v>
      </c>
      <c r="G98" s="2">
        <v>0.79197534579945505</v>
      </c>
      <c r="H98" s="2">
        <v>0.99966355228590897</v>
      </c>
      <c r="I98" s="1">
        <v>0.95052176268504596</v>
      </c>
      <c r="J98" s="1">
        <v>1</v>
      </c>
      <c r="K98" s="1">
        <v>0.98772664536905996</v>
      </c>
      <c r="L98" s="1">
        <v>1</v>
      </c>
    </row>
    <row r="99" spans="1:12" x14ac:dyDescent="0.3">
      <c r="A99" t="s">
        <v>292</v>
      </c>
      <c r="B99" t="s">
        <v>706</v>
      </c>
      <c r="C99" t="s">
        <v>574</v>
      </c>
      <c r="D99" t="s">
        <v>575</v>
      </c>
      <c r="E99" s="2">
        <v>0.861166789745753</v>
      </c>
      <c r="F99" s="2">
        <v>0.89721188190435996</v>
      </c>
      <c r="G99" s="2">
        <v>0.94342531611230795</v>
      </c>
      <c r="H99" s="2">
        <v>0.93296761261736405</v>
      </c>
      <c r="I99" s="1">
        <v>0.97394993444154698</v>
      </c>
      <c r="J99" s="1">
        <v>0.93886485916235796</v>
      </c>
      <c r="K99" s="1">
        <v>0.97395746989585996</v>
      </c>
      <c r="L99" s="1">
        <v>0.965924675598692</v>
      </c>
    </row>
    <row r="100" spans="1:12" x14ac:dyDescent="0.3">
      <c r="A100" t="s">
        <v>292</v>
      </c>
      <c r="B100" t="s">
        <v>295</v>
      </c>
      <c r="C100" t="s">
        <v>576</v>
      </c>
      <c r="D100" t="s">
        <v>577</v>
      </c>
      <c r="E100" s="2">
        <v>0.94379705063421604</v>
      </c>
      <c r="F100" s="2">
        <v>0.97303289677219695</v>
      </c>
      <c r="G100" s="2">
        <v>0.988656285449108</v>
      </c>
      <c r="H100" s="2">
        <v>0.99159533876456596</v>
      </c>
      <c r="I100" s="1">
        <v>0.99489532845209805</v>
      </c>
      <c r="J100" s="1">
        <v>0.993812519335877</v>
      </c>
      <c r="K100" s="1">
        <v>0.99432814272455405</v>
      </c>
      <c r="L100" s="1">
        <v>0.993812519335877</v>
      </c>
    </row>
    <row r="101" spans="1:12" x14ac:dyDescent="0.3">
      <c r="A101" t="s">
        <v>292</v>
      </c>
      <c r="B101" t="s">
        <v>296</v>
      </c>
      <c r="C101" t="s">
        <v>574</v>
      </c>
      <c r="D101" t="s">
        <v>575</v>
      </c>
      <c r="E101" s="2">
        <v>0.96663423043106</v>
      </c>
      <c r="F101" s="2">
        <v>0.93025391219982601</v>
      </c>
      <c r="G101" s="2">
        <v>0.99813251020369798</v>
      </c>
      <c r="H101" s="2">
        <v>0.99740919177467102</v>
      </c>
      <c r="I101" s="1">
        <v>0.99817943205787696</v>
      </c>
      <c r="J101" s="1">
        <v>0.99822779766141401</v>
      </c>
      <c r="K101" s="1">
        <v>0.99822346641333604</v>
      </c>
      <c r="L101" s="1">
        <v>0.99833030386592703</v>
      </c>
    </row>
    <row r="102" spans="1:12" x14ac:dyDescent="0.3">
      <c r="A102" t="s">
        <v>292</v>
      </c>
      <c r="B102" t="s">
        <v>297</v>
      </c>
      <c r="C102" t="s">
        <v>576</v>
      </c>
      <c r="D102" t="s">
        <v>577</v>
      </c>
      <c r="E102" s="2">
        <v>1</v>
      </c>
      <c r="F102" s="2">
        <v>1</v>
      </c>
      <c r="G102" s="2">
        <v>1</v>
      </c>
      <c r="H102" s="2">
        <v>1</v>
      </c>
      <c r="I102" s="1">
        <v>1</v>
      </c>
      <c r="J102" s="1">
        <v>1</v>
      </c>
      <c r="K102" s="1">
        <v>1</v>
      </c>
      <c r="L102" s="1">
        <v>1</v>
      </c>
    </row>
    <row r="103" spans="1:12" x14ac:dyDescent="0.3">
      <c r="A103" t="s">
        <v>292</v>
      </c>
      <c r="B103" t="s">
        <v>298</v>
      </c>
      <c r="C103" t="s">
        <v>576</v>
      </c>
      <c r="D103" t="s">
        <v>598</v>
      </c>
      <c r="E103" s="2">
        <v>0.76367514856010899</v>
      </c>
      <c r="F103" s="2">
        <v>0.75742800548529599</v>
      </c>
      <c r="G103" s="2">
        <v>0.81193813804662496</v>
      </c>
      <c r="H103" s="2">
        <v>0.80755751942709098</v>
      </c>
      <c r="I103" s="1">
        <v>0.82302300777083603</v>
      </c>
      <c r="J103" s="1">
        <v>0.82389913149474303</v>
      </c>
      <c r="K103" s="1">
        <v>0.82953679719640405</v>
      </c>
      <c r="L103" s="1">
        <v>0.83144141398750504</v>
      </c>
    </row>
    <row r="104" spans="1:12" x14ac:dyDescent="0.3">
      <c r="A104" t="s">
        <v>292</v>
      </c>
      <c r="B104" t="s">
        <v>299</v>
      </c>
      <c r="C104" t="s">
        <v>576</v>
      </c>
      <c r="D104" t="s">
        <v>598</v>
      </c>
      <c r="E104" s="2">
        <v>0.80650821502631997</v>
      </c>
      <c r="F104" s="2">
        <v>0.87556229063646496</v>
      </c>
      <c r="G104" s="2">
        <v>0.91705216142925505</v>
      </c>
      <c r="H104" s="2">
        <v>0.93187111182006699</v>
      </c>
      <c r="I104" s="1">
        <v>0.93796458765353297</v>
      </c>
      <c r="J104" s="1">
        <v>0.95021534535013497</v>
      </c>
      <c r="K104" s="1">
        <v>0.94375498484606801</v>
      </c>
      <c r="L104" s="1">
        <v>0.95464986441218602</v>
      </c>
    </row>
    <row r="105" spans="1:12" x14ac:dyDescent="0.3">
      <c r="A105" t="s">
        <v>292</v>
      </c>
      <c r="B105" t="s">
        <v>300</v>
      </c>
      <c r="C105" t="s">
        <v>574</v>
      </c>
      <c r="D105" t="s">
        <v>575</v>
      </c>
      <c r="E105" s="2">
        <v>0.92135289416340105</v>
      </c>
      <c r="F105" s="2">
        <v>0.90896722733658597</v>
      </c>
      <c r="G105" s="2">
        <v>0.99835430817187598</v>
      </c>
      <c r="H105" s="2">
        <v>0.99760005646925898</v>
      </c>
      <c r="I105" s="1">
        <v>0.99945693877411601</v>
      </c>
      <c r="J105" s="1">
        <v>0.999404568089859</v>
      </c>
      <c r="K105" s="1">
        <v>0.99945693877411601</v>
      </c>
      <c r="L105" s="1">
        <v>0.99953435630736498</v>
      </c>
    </row>
    <row r="106" spans="1:12" x14ac:dyDescent="0.3">
      <c r="A106" t="s">
        <v>292</v>
      </c>
      <c r="B106" t="s">
        <v>301</v>
      </c>
      <c r="C106" t="s">
        <v>574</v>
      </c>
      <c r="D106" t="s">
        <v>575</v>
      </c>
      <c r="E106" s="2">
        <v>0.80833933532256397</v>
      </c>
      <c r="F106" s="2">
        <v>0.87791953904722697</v>
      </c>
      <c r="G106" s="2">
        <v>0.97543471550571004</v>
      </c>
      <c r="H106" s="2">
        <v>0.93986006790822096</v>
      </c>
      <c r="I106" s="1">
        <v>1</v>
      </c>
      <c r="J106" s="1">
        <v>0.89494803992180205</v>
      </c>
      <c r="K106" s="1">
        <v>1</v>
      </c>
      <c r="L106" s="1">
        <v>0.90576448194258596</v>
      </c>
    </row>
    <row r="107" spans="1:12" x14ac:dyDescent="0.3">
      <c r="A107" t="s">
        <v>292</v>
      </c>
      <c r="B107" t="s">
        <v>302</v>
      </c>
      <c r="C107" t="s">
        <v>576</v>
      </c>
      <c r="D107" t="s">
        <v>595</v>
      </c>
      <c r="E107" s="2">
        <v>0.62641022901106802</v>
      </c>
      <c r="F107" s="2">
        <v>0.92996237514622504</v>
      </c>
      <c r="G107" s="2">
        <v>0.71504656708359504</v>
      </c>
      <c r="H107" s="2">
        <v>0.95128734365157896</v>
      </c>
      <c r="I107" s="1">
        <v>0.84968336632772401</v>
      </c>
      <c r="J107" s="1">
        <v>0.95779576846935999</v>
      </c>
      <c r="K107" s="1">
        <v>0.94520775218212905</v>
      </c>
      <c r="L107" s="1">
        <v>0.95779576846935999</v>
      </c>
    </row>
    <row r="108" spans="1:12" x14ac:dyDescent="0.3">
      <c r="A108" t="s">
        <v>292</v>
      </c>
      <c r="B108" t="s">
        <v>303</v>
      </c>
      <c r="C108" t="s">
        <v>576</v>
      </c>
      <c r="D108" t="s">
        <v>589</v>
      </c>
      <c r="E108" s="2">
        <v>0.82760423500037705</v>
      </c>
      <c r="F108" s="2">
        <v>0.88843366213030195</v>
      </c>
      <c r="G108" s="2">
        <v>0.95535597142209605</v>
      </c>
      <c r="H108" s="2">
        <v>0.99595862008643299</v>
      </c>
      <c r="I108" s="1">
        <v>0.97680530209960903</v>
      </c>
      <c r="J108" s="1">
        <v>0.99595862008643299</v>
      </c>
      <c r="K108" s="1">
        <v>0.98152256453684095</v>
      </c>
      <c r="L108" s="1">
        <v>0.99952290645388298</v>
      </c>
    </row>
    <row r="109" spans="1:12" x14ac:dyDescent="0.3">
      <c r="A109" t="s">
        <v>292</v>
      </c>
      <c r="B109" t="s">
        <v>304</v>
      </c>
      <c r="C109" t="s">
        <v>574</v>
      </c>
      <c r="D109" t="s">
        <v>575</v>
      </c>
      <c r="E109" s="2">
        <v>0.98912402186063797</v>
      </c>
      <c r="F109" s="2">
        <v>0.97110219227425099</v>
      </c>
      <c r="G109" s="2">
        <v>0.99762063718792604</v>
      </c>
      <c r="H109" s="2">
        <v>0.996654142342566</v>
      </c>
      <c r="I109" s="1">
        <v>0.997783660414855</v>
      </c>
      <c r="J109" s="1">
        <v>0.99722084213141204</v>
      </c>
      <c r="K109" s="1">
        <v>0.99869581418457298</v>
      </c>
      <c r="L109" s="1">
        <v>0.99686374363433095</v>
      </c>
    </row>
    <row r="110" spans="1:12" x14ac:dyDescent="0.3">
      <c r="A110" t="s">
        <v>292</v>
      </c>
      <c r="B110" t="s">
        <v>305</v>
      </c>
      <c r="C110" t="s">
        <v>574</v>
      </c>
      <c r="D110" t="s">
        <v>575</v>
      </c>
      <c r="E110" s="2">
        <v>0.72411848608484997</v>
      </c>
      <c r="F110" s="2">
        <v>0.697001360002653</v>
      </c>
      <c r="G110" s="2">
        <v>0.88015391249543895</v>
      </c>
      <c r="H110" s="2">
        <v>0.83363187050121001</v>
      </c>
      <c r="I110" s="1">
        <v>0.99819219159452</v>
      </c>
      <c r="J110" s="1">
        <v>0.905828108932895</v>
      </c>
      <c r="K110" s="1">
        <v>0.997694629648057</v>
      </c>
      <c r="L110" s="1">
        <v>0.91073738680465699</v>
      </c>
    </row>
    <row r="111" spans="1:12" x14ac:dyDescent="0.3">
      <c r="A111" t="s">
        <v>292</v>
      </c>
      <c r="B111" t="s">
        <v>308</v>
      </c>
      <c r="C111" t="s">
        <v>576</v>
      </c>
      <c r="D111" t="s">
        <v>598</v>
      </c>
      <c r="E111" s="2">
        <v>0.79063994283934502</v>
      </c>
      <c r="F111" s="2">
        <v>0.85184489676272801</v>
      </c>
      <c r="G111" s="2">
        <v>0.85368612938094202</v>
      </c>
      <c r="H111" s="2">
        <v>0.88771229137277097</v>
      </c>
      <c r="I111" s="1">
        <v>0.89732609054101098</v>
      </c>
      <c r="J111" s="1">
        <v>0.96662880384002303</v>
      </c>
      <c r="K111" s="1">
        <v>0.90984830441712605</v>
      </c>
      <c r="L111" s="1">
        <v>0.96872194639356501</v>
      </c>
    </row>
    <row r="112" spans="1:12" x14ac:dyDescent="0.3">
      <c r="A112" t="s">
        <v>292</v>
      </c>
      <c r="B112" t="s">
        <v>310</v>
      </c>
      <c r="C112" t="s">
        <v>574</v>
      </c>
      <c r="D112" t="s">
        <v>575</v>
      </c>
      <c r="E112" s="2">
        <v>0.68699632752288797</v>
      </c>
      <c r="F112" s="2">
        <v>0.757337195468887</v>
      </c>
      <c r="G112" s="2">
        <v>0.74579734133347098</v>
      </c>
      <c r="H112" s="2">
        <v>0.83772306419076104</v>
      </c>
      <c r="I112" s="1">
        <v>0.86012000206900097</v>
      </c>
      <c r="J112" s="1">
        <v>0.92505043190399805</v>
      </c>
      <c r="K112" s="1">
        <v>0.93655407851859496</v>
      </c>
      <c r="L112" s="1">
        <v>0.90966740805875901</v>
      </c>
    </row>
    <row r="113" spans="1:12" x14ac:dyDescent="0.3">
      <c r="A113" t="s">
        <v>292</v>
      </c>
      <c r="B113" t="s">
        <v>315</v>
      </c>
      <c r="C113" t="s">
        <v>574</v>
      </c>
      <c r="D113" t="s">
        <v>575</v>
      </c>
      <c r="E113" s="2">
        <v>0.98323115614228196</v>
      </c>
      <c r="F113" s="2">
        <v>0.88620969491470902</v>
      </c>
      <c r="G113" s="2">
        <v>0.99292124990960695</v>
      </c>
      <c r="H113" s="2">
        <v>0.92609897394280705</v>
      </c>
      <c r="I113" s="1">
        <v>0.99292124990960695</v>
      </c>
      <c r="J113" s="1">
        <v>0.92610299139461805</v>
      </c>
      <c r="K113" s="1">
        <v>0.99292526736141795</v>
      </c>
      <c r="L113" s="1">
        <v>0.97321163132648203</v>
      </c>
    </row>
    <row r="114" spans="1:12" x14ac:dyDescent="0.3">
      <c r="A114" t="s">
        <v>292</v>
      </c>
      <c r="B114" t="s">
        <v>316</v>
      </c>
      <c r="C114" t="s">
        <v>576</v>
      </c>
      <c r="D114" t="s">
        <v>14</v>
      </c>
      <c r="E114" s="2">
        <v>0.86302395209580796</v>
      </c>
      <c r="F114" s="2">
        <v>0.86302395209580796</v>
      </c>
      <c r="G114" s="2">
        <v>0.86302395209580796</v>
      </c>
      <c r="H114" s="2">
        <v>0.92065868263473005</v>
      </c>
      <c r="I114" s="1">
        <v>0.86302395209580796</v>
      </c>
      <c r="J114" s="1">
        <v>1</v>
      </c>
      <c r="K114" s="1">
        <v>0.86302395209580796</v>
      </c>
      <c r="L114" s="1">
        <v>1</v>
      </c>
    </row>
    <row r="115" spans="1:12" x14ac:dyDescent="0.3">
      <c r="A115" t="s">
        <v>292</v>
      </c>
      <c r="B115" t="s">
        <v>319</v>
      </c>
      <c r="C115" t="s">
        <v>576</v>
      </c>
      <c r="D115" t="s">
        <v>595</v>
      </c>
      <c r="E115" s="2">
        <v>0.607004414773339</v>
      </c>
      <c r="F115" s="2">
        <v>0.81137611715300895</v>
      </c>
      <c r="G115" s="2">
        <v>0.63424679659739402</v>
      </c>
      <c r="H115" s="2">
        <v>0.96015936254980006</v>
      </c>
      <c r="I115" s="1">
        <v>0.75091525788736901</v>
      </c>
      <c r="J115" s="1">
        <v>0.96015936254980006</v>
      </c>
      <c r="K115" s="1">
        <v>0.86039625282653098</v>
      </c>
      <c r="L115" s="1">
        <v>0.96758910304726997</v>
      </c>
    </row>
    <row r="116" spans="1:12" x14ac:dyDescent="0.3">
      <c r="A116" t="s">
        <v>292</v>
      </c>
      <c r="B116" t="s">
        <v>713</v>
      </c>
      <c r="C116" t="s">
        <v>574</v>
      </c>
      <c r="D116" t="s">
        <v>575</v>
      </c>
      <c r="E116" s="2">
        <v>0.90421410592332496</v>
      </c>
      <c r="F116" s="2">
        <v>0.78762954491124604</v>
      </c>
      <c r="G116" s="2">
        <v>0.95958972171573398</v>
      </c>
      <c r="H116" s="2">
        <v>0.98262012346315497</v>
      </c>
      <c r="I116" s="1">
        <v>0.99913402361455494</v>
      </c>
      <c r="J116" s="1">
        <v>0.99743078048025902</v>
      </c>
      <c r="K116" s="1">
        <v>0.99940588629577698</v>
      </c>
      <c r="L116" s="1">
        <v>0.99817078601125797</v>
      </c>
    </row>
    <row r="117" spans="1:12" x14ac:dyDescent="0.3">
      <c r="A117" t="s">
        <v>292</v>
      </c>
      <c r="B117" t="s">
        <v>714</v>
      </c>
      <c r="C117" t="s">
        <v>574</v>
      </c>
      <c r="D117" t="s">
        <v>575</v>
      </c>
      <c r="E117" s="2">
        <v>0.97145447437806098</v>
      </c>
      <c r="F117" s="2">
        <v>0.98934949138726902</v>
      </c>
      <c r="G117" s="2">
        <v>0.99920152375882698</v>
      </c>
      <c r="H117" s="2">
        <v>0.99943441266250199</v>
      </c>
      <c r="I117" s="1">
        <v>0.99930965074981903</v>
      </c>
      <c r="J117" s="1">
        <v>0.99943441266250199</v>
      </c>
      <c r="K117" s="1">
        <v>0.99948431742757504</v>
      </c>
      <c r="L117" s="1">
        <v>0.99946352377546099</v>
      </c>
    </row>
    <row r="118" spans="1:12" x14ac:dyDescent="0.3">
      <c r="A118" t="s">
        <v>292</v>
      </c>
      <c r="B118" t="s">
        <v>320</v>
      </c>
      <c r="C118" t="s">
        <v>574</v>
      </c>
      <c r="D118" t="s">
        <v>575</v>
      </c>
      <c r="E118" s="2">
        <v>0.86794501297013404</v>
      </c>
      <c r="F118" s="2">
        <v>0.86764915654503005</v>
      </c>
      <c r="G118" s="2">
        <v>0.996573876934293</v>
      </c>
      <c r="H118" s="2">
        <v>0.88051891103702895</v>
      </c>
      <c r="I118" s="1">
        <v>0.996573876934293</v>
      </c>
      <c r="J118" s="1">
        <v>0.88103665978096002</v>
      </c>
      <c r="K118" s="1">
        <v>0.99604027873901702</v>
      </c>
      <c r="L118" s="1">
        <v>0.88098382827647703</v>
      </c>
    </row>
    <row r="119" spans="1:12" x14ac:dyDescent="0.3">
      <c r="A119" t="s">
        <v>292</v>
      </c>
      <c r="B119" t="s">
        <v>321</v>
      </c>
      <c r="C119" t="s">
        <v>574</v>
      </c>
      <c r="D119" t="s">
        <v>575</v>
      </c>
      <c r="E119" s="2">
        <v>0.87065659770875203</v>
      </c>
      <c r="F119" s="2">
        <v>0.85102804028458801</v>
      </c>
      <c r="G119" s="2">
        <v>0.969272822470437</v>
      </c>
      <c r="H119" s="2">
        <v>0.94435137550649695</v>
      </c>
      <c r="I119" s="1">
        <v>1</v>
      </c>
      <c r="J119" s="1">
        <v>0.99046079870661297</v>
      </c>
      <c r="K119" s="1">
        <v>1</v>
      </c>
      <c r="L119" s="1">
        <v>0.99972238524211798</v>
      </c>
    </row>
    <row r="120" spans="1:12" x14ac:dyDescent="0.3">
      <c r="A120" t="s">
        <v>292</v>
      </c>
      <c r="B120" t="s">
        <v>322</v>
      </c>
      <c r="C120" t="s">
        <v>574</v>
      </c>
      <c r="D120" t="s">
        <v>575</v>
      </c>
      <c r="E120" s="2">
        <v>0.65566333777430297</v>
      </c>
      <c r="F120" s="2">
        <v>0.66806135144955403</v>
      </c>
      <c r="G120" s="2">
        <v>0.78799644355380305</v>
      </c>
      <c r="H120" s="2">
        <v>0.79573143876416197</v>
      </c>
      <c r="I120" s="1">
        <v>0.88613041036764595</v>
      </c>
      <c r="J120" s="1">
        <v>0.88540921152596797</v>
      </c>
      <c r="K120" s="1">
        <v>0.96637892117461799</v>
      </c>
      <c r="L120" s="1">
        <v>0.96760936347320503</v>
      </c>
    </row>
    <row r="121" spans="1:12" x14ac:dyDescent="0.3">
      <c r="A121" t="s">
        <v>292</v>
      </c>
      <c r="B121" t="s">
        <v>715</v>
      </c>
      <c r="C121" t="s">
        <v>574</v>
      </c>
      <c r="D121" t="s">
        <v>575</v>
      </c>
      <c r="E121" s="2">
        <v>0.81716873024449099</v>
      </c>
      <c r="F121" s="2">
        <v>0.87447143397898996</v>
      </c>
      <c r="G121" s="2">
        <v>0.98974209860526496</v>
      </c>
      <c r="H121" s="2">
        <v>0.98604982027946397</v>
      </c>
      <c r="I121" s="1">
        <v>0.99311327408433103</v>
      </c>
      <c r="J121" s="1">
        <v>0.99025691463031895</v>
      </c>
      <c r="K121" s="1">
        <v>0.99311327408433103</v>
      </c>
      <c r="L121" s="1">
        <v>0.99127562756599097</v>
      </c>
    </row>
    <row r="122" spans="1:12" x14ac:dyDescent="0.3">
      <c r="A122" t="s">
        <v>292</v>
      </c>
      <c r="B122" t="s">
        <v>323</v>
      </c>
      <c r="C122" t="s">
        <v>574</v>
      </c>
      <c r="D122" t="s">
        <v>575</v>
      </c>
      <c r="E122" s="2">
        <v>0.88836655481157301</v>
      </c>
      <c r="F122" s="2">
        <v>0.78892064853707999</v>
      </c>
      <c r="G122" s="2">
        <v>0.96122157807650999</v>
      </c>
      <c r="H122" s="2">
        <v>0.94025749731621</v>
      </c>
      <c r="I122" s="1">
        <v>0.99346042437654203</v>
      </c>
      <c r="J122" s="1">
        <v>0.98601784201329401</v>
      </c>
      <c r="K122" s="1">
        <v>0.99049421611771404</v>
      </c>
      <c r="L122" s="1">
        <v>0.99649459213313796</v>
      </c>
    </row>
    <row r="123" spans="1:12" x14ac:dyDescent="0.3">
      <c r="A123" t="s">
        <v>292</v>
      </c>
      <c r="B123" t="s">
        <v>324</v>
      </c>
      <c r="C123" t="s">
        <v>574</v>
      </c>
      <c r="D123" t="s">
        <v>575</v>
      </c>
      <c r="E123" s="2">
        <v>0.93863668553885204</v>
      </c>
      <c r="F123" s="2">
        <v>0.93394926329570305</v>
      </c>
      <c r="G123" s="2">
        <v>0.96070910420279299</v>
      </c>
      <c r="H123" s="2">
        <v>0.96186899717108598</v>
      </c>
      <c r="I123" s="1">
        <v>0.96084308523873496</v>
      </c>
      <c r="J123" s="1">
        <v>0.96072824435078497</v>
      </c>
      <c r="K123" s="1">
        <v>0.96117803782858802</v>
      </c>
      <c r="L123" s="1">
        <v>0.96156275480321995</v>
      </c>
    </row>
    <row r="124" spans="1:12" x14ac:dyDescent="0.3">
      <c r="A124" t="s">
        <v>292</v>
      </c>
      <c r="B124" t="s">
        <v>716</v>
      </c>
      <c r="C124" t="s">
        <v>574</v>
      </c>
      <c r="D124" t="s">
        <v>575</v>
      </c>
      <c r="E124" s="2">
        <v>0.95132607649747403</v>
      </c>
      <c r="F124" s="2">
        <v>0.95531533156923998</v>
      </c>
      <c r="G124" s="2">
        <v>0.98135975463074299</v>
      </c>
      <c r="H124" s="2">
        <v>0.97830867612861805</v>
      </c>
      <c r="I124" s="1">
        <v>0.97821746451768099</v>
      </c>
      <c r="J124" s="1">
        <v>0.98172861037607195</v>
      </c>
      <c r="K124" s="1">
        <v>0.98926609734584203</v>
      </c>
      <c r="L124" s="1">
        <v>0.98172861037607195</v>
      </c>
    </row>
    <row r="125" spans="1:12" x14ac:dyDescent="0.3">
      <c r="A125" t="s">
        <v>292</v>
      </c>
      <c r="B125" t="s">
        <v>717</v>
      </c>
      <c r="C125" t="s">
        <v>574</v>
      </c>
      <c r="D125" t="s">
        <v>575</v>
      </c>
      <c r="E125" s="2">
        <v>0.81408475338391695</v>
      </c>
      <c r="F125" s="2">
        <v>0.77293237949453097</v>
      </c>
      <c r="G125" s="2">
        <v>0.93037775514602605</v>
      </c>
      <c r="H125" s="2">
        <v>0.92501705988760696</v>
      </c>
      <c r="I125" s="1">
        <v>0.99242238009360695</v>
      </c>
      <c r="J125" s="1">
        <v>0.99941848334672601</v>
      </c>
      <c r="K125" s="1">
        <v>0.99859836927443602</v>
      </c>
      <c r="L125" s="1">
        <v>0.99941848334672601</v>
      </c>
    </row>
    <row r="126" spans="1:12" x14ac:dyDescent="0.3">
      <c r="A126" t="s">
        <v>292</v>
      </c>
      <c r="B126" t="s">
        <v>718</v>
      </c>
      <c r="C126" t="s">
        <v>574</v>
      </c>
      <c r="D126" t="s">
        <v>575</v>
      </c>
      <c r="E126" s="2">
        <v>0.93507903741198395</v>
      </c>
      <c r="F126" s="2">
        <v>0.93971099737013197</v>
      </c>
      <c r="G126" s="2">
        <v>0.96738116110058503</v>
      </c>
      <c r="H126" s="2">
        <v>0.96420269773491996</v>
      </c>
      <c r="I126" s="1">
        <v>0.97014676356643903</v>
      </c>
      <c r="J126" s="1">
        <v>0.96549783672199696</v>
      </c>
      <c r="K126" s="1">
        <v>0.96890535305262504</v>
      </c>
      <c r="L126" s="1">
        <v>0.96609733337103698</v>
      </c>
    </row>
    <row r="127" spans="1:12" x14ac:dyDescent="0.3">
      <c r="A127" t="s">
        <v>292</v>
      </c>
      <c r="B127" t="s">
        <v>325</v>
      </c>
      <c r="C127" t="s">
        <v>576</v>
      </c>
      <c r="D127" t="s">
        <v>595</v>
      </c>
      <c r="E127" s="2">
        <v>0.53955563589751998</v>
      </c>
      <c r="F127" s="2">
        <v>0.63997304892277795</v>
      </c>
      <c r="G127" s="2">
        <v>0.56751463958411996</v>
      </c>
      <c r="H127" s="2">
        <v>0.71350511906131298</v>
      </c>
      <c r="I127" s="1">
        <v>0.58663511418601699</v>
      </c>
      <c r="J127" s="1">
        <v>0.71340651755928397</v>
      </c>
      <c r="K127" s="1">
        <v>0.61138956905665698</v>
      </c>
      <c r="L127" s="1">
        <v>0.71395704261228199</v>
      </c>
    </row>
    <row r="128" spans="1:12" x14ac:dyDescent="0.3">
      <c r="A128" t="s">
        <v>292</v>
      </c>
      <c r="B128" t="s">
        <v>326</v>
      </c>
      <c r="C128" t="s">
        <v>576</v>
      </c>
      <c r="D128" t="s">
        <v>595</v>
      </c>
      <c r="E128" s="2">
        <v>0.63255963050083697</v>
      </c>
      <c r="F128" s="2">
        <v>0.66322255281300602</v>
      </c>
      <c r="G128" s="2">
        <v>0.71475107115929004</v>
      </c>
      <c r="H128" s="2">
        <v>0.75066707601731897</v>
      </c>
      <c r="I128" s="1">
        <v>0.74958124331230802</v>
      </c>
      <c r="J128" s="1">
        <v>0.75066707601731897</v>
      </c>
      <c r="K128" s="1">
        <v>0.75464470018827101</v>
      </c>
      <c r="L128" s="1">
        <v>0.75066707601731897</v>
      </c>
    </row>
    <row r="129" spans="1:12" x14ac:dyDescent="0.3">
      <c r="A129" t="s">
        <v>292</v>
      </c>
      <c r="B129" t="s">
        <v>327</v>
      </c>
      <c r="C129" t="s">
        <v>576</v>
      </c>
      <c r="D129" t="s">
        <v>595</v>
      </c>
      <c r="E129" s="2">
        <v>0.64827015183182202</v>
      </c>
      <c r="F129" s="2">
        <v>0.85029982845709495</v>
      </c>
      <c r="G129" s="2">
        <v>0.78876587217823801</v>
      </c>
      <c r="H129" s="2">
        <v>0.931805005960893</v>
      </c>
      <c r="I129" s="1">
        <v>0.98876498027405202</v>
      </c>
      <c r="J129" s="1">
        <v>0.99207989083092696</v>
      </c>
      <c r="K129" s="1">
        <v>0.99583332094577504</v>
      </c>
      <c r="L129" s="1">
        <v>0.994181811695242</v>
      </c>
    </row>
    <row r="130" spans="1:12" x14ac:dyDescent="0.3">
      <c r="A130" t="s">
        <v>292</v>
      </c>
      <c r="B130" t="s">
        <v>328</v>
      </c>
      <c r="C130" t="s">
        <v>576</v>
      </c>
      <c r="D130" t="s">
        <v>595</v>
      </c>
      <c r="E130" s="2">
        <v>0.56007318033874398</v>
      </c>
      <c r="F130" s="2">
        <v>0.71321288637352998</v>
      </c>
      <c r="G130" s="2">
        <v>0.60976014262910205</v>
      </c>
      <c r="H130" s="2">
        <v>0.87577482015879904</v>
      </c>
      <c r="I130" s="1">
        <v>0.63575419283952095</v>
      </c>
      <c r="J130" s="1">
        <v>0.89168066007421598</v>
      </c>
      <c r="K130" s="1">
        <v>0.67091133362356703</v>
      </c>
      <c r="L130" s="1">
        <v>0.89277162758878004</v>
      </c>
    </row>
    <row r="131" spans="1:12" x14ac:dyDescent="0.3">
      <c r="A131" t="s">
        <v>292</v>
      </c>
      <c r="B131" t="s">
        <v>329</v>
      </c>
      <c r="C131" t="s">
        <v>576</v>
      </c>
      <c r="D131" t="s">
        <v>595</v>
      </c>
      <c r="E131" s="2">
        <v>0.68558470704533903</v>
      </c>
      <c r="F131" s="2">
        <v>0.77013367531415</v>
      </c>
      <c r="G131" s="2">
        <v>0.78509978893371402</v>
      </c>
      <c r="H131" s="2">
        <v>0.99189354065920299</v>
      </c>
      <c r="I131" s="1">
        <v>0.97226526668269697</v>
      </c>
      <c r="J131" s="1">
        <v>0.997174650671938</v>
      </c>
      <c r="K131" s="1">
        <v>0.99186459697026297</v>
      </c>
      <c r="L131" s="1">
        <v>0.997174650671938</v>
      </c>
    </row>
    <row r="132" spans="1:12" x14ac:dyDescent="0.3">
      <c r="A132" t="s">
        <v>292</v>
      </c>
      <c r="B132" t="s">
        <v>330</v>
      </c>
      <c r="C132" t="s">
        <v>576</v>
      </c>
      <c r="D132" t="s">
        <v>595</v>
      </c>
      <c r="E132" s="2">
        <v>0.73277617904483505</v>
      </c>
      <c r="F132" s="2">
        <v>0.87641612119223999</v>
      </c>
      <c r="G132" s="2">
        <v>0.86924717073970803</v>
      </c>
      <c r="H132" s="2">
        <v>0.99209447269148698</v>
      </c>
      <c r="I132" s="1">
        <v>0.984582581597506</v>
      </c>
      <c r="J132" s="1">
        <v>0.99803778311240998</v>
      </c>
      <c r="K132" s="1">
        <v>0.99977037887485598</v>
      </c>
      <c r="L132" s="1">
        <v>0.99903976620394497</v>
      </c>
    </row>
    <row r="133" spans="1:12" x14ac:dyDescent="0.3">
      <c r="A133" t="s">
        <v>292</v>
      </c>
      <c r="B133" t="s">
        <v>331</v>
      </c>
      <c r="C133" t="s">
        <v>576</v>
      </c>
      <c r="D133" t="s">
        <v>598</v>
      </c>
      <c r="E133" s="2">
        <v>0.832515522334076</v>
      </c>
      <c r="F133" s="2">
        <v>0.96208330821628796</v>
      </c>
      <c r="G133" s="2">
        <v>0.965495207667731</v>
      </c>
      <c r="H133" s="2">
        <v>0.95841220085598799</v>
      </c>
      <c r="I133" s="1">
        <v>0.97313279884260595</v>
      </c>
      <c r="J133" s="1">
        <v>0.99996985954548201</v>
      </c>
      <c r="K133" s="1">
        <v>0.98696726746639296</v>
      </c>
      <c r="L133" s="1">
        <v>0.99626861173066406</v>
      </c>
    </row>
    <row r="134" spans="1:12" x14ac:dyDescent="0.3">
      <c r="A134" t="s">
        <v>292</v>
      </c>
      <c r="B134" t="s">
        <v>332</v>
      </c>
      <c r="C134" t="s">
        <v>574</v>
      </c>
      <c r="D134" t="s">
        <v>575</v>
      </c>
      <c r="E134" s="2">
        <v>0.79600002100967204</v>
      </c>
      <c r="F134" s="2">
        <v>0.79897989286817905</v>
      </c>
      <c r="G134" s="2">
        <v>0.87846955041927399</v>
      </c>
      <c r="H134" s="2">
        <v>0.85470892412094202</v>
      </c>
      <c r="I134" s="1">
        <v>0.88494096719777304</v>
      </c>
      <c r="J134" s="1">
        <v>0.99746658367846097</v>
      </c>
      <c r="K134" s="1">
        <v>0.92522088606542197</v>
      </c>
      <c r="L134" s="1">
        <v>0.99805397910062799</v>
      </c>
    </row>
    <row r="135" spans="1:12" x14ac:dyDescent="0.3">
      <c r="A135" t="s">
        <v>292</v>
      </c>
      <c r="B135" t="s">
        <v>333</v>
      </c>
      <c r="C135" t="s">
        <v>574</v>
      </c>
      <c r="D135" t="s">
        <v>575</v>
      </c>
      <c r="E135" s="2">
        <v>0.98206234071750598</v>
      </c>
      <c r="F135" s="2">
        <v>0.99345226426190902</v>
      </c>
      <c r="G135" s="2">
        <v>0.99894791870874899</v>
      </c>
      <c r="H135" s="2">
        <v>0.99918316669934004</v>
      </c>
      <c r="I135" s="1">
        <v>0.99896752270796496</v>
      </c>
      <c r="J135" s="1">
        <v>1</v>
      </c>
      <c r="K135" s="1">
        <v>0.99909168136966597</v>
      </c>
      <c r="L135" s="1">
        <v>0.99918316669934004</v>
      </c>
    </row>
    <row r="136" spans="1:12" x14ac:dyDescent="0.3">
      <c r="A136" t="s">
        <v>292</v>
      </c>
      <c r="B136" t="s">
        <v>334</v>
      </c>
      <c r="C136" t="s">
        <v>574</v>
      </c>
      <c r="D136" t="s">
        <v>575</v>
      </c>
      <c r="E136" s="2">
        <v>0.88700725495080301</v>
      </c>
      <c r="F136" s="2">
        <v>0.85139027276124002</v>
      </c>
      <c r="G136" s="2">
        <v>0.96363183459957602</v>
      </c>
      <c r="H136" s="2">
        <v>0.85127350853157302</v>
      </c>
      <c r="I136" s="1">
        <v>0.96757846556233595</v>
      </c>
      <c r="J136" s="1">
        <v>0.98242698343504797</v>
      </c>
      <c r="K136" s="1">
        <v>0.96781588616266001</v>
      </c>
      <c r="L136" s="1">
        <v>0.98242698343504797</v>
      </c>
    </row>
    <row r="137" spans="1:12" x14ac:dyDescent="0.3">
      <c r="A137" t="s">
        <v>292</v>
      </c>
      <c r="B137" t="s">
        <v>337</v>
      </c>
      <c r="C137" t="s">
        <v>574</v>
      </c>
      <c r="D137" t="s">
        <v>575</v>
      </c>
      <c r="E137" s="2">
        <v>0.77155788177339901</v>
      </c>
      <c r="F137" s="2">
        <v>0.83011330049261001</v>
      </c>
      <c r="G137" s="2">
        <v>0.77155788177339901</v>
      </c>
      <c r="H137" s="2">
        <v>0.83072906403940805</v>
      </c>
      <c r="I137" s="1">
        <v>0.77032635467980204</v>
      </c>
      <c r="J137" s="1">
        <v>0.83072906403940805</v>
      </c>
      <c r="K137" s="1">
        <v>0.77278940886699499</v>
      </c>
      <c r="L137" s="1">
        <v>0.83072906403940805</v>
      </c>
    </row>
    <row r="138" spans="1:12" x14ac:dyDescent="0.3">
      <c r="A138" t="s">
        <v>292</v>
      </c>
      <c r="B138" t="s">
        <v>338</v>
      </c>
      <c r="C138" t="s">
        <v>576</v>
      </c>
      <c r="D138" t="s">
        <v>591</v>
      </c>
      <c r="E138" s="2">
        <v>0.78935174418604603</v>
      </c>
      <c r="F138" s="2">
        <v>0.92943895348837202</v>
      </c>
      <c r="G138" s="2">
        <v>0.903276162790697</v>
      </c>
      <c r="H138" s="2">
        <v>0.92943895348837202</v>
      </c>
      <c r="I138" s="1">
        <v>0.90036918604651095</v>
      </c>
      <c r="J138" s="1">
        <v>0.922171511627906</v>
      </c>
      <c r="K138" s="1">
        <v>0.89600872093023198</v>
      </c>
      <c r="L138" s="1">
        <v>0.91635755813953401</v>
      </c>
    </row>
    <row r="139" spans="1:12" x14ac:dyDescent="0.3">
      <c r="A139" t="s">
        <v>292</v>
      </c>
      <c r="B139" t="s">
        <v>340</v>
      </c>
      <c r="C139" t="s">
        <v>574</v>
      </c>
      <c r="D139" t="s">
        <v>575</v>
      </c>
      <c r="E139" s="2">
        <v>0.87393981481481398</v>
      </c>
      <c r="F139" s="2">
        <v>0.93908333333333305</v>
      </c>
      <c r="G139" s="2">
        <v>0.87393981481481398</v>
      </c>
      <c r="H139" s="2">
        <v>0.93908333333333305</v>
      </c>
      <c r="I139" s="1">
        <v>0.87393981481481398</v>
      </c>
      <c r="J139" s="1">
        <v>0.93908333333333305</v>
      </c>
      <c r="K139" s="1">
        <v>0.87393981481481398</v>
      </c>
      <c r="L139" s="1">
        <v>0.93908333333333305</v>
      </c>
    </row>
    <row r="140" spans="1:12" x14ac:dyDescent="0.3">
      <c r="A140" t="s">
        <v>292</v>
      </c>
      <c r="B140" t="s">
        <v>343</v>
      </c>
      <c r="C140" t="s">
        <v>574</v>
      </c>
      <c r="D140" t="s">
        <v>575</v>
      </c>
      <c r="E140" s="2">
        <v>0.78685012285012201</v>
      </c>
      <c r="F140" s="2">
        <v>0.79433660933660899</v>
      </c>
      <c r="G140" s="2">
        <v>0.81767813267813205</v>
      </c>
      <c r="H140" s="2">
        <v>0.79495085995086001</v>
      </c>
      <c r="I140" s="1">
        <v>0.81522113022112996</v>
      </c>
      <c r="J140" s="1">
        <v>0.79925061425061406</v>
      </c>
      <c r="K140" s="1">
        <v>0.81522113022112996</v>
      </c>
      <c r="L140" s="1">
        <v>0.79495085995086001</v>
      </c>
    </row>
    <row r="141" spans="1:12" x14ac:dyDescent="0.3">
      <c r="A141" t="s">
        <v>292</v>
      </c>
      <c r="B141" t="s">
        <v>344</v>
      </c>
      <c r="C141" t="s">
        <v>576</v>
      </c>
      <c r="D141" t="s">
        <v>591</v>
      </c>
      <c r="E141" s="2">
        <v>0.70249999999999901</v>
      </c>
      <c r="F141" s="2">
        <v>0.76043478260869501</v>
      </c>
      <c r="G141" s="2">
        <v>0.78217391304347805</v>
      </c>
      <c r="H141" s="2">
        <v>0.76043478260869501</v>
      </c>
      <c r="I141" s="1">
        <v>0.79304347826086896</v>
      </c>
      <c r="J141" s="1">
        <v>0.76043478260869501</v>
      </c>
      <c r="K141" s="1">
        <v>0.80391304347825998</v>
      </c>
      <c r="L141" s="1">
        <v>0.76043478260869501</v>
      </c>
    </row>
    <row r="142" spans="1:12" x14ac:dyDescent="0.3">
      <c r="A142" t="s">
        <v>292</v>
      </c>
      <c r="B142" t="s">
        <v>345</v>
      </c>
      <c r="C142" t="s">
        <v>574</v>
      </c>
      <c r="D142" t="s">
        <v>575</v>
      </c>
      <c r="E142" s="2">
        <v>0.68960294117647003</v>
      </c>
      <c r="F142" s="2">
        <v>0.80435294117647005</v>
      </c>
      <c r="G142" s="2">
        <v>0.80435294117647005</v>
      </c>
      <c r="H142" s="2">
        <v>0.80435294117647005</v>
      </c>
      <c r="I142" s="1">
        <v>0.80435294117647005</v>
      </c>
      <c r="J142" s="1">
        <v>0.80435294117647005</v>
      </c>
      <c r="K142" s="1">
        <v>0.80435294117647005</v>
      </c>
      <c r="L142" s="1">
        <v>0.80435294117647005</v>
      </c>
    </row>
    <row r="143" spans="1:12" x14ac:dyDescent="0.3">
      <c r="A143" t="s">
        <v>292</v>
      </c>
      <c r="B143" t="s">
        <v>349</v>
      </c>
      <c r="C143" t="s">
        <v>574</v>
      </c>
      <c r="D143" t="s">
        <v>575</v>
      </c>
      <c r="E143" s="2">
        <v>0.70183009708737798</v>
      </c>
      <c r="F143" s="2">
        <v>0.87598058252427102</v>
      </c>
      <c r="G143" s="2">
        <v>0.77687055016181195</v>
      </c>
      <c r="H143" s="2">
        <v>0.87638511326860802</v>
      </c>
      <c r="I143" s="1">
        <v>0.77606148867313896</v>
      </c>
      <c r="J143" s="1">
        <v>0.878003236245954</v>
      </c>
      <c r="K143" s="1">
        <v>0.77484789644012897</v>
      </c>
      <c r="L143" s="1">
        <v>0.87719417475728101</v>
      </c>
    </row>
    <row r="144" spans="1:12" x14ac:dyDescent="0.3">
      <c r="A144" t="s">
        <v>292</v>
      </c>
      <c r="B144" t="s">
        <v>350</v>
      </c>
      <c r="C144" t="s">
        <v>576</v>
      </c>
      <c r="D144" t="s">
        <v>591</v>
      </c>
      <c r="E144" s="2">
        <v>0.82116071428571402</v>
      </c>
      <c r="F144" s="2">
        <v>0.67842857142857105</v>
      </c>
      <c r="G144" s="2">
        <v>0.82142857142857095</v>
      </c>
      <c r="H144" s="2">
        <v>0.67857142857142805</v>
      </c>
      <c r="I144" s="1">
        <v>0.82142857142857095</v>
      </c>
      <c r="J144" s="1">
        <v>0.67857142857142805</v>
      </c>
      <c r="K144" s="1">
        <v>0.82142857142857095</v>
      </c>
      <c r="L144" s="1">
        <v>0.67857142857142805</v>
      </c>
    </row>
    <row r="145" spans="1:12" x14ac:dyDescent="0.3">
      <c r="A145" t="s">
        <v>292</v>
      </c>
      <c r="B145" t="s">
        <v>351</v>
      </c>
      <c r="C145" t="s">
        <v>576</v>
      </c>
      <c r="D145" t="s">
        <v>595</v>
      </c>
      <c r="E145" s="2">
        <v>0.64321565377055201</v>
      </c>
      <c r="F145" s="2">
        <v>0.87097266230944304</v>
      </c>
      <c r="G145" s="2">
        <v>0.72306738155058403</v>
      </c>
      <c r="H145" s="2">
        <v>0.99591618245080804</v>
      </c>
      <c r="I145" s="1">
        <v>0.91024523050977202</v>
      </c>
      <c r="J145" s="1">
        <v>0.99663998802770903</v>
      </c>
      <c r="K145" s="1">
        <v>0.99816674293246299</v>
      </c>
      <c r="L145" s="1">
        <v>0.99663998802770903</v>
      </c>
    </row>
    <row r="146" spans="1:12" x14ac:dyDescent="0.3">
      <c r="A146" t="s">
        <v>292</v>
      </c>
      <c r="B146" t="s">
        <v>352</v>
      </c>
      <c r="C146" t="s">
        <v>574</v>
      </c>
      <c r="D146" t="s">
        <v>575</v>
      </c>
      <c r="E146" s="2">
        <v>0.98037695283243298</v>
      </c>
      <c r="F146" s="2">
        <v>0.96571033316004096</v>
      </c>
      <c r="G146" s="2">
        <v>0.99980614861352202</v>
      </c>
      <c r="H146" s="2">
        <v>0.99622870939033703</v>
      </c>
      <c r="I146" s="1">
        <v>0.99980614861352202</v>
      </c>
      <c r="J146" s="1">
        <v>0.99690498638634495</v>
      </c>
      <c r="K146" s="1">
        <v>0.99980614861352202</v>
      </c>
      <c r="L146" s="1">
        <v>0.99818704896509802</v>
      </c>
    </row>
    <row r="147" spans="1:12" x14ac:dyDescent="0.3">
      <c r="A147" t="s">
        <v>292</v>
      </c>
      <c r="B147" t="s">
        <v>353</v>
      </c>
      <c r="C147" t="s">
        <v>574</v>
      </c>
      <c r="D147" t="s">
        <v>575</v>
      </c>
      <c r="E147" s="2">
        <v>0.98256399919370996</v>
      </c>
      <c r="F147" s="2">
        <v>0.95872807901632695</v>
      </c>
      <c r="G147" s="2">
        <v>0.99221427131626605</v>
      </c>
      <c r="H147" s="2">
        <v>0.98982689981858496</v>
      </c>
      <c r="I147" s="1">
        <v>0.99221427131626605</v>
      </c>
      <c r="J147" s="1">
        <v>0.98983319895182398</v>
      </c>
      <c r="K147" s="1">
        <v>0.99288512900624804</v>
      </c>
      <c r="L147" s="1">
        <v>0.99000012598266396</v>
      </c>
    </row>
    <row r="148" spans="1:12" x14ac:dyDescent="0.3">
      <c r="A148" t="s">
        <v>292</v>
      </c>
      <c r="B148" t="s">
        <v>719</v>
      </c>
      <c r="C148" t="s">
        <v>574</v>
      </c>
      <c r="D148" t="s">
        <v>575</v>
      </c>
      <c r="E148" s="2">
        <v>0.90854875896801701</v>
      </c>
      <c r="F148" s="2">
        <v>0.85115988510632801</v>
      </c>
      <c r="G148" s="2">
        <v>0.99471257261357304</v>
      </c>
      <c r="H148" s="2">
        <v>0.99161482282932001</v>
      </c>
      <c r="I148" s="1">
        <v>0.99781032239782497</v>
      </c>
      <c r="J148" s="1">
        <v>0.99334080399809299</v>
      </c>
      <c r="K148" s="1">
        <v>0.99666396177080496</v>
      </c>
      <c r="L148" s="1">
        <v>0.997275783453765</v>
      </c>
    </row>
    <row r="149" spans="1:12" x14ac:dyDescent="0.3">
      <c r="A149" t="s">
        <v>292</v>
      </c>
      <c r="B149" t="s">
        <v>355</v>
      </c>
      <c r="C149" t="s">
        <v>574</v>
      </c>
      <c r="D149" t="s">
        <v>575</v>
      </c>
      <c r="E149" s="2">
        <v>0.99234082122057399</v>
      </c>
      <c r="F149" s="2">
        <v>0.98507316595702998</v>
      </c>
      <c r="G149" s="2">
        <v>0.99858072725492997</v>
      </c>
      <c r="H149" s="2">
        <v>1</v>
      </c>
      <c r="I149" s="1">
        <v>0.99876425390300005</v>
      </c>
      <c r="J149" s="1">
        <v>1</v>
      </c>
      <c r="K149" s="1">
        <v>0.99877648901287097</v>
      </c>
      <c r="L149" s="1">
        <v>1</v>
      </c>
    </row>
    <row r="150" spans="1:12" x14ac:dyDescent="0.3">
      <c r="A150" t="s">
        <v>292</v>
      </c>
      <c r="B150" t="s">
        <v>721</v>
      </c>
      <c r="C150" t="s">
        <v>574</v>
      </c>
      <c r="D150" t="s">
        <v>575</v>
      </c>
      <c r="E150" s="2">
        <v>0.77821620431768201</v>
      </c>
      <c r="F150" s="2">
        <v>0.756375831600548</v>
      </c>
      <c r="G150" s="2">
        <v>0.88170169530992704</v>
      </c>
      <c r="H150" s="2">
        <v>0.85130199947970897</v>
      </c>
      <c r="I150" s="1">
        <v>0.93116930723149105</v>
      </c>
      <c r="J150" s="1">
        <v>0.91219507979908698</v>
      </c>
      <c r="K150" s="1">
        <v>0.95955924488760003</v>
      </c>
      <c r="L150" s="1">
        <v>0.91944503568355396</v>
      </c>
    </row>
    <row r="151" spans="1:12" x14ac:dyDescent="0.3">
      <c r="A151" t="s">
        <v>292</v>
      </c>
      <c r="B151" t="s">
        <v>722</v>
      </c>
      <c r="C151" t="s">
        <v>574</v>
      </c>
      <c r="D151" t="s">
        <v>575</v>
      </c>
      <c r="E151" s="2">
        <v>0.93313095231896304</v>
      </c>
      <c r="F151" s="2">
        <v>0.94576588022723596</v>
      </c>
      <c r="G151" s="2">
        <v>0.99789895181908606</v>
      </c>
      <c r="H151" s="2">
        <v>0.99716215301462596</v>
      </c>
      <c r="I151" s="1">
        <v>0.99796404005269501</v>
      </c>
      <c r="J151" s="1">
        <v>0.998919535322082</v>
      </c>
      <c r="K151" s="1">
        <v>0.99809421651991403</v>
      </c>
      <c r="L151" s="1">
        <v>0.998919535322082</v>
      </c>
    </row>
    <row r="152" spans="1:12" x14ac:dyDescent="0.3">
      <c r="A152" t="s">
        <v>292</v>
      </c>
      <c r="B152" t="s">
        <v>356</v>
      </c>
      <c r="C152" t="s">
        <v>574</v>
      </c>
      <c r="D152" t="s">
        <v>575</v>
      </c>
      <c r="E152" s="2">
        <v>0.90293951711048503</v>
      </c>
      <c r="F152" s="2">
        <v>0.84393004419194495</v>
      </c>
      <c r="G152" s="2">
        <v>0.96744660315745101</v>
      </c>
      <c r="H152" s="2">
        <v>0.97602717080095602</v>
      </c>
      <c r="I152" s="1">
        <v>0.99910905604259004</v>
      </c>
      <c r="J152" s="1">
        <v>0.99759343128440803</v>
      </c>
      <c r="K152" s="1">
        <v>0.99906508920695003</v>
      </c>
      <c r="L152" s="1">
        <v>0.99924447389636195</v>
      </c>
    </row>
    <row r="153" spans="1:12" x14ac:dyDescent="0.3">
      <c r="A153" t="s">
        <v>292</v>
      </c>
      <c r="B153" t="s">
        <v>357</v>
      </c>
      <c r="C153" t="s">
        <v>574</v>
      </c>
      <c r="D153" t="s">
        <v>575</v>
      </c>
      <c r="E153" s="2">
        <v>0.96233187556729105</v>
      </c>
      <c r="F153" s="2">
        <v>0.98791566960970301</v>
      </c>
      <c r="G153" s="2">
        <v>0.99948015512831001</v>
      </c>
      <c r="H153" s="2">
        <v>0.99832907005528504</v>
      </c>
      <c r="I153" s="1">
        <v>0.99965343675220697</v>
      </c>
      <c r="J153" s="1">
        <v>0.998494100173281</v>
      </c>
      <c r="K153" s="1">
        <v>0.99965343675220697</v>
      </c>
      <c r="L153" s="1">
        <v>0.99860549550292899</v>
      </c>
    </row>
    <row r="154" spans="1:12" x14ac:dyDescent="0.3">
      <c r="A154" t="s">
        <v>292</v>
      </c>
      <c r="B154" t="s">
        <v>723</v>
      </c>
      <c r="C154" t="s">
        <v>574</v>
      </c>
      <c r="D154" t="s">
        <v>575</v>
      </c>
      <c r="E154" s="2">
        <v>1</v>
      </c>
      <c r="F154" s="2">
        <v>1</v>
      </c>
      <c r="G154" s="2">
        <v>0.99170490645958298</v>
      </c>
      <c r="H154" s="2">
        <v>0.99226379574067503</v>
      </c>
      <c r="I154" s="1">
        <v>0.99350904027924802</v>
      </c>
      <c r="J154" s="1">
        <v>0.99249911754324005</v>
      </c>
      <c r="K154" s="1">
        <v>0.99508765737145499</v>
      </c>
      <c r="L154" s="1">
        <v>0.99468564929207304</v>
      </c>
    </row>
    <row r="155" spans="1:12" x14ac:dyDescent="0.3">
      <c r="A155" t="s">
        <v>292</v>
      </c>
      <c r="B155" t="s">
        <v>724</v>
      </c>
      <c r="C155" t="s">
        <v>574</v>
      </c>
      <c r="D155" t="s">
        <v>575</v>
      </c>
      <c r="E155" s="2">
        <v>0.94545953631103996</v>
      </c>
      <c r="F155" s="2">
        <v>0.934673207674657</v>
      </c>
      <c r="G155" s="2">
        <v>0.99386252621799298</v>
      </c>
      <c r="H155" s="2">
        <v>0.994524134630273</v>
      </c>
      <c r="I155" s="1">
        <v>0.99426019510409702</v>
      </c>
      <c r="J155" s="1">
        <v>0.994524134630273</v>
      </c>
      <c r="K155" s="1">
        <v>0.99445375075662601</v>
      </c>
      <c r="L155" s="1">
        <v>0.99459803769760202</v>
      </c>
    </row>
    <row r="156" spans="1:12" x14ac:dyDescent="0.3">
      <c r="A156" t="s">
        <v>292</v>
      </c>
      <c r="B156" t="s">
        <v>725</v>
      </c>
      <c r="C156" t="s">
        <v>576</v>
      </c>
      <c r="D156" t="s">
        <v>14</v>
      </c>
      <c r="E156" s="2">
        <v>0.88064989005619299</v>
      </c>
      <c r="F156" s="2">
        <v>0.94118006352308803</v>
      </c>
      <c r="G156" s="2">
        <v>0.98405814805765901</v>
      </c>
      <c r="H156" s="2">
        <v>1</v>
      </c>
      <c r="I156" s="1">
        <v>1</v>
      </c>
      <c r="J156" s="1">
        <v>1</v>
      </c>
      <c r="K156" s="1">
        <v>1</v>
      </c>
      <c r="L156" s="1">
        <v>1</v>
      </c>
    </row>
    <row r="157" spans="1:12" x14ac:dyDescent="0.3">
      <c r="A157" t="s">
        <v>292</v>
      </c>
      <c r="B157" t="s">
        <v>358</v>
      </c>
      <c r="C157" t="s">
        <v>576</v>
      </c>
      <c r="D157" t="s">
        <v>577</v>
      </c>
      <c r="E157" s="2">
        <v>0.75</v>
      </c>
      <c r="F157" s="2">
        <v>0.75</v>
      </c>
      <c r="G157" s="2">
        <v>0.75</v>
      </c>
      <c r="H157" s="2">
        <v>0.75</v>
      </c>
      <c r="I157" s="1">
        <v>0.75</v>
      </c>
      <c r="J157" s="1">
        <v>0.75</v>
      </c>
      <c r="K157" s="1">
        <v>0.75</v>
      </c>
      <c r="L157" s="1">
        <v>0.98750000000000004</v>
      </c>
    </row>
    <row r="158" spans="1:12" x14ac:dyDescent="0.3">
      <c r="A158" t="s">
        <v>359</v>
      </c>
      <c r="B158" t="s">
        <v>727</v>
      </c>
      <c r="C158" t="s">
        <v>574</v>
      </c>
      <c r="D158" t="s">
        <v>575</v>
      </c>
      <c r="E158" s="2">
        <v>0.75878946751894005</v>
      </c>
      <c r="F158" s="2">
        <v>0.90439940353509896</v>
      </c>
      <c r="G158" s="2">
        <v>0.93444109909105499</v>
      </c>
      <c r="H158" s="2">
        <v>0.96967811790629399</v>
      </c>
      <c r="I158" s="1">
        <v>0.96451603711759204</v>
      </c>
      <c r="J158" s="1">
        <v>0.98101221739942501</v>
      </c>
      <c r="K158" s="1">
        <v>0.96413770614289196</v>
      </c>
      <c r="L158" s="1">
        <v>0.98258727731502105</v>
      </c>
    </row>
    <row r="159" spans="1:12" x14ac:dyDescent="0.3">
      <c r="A159" t="s">
        <v>359</v>
      </c>
      <c r="B159" t="s">
        <v>360</v>
      </c>
      <c r="C159" t="s">
        <v>576</v>
      </c>
      <c r="D159" t="s">
        <v>14</v>
      </c>
      <c r="E159" s="2">
        <v>1</v>
      </c>
      <c r="F159" s="2">
        <v>1</v>
      </c>
      <c r="G159" s="2">
        <v>1</v>
      </c>
      <c r="H159" s="2">
        <v>1</v>
      </c>
      <c r="I159" s="1">
        <v>1</v>
      </c>
      <c r="J159" s="1">
        <v>1</v>
      </c>
      <c r="K159" s="1">
        <v>1</v>
      </c>
      <c r="L159" s="1">
        <v>1</v>
      </c>
    </row>
    <row r="160" spans="1:12" x14ac:dyDescent="0.3">
      <c r="A160" t="s">
        <v>359</v>
      </c>
      <c r="B160" t="s">
        <v>361</v>
      </c>
      <c r="C160" t="s">
        <v>574</v>
      </c>
      <c r="D160" t="s">
        <v>575</v>
      </c>
      <c r="E160" s="2">
        <v>0.839114659222163</v>
      </c>
      <c r="F160" s="2">
        <v>0.85530767755180304</v>
      </c>
      <c r="G160" s="2">
        <v>0.89756053760412702</v>
      </c>
      <c r="H160" s="2">
        <v>0.86744784970593303</v>
      </c>
      <c r="I160" s="1">
        <v>0.90248884753053904</v>
      </c>
      <c r="J160" s="1">
        <v>0.87054564451682104</v>
      </c>
      <c r="K160" s="1">
        <v>0.90235007938354295</v>
      </c>
      <c r="L160" s="1">
        <v>0.87106806577610096</v>
      </c>
    </row>
    <row r="161" spans="1:12" x14ac:dyDescent="0.3">
      <c r="A161" t="s">
        <v>359</v>
      </c>
      <c r="B161" t="s">
        <v>362</v>
      </c>
      <c r="C161" t="s">
        <v>574</v>
      </c>
      <c r="D161" t="s">
        <v>575</v>
      </c>
      <c r="E161" s="2">
        <v>0.79862833760944196</v>
      </c>
      <c r="F161" s="2">
        <v>0.81358999437727098</v>
      </c>
      <c r="G161" s="2">
        <v>0.85691335799774104</v>
      </c>
      <c r="H161" s="2">
        <v>0.83448150405639698</v>
      </c>
      <c r="I161" s="1">
        <v>0.87129384193043802</v>
      </c>
      <c r="J161" s="1">
        <v>0.85736459381688801</v>
      </c>
      <c r="K161" s="1">
        <v>0.872782211386262</v>
      </c>
      <c r="L161" s="1">
        <v>0.85865687650313405</v>
      </c>
    </row>
    <row r="162" spans="1:12" x14ac:dyDescent="0.3">
      <c r="A162" t="s">
        <v>359</v>
      </c>
      <c r="B162" t="s">
        <v>363</v>
      </c>
      <c r="C162" t="s">
        <v>576</v>
      </c>
      <c r="D162" t="s">
        <v>14</v>
      </c>
      <c r="E162" s="2">
        <v>0.75596855083063397</v>
      </c>
      <c r="F162" s="2">
        <v>0.894577369135931</v>
      </c>
      <c r="G162" s="2">
        <v>0.85934071674851098</v>
      </c>
      <c r="H162" s="2">
        <v>0.921690523456274</v>
      </c>
      <c r="I162" s="1">
        <v>0.92214763347612505</v>
      </c>
      <c r="J162" s="1">
        <v>0.930349493260892</v>
      </c>
      <c r="K162" s="1">
        <v>0.94116341030195305</v>
      </c>
      <c r="L162" s="1">
        <v>0.90078100511963199</v>
      </c>
    </row>
    <row r="163" spans="1:12" x14ac:dyDescent="0.3">
      <c r="A163" t="s">
        <v>359</v>
      </c>
      <c r="B163" t="s">
        <v>364</v>
      </c>
      <c r="C163" t="s">
        <v>576</v>
      </c>
      <c r="D163" t="s">
        <v>14</v>
      </c>
      <c r="E163" s="2">
        <v>0.75596855083063397</v>
      </c>
      <c r="F163" s="2">
        <v>0.894577369135931</v>
      </c>
      <c r="G163" s="2">
        <v>0.85934071674851098</v>
      </c>
      <c r="H163" s="2">
        <v>0.921690523456274</v>
      </c>
      <c r="I163" s="1">
        <v>0.92214763347612505</v>
      </c>
      <c r="J163" s="1">
        <v>0.930349493260892</v>
      </c>
      <c r="K163" s="1">
        <v>0.94116341030195305</v>
      </c>
      <c r="L163" s="1">
        <v>0.90078100511963199</v>
      </c>
    </row>
    <row r="164" spans="1:12" x14ac:dyDescent="0.3">
      <c r="A164" t="s">
        <v>359</v>
      </c>
      <c r="B164" t="s">
        <v>365</v>
      </c>
      <c r="C164" t="s">
        <v>366</v>
      </c>
      <c r="D164" t="s">
        <v>367</v>
      </c>
      <c r="E164" s="2">
        <v>0.99443384248334599</v>
      </c>
      <c r="F164" s="2">
        <v>0.99444689236305694</v>
      </c>
      <c r="G164" s="2">
        <v>0.99443384248334599</v>
      </c>
      <c r="H164" s="2">
        <v>0.994560503080539</v>
      </c>
      <c r="I164" s="1">
        <v>0.99452826220125301</v>
      </c>
      <c r="J164" s="1">
        <v>0.99576876841376405</v>
      </c>
      <c r="K164" s="1">
        <v>0.99452826220125301</v>
      </c>
      <c r="L164" s="1">
        <v>0.996667674833844</v>
      </c>
    </row>
    <row r="165" spans="1:12" x14ac:dyDescent="0.3">
      <c r="A165" t="s">
        <v>359</v>
      </c>
      <c r="B165" t="s">
        <v>368</v>
      </c>
      <c r="C165" t="s">
        <v>366</v>
      </c>
      <c r="D165" t="s">
        <v>367</v>
      </c>
      <c r="E165" s="2">
        <v>0.65681080132237202</v>
      </c>
      <c r="F165" s="2">
        <v>0.89209246364939498</v>
      </c>
      <c r="G165" s="2">
        <v>0.77941619613235402</v>
      </c>
      <c r="H165" s="2">
        <v>0.94571179895263402</v>
      </c>
      <c r="I165" s="1">
        <v>0.92401443784558601</v>
      </c>
      <c r="J165" s="1">
        <v>0.98205508908457895</v>
      </c>
      <c r="K165" s="1">
        <v>0.97833408911383501</v>
      </c>
      <c r="L165" s="1">
        <v>0.98288778853749104</v>
      </c>
    </row>
    <row r="166" spans="1:12" x14ac:dyDescent="0.3">
      <c r="A166" t="s">
        <v>359</v>
      </c>
      <c r="B166" t="s">
        <v>369</v>
      </c>
      <c r="C166" t="s">
        <v>574</v>
      </c>
      <c r="D166" t="s">
        <v>575</v>
      </c>
      <c r="E166" s="2">
        <v>0.88037906137184097</v>
      </c>
      <c r="F166" s="2">
        <v>0.85122743682310398</v>
      </c>
      <c r="G166" s="2">
        <v>0.87839350180505404</v>
      </c>
      <c r="H166" s="2">
        <v>0.97601083032490898</v>
      </c>
      <c r="I166" s="1">
        <v>0.977815884476534</v>
      </c>
      <c r="J166" s="1">
        <v>0.97601083032490898</v>
      </c>
      <c r="K166" s="1">
        <v>0.977815884476534</v>
      </c>
      <c r="L166" s="1">
        <v>0.97601083032490898</v>
      </c>
    </row>
    <row r="167" spans="1:12" x14ac:dyDescent="0.3">
      <c r="A167" t="s">
        <v>359</v>
      </c>
      <c r="B167" t="s">
        <v>370</v>
      </c>
      <c r="C167" t="s">
        <v>574</v>
      </c>
      <c r="D167" t="s">
        <v>575</v>
      </c>
      <c r="E167" s="2">
        <v>0.71985359690844197</v>
      </c>
      <c r="F167" s="2">
        <v>0.79642167063020197</v>
      </c>
      <c r="G167" s="2">
        <v>0.82741156361474399</v>
      </c>
      <c r="H167" s="2">
        <v>0.85023781212841798</v>
      </c>
      <c r="I167" s="1">
        <v>0.84458605826397104</v>
      </c>
      <c r="J167" s="1">
        <v>0.871135552913198</v>
      </c>
      <c r="K167" s="1">
        <v>0.85233353151010605</v>
      </c>
      <c r="L167" s="1">
        <v>0.871135552913198</v>
      </c>
    </row>
    <row r="168" spans="1:12" x14ac:dyDescent="0.3">
      <c r="A168" t="s">
        <v>359</v>
      </c>
      <c r="B168" t="s">
        <v>371</v>
      </c>
      <c r="C168" t="s">
        <v>576</v>
      </c>
      <c r="D168" t="s">
        <v>577</v>
      </c>
      <c r="E168" s="2">
        <v>0.98628269994369999</v>
      </c>
      <c r="F168" s="2">
        <v>0.86202616552920996</v>
      </c>
      <c r="G168" s="2">
        <v>0.98628269994369999</v>
      </c>
      <c r="H168" s="2">
        <v>0.98341567739214297</v>
      </c>
      <c r="I168" s="1">
        <v>0.98632543585989296</v>
      </c>
      <c r="J168" s="1">
        <v>0.987952187800196</v>
      </c>
      <c r="K168" s="1">
        <v>0.98632543585989296</v>
      </c>
      <c r="L168" s="1">
        <v>0.98799027850810694</v>
      </c>
    </row>
    <row r="169" spans="1:12" x14ac:dyDescent="0.3">
      <c r="A169" t="s">
        <v>359</v>
      </c>
      <c r="B169" t="s">
        <v>372</v>
      </c>
      <c r="C169" t="s">
        <v>574</v>
      </c>
      <c r="D169" t="s">
        <v>575</v>
      </c>
      <c r="E169" s="2">
        <v>0.85284971886181604</v>
      </c>
      <c r="F169" s="2">
        <v>0.88449906287272095</v>
      </c>
      <c r="G169" s="2">
        <v>0.91667021639120805</v>
      </c>
      <c r="H169" s="2">
        <v>0.98565201340375896</v>
      </c>
      <c r="I169" s="1">
        <v>0.97469046401999204</v>
      </c>
      <c r="J169" s="1">
        <v>0.98566621230192497</v>
      </c>
      <c r="K169" s="1">
        <v>0.97861645936275299</v>
      </c>
      <c r="L169" s="1">
        <v>0.98574430624183496</v>
      </c>
    </row>
    <row r="170" spans="1:12" x14ac:dyDescent="0.3">
      <c r="A170" t="s">
        <v>359</v>
      </c>
      <c r="B170" t="s">
        <v>373</v>
      </c>
      <c r="C170" t="s">
        <v>576</v>
      </c>
      <c r="D170" t="s">
        <v>14</v>
      </c>
      <c r="E170" s="2">
        <v>0.77232652418624703</v>
      </c>
      <c r="F170" s="2">
        <v>0.85295391033967005</v>
      </c>
      <c r="G170" s="2">
        <v>0.88890856850474198</v>
      </c>
      <c r="H170" s="2">
        <v>0.84876215216278905</v>
      </c>
      <c r="I170" s="1">
        <v>0.85626008580312496</v>
      </c>
      <c r="J170" s="1">
        <v>0.87956075097414099</v>
      </c>
      <c r="K170" s="1">
        <v>0.88518912110835601</v>
      </c>
      <c r="L170" s="1">
        <v>0.91211083559648898</v>
      </c>
    </row>
    <row r="171" spans="1:12" x14ac:dyDescent="0.3">
      <c r="A171" t="s">
        <v>359</v>
      </c>
      <c r="B171" t="s">
        <v>374</v>
      </c>
      <c r="C171" t="s">
        <v>574</v>
      </c>
      <c r="D171" t="s">
        <v>575</v>
      </c>
      <c r="E171" s="2">
        <v>0.80977011913533803</v>
      </c>
      <c r="F171" s="2">
        <v>0.85871555617161899</v>
      </c>
      <c r="G171" s="2">
        <v>0.88431907551560796</v>
      </c>
      <c r="H171" s="2">
        <v>0.87677189193921401</v>
      </c>
      <c r="I171" s="1">
        <v>0.894999671702986</v>
      </c>
      <c r="J171" s="1">
        <v>0.92090230610413504</v>
      </c>
      <c r="K171" s="1">
        <v>0.89520759314515796</v>
      </c>
      <c r="L171" s="1">
        <v>0.92153336591985102</v>
      </c>
    </row>
    <row r="172" spans="1:12" x14ac:dyDescent="0.3">
      <c r="A172" t="s">
        <v>359</v>
      </c>
      <c r="B172" t="s">
        <v>729</v>
      </c>
      <c r="C172" t="s">
        <v>574</v>
      </c>
      <c r="D172" t="s">
        <v>575</v>
      </c>
      <c r="E172" s="2">
        <v>0.65379050178285303</v>
      </c>
      <c r="F172" s="2">
        <v>0.657537078187173</v>
      </c>
      <c r="G172" s="2">
        <v>0.67210996847708104</v>
      </c>
      <c r="H172" s="2">
        <v>0.66840214975970202</v>
      </c>
      <c r="I172" s="1">
        <v>0.69409849620174602</v>
      </c>
      <c r="J172" s="1">
        <v>0.66836339207276096</v>
      </c>
      <c r="K172" s="1">
        <v>0.69409849620174602</v>
      </c>
      <c r="L172" s="1">
        <v>0.67123146090641295</v>
      </c>
    </row>
    <row r="173" spans="1:12" x14ac:dyDescent="0.3">
      <c r="A173" t="s">
        <v>359</v>
      </c>
      <c r="B173" t="s">
        <v>375</v>
      </c>
      <c r="C173" t="s">
        <v>574</v>
      </c>
      <c r="D173" t="s">
        <v>575</v>
      </c>
      <c r="E173" s="2">
        <v>0.78410915816637305</v>
      </c>
      <c r="F173" s="2">
        <v>0.88257412145174996</v>
      </c>
      <c r="G173" s="2">
        <v>0.88039228716040296</v>
      </c>
      <c r="H173" s="2">
        <v>0.92780011296806897</v>
      </c>
      <c r="I173" s="1">
        <v>0.88094051455848299</v>
      </c>
      <c r="J173" s="1">
        <v>0.92655967925928295</v>
      </c>
      <c r="K173" s="1">
        <v>0.87936228417007201</v>
      </c>
      <c r="L173" s="1">
        <v>0.98719141442668701</v>
      </c>
    </row>
    <row r="174" spans="1:12" x14ac:dyDescent="0.3">
      <c r="A174" t="s">
        <v>359</v>
      </c>
      <c r="B174" t="s">
        <v>376</v>
      </c>
      <c r="C174" t="s">
        <v>574</v>
      </c>
      <c r="D174" t="s">
        <v>575</v>
      </c>
      <c r="E174" s="2">
        <v>0.81864683301343499</v>
      </c>
      <c r="F174" s="2">
        <v>0.97623800383877102</v>
      </c>
      <c r="G174" s="2">
        <v>0.87678502879078701</v>
      </c>
      <c r="H174" s="2">
        <v>0.99798464491362704</v>
      </c>
      <c r="I174" s="1">
        <v>0.91374280230326199</v>
      </c>
      <c r="J174" s="1">
        <v>0.99798464491362704</v>
      </c>
      <c r="K174" s="1">
        <v>0.97802303262955803</v>
      </c>
      <c r="L174" s="1">
        <v>0.99798464491362704</v>
      </c>
    </row>
    <row r="175" spans="1:12" x14ac:dyDescent="0.3">
      <c r="A175" t="s">
        <v>359</v>
      </c>
      <c r="B175" t="s">
        <v>730</v>
      </c>
      <c r="C175" t="s">
        <v>574</v>
      </c>
      <c r="D175" t="s">
        <v>575</v>
      </c>
      <c r="E175" s="2">
        <v>0.5</v>
      </c>
      <c r="F175" s="2">
        <v>1</v>
      </c>
      <c r="G175" s="2">
        <v>0.5</v>
      </c>
      <c r="H175" s="2">
        <v>1</v>
      </c>
      <c r="I175" s="1">
        <v>0.5</v>
      </c>
      <c r="J175" s="1">
        <v>1</v>
      </c>
      <c r="K175" s="1">
        <v>0.5</v>
      </c>
      <c r="L175" s="1">
        <v>1</v>
      </c>
    </row>
    <row r="176" spans="1:12" x14ac:dyDescent="0.3">
      <c r="A176" t="s">
        <v>359</v>
      </c>
      <c r="B176" t="s">
        <v>731</v>
      </c>
      <c r="C176" t="s">
        <v>576</v>
      </c>
      <c r="D176" t="s">
        <v>14</v>
      </c>
      <c r="E176" s="2">
        <v>0.5</v>
      </c>
      <c r="F176" s="2">
        <v>1</v>
      </c>
      <c r="G176" s="2">
        <v>0.5</v>
      </c>
      <c r="H176" s="2">
        <v>1</v>
      </c>
      <c r="I176" s="1">
        <v>0.5</v>
      </c>
      <c r="J176" s="1">
        <v>1</v>
      </c>
      <c r="K176" s="1">
        <v>0.5</v>
      </c>
      <c r="L176" s="1">
        <v>1</v>
      </c>
    </row>
    <row r="177" spans="1:12" x14ac:dyDescent="0.3">
      <c r="A177" t="s">
        <v>359</v>
      </c>
      <c r="B177" t="s">
        <v>380</v>
      </c>
      <c r="C177" t="s">
        <v>574</v>
      </c>
      <c r="D177" t="s">
        <v>575</v>
      </c>
      <c r="E177" s="2">
        <v>0.89259135861146499</v>
      </c>
      <c r="F177" s="2">
        <v>0.89474515277885203</v>
      </c>
      <c r="G177" s="2">
        <v>0.91813134670559504</v>
      </c>
      <c r="H177" s="2">
        <v>0.92135414281676398</v>
      </c>
      <c r="I177" s="1">
        <v>0.93127359659940501</v>
      </c>
      <c r="J177" s="1">
        <v>0.92406217580581695</v>
      </c>
      <c r="K177" s="1">
        <v>0.93147255412513097</v>
      </c>
      <c r="L177" s="1">
        <v>0.92633281804386802</v>
      </c>
    </row>
    <row r="178" spans="1:12" x14ac:dyDescent="0.3">
      <c r="A178" t="s">
        <v>359</v>
      </c>
      <c r="B178" t="s">
        <v>381</v>
      </c>
      <c r="C178" t="s">
        <v>574</v>
      </c>
      <c r="D178" t="s">
        <v>575</v>
      </c>
      <c r="E178" s="2">
        <v>0.77631635350432204</v>
      </c>
      <c r="F178" s="2">
        <v>0.77136529256269204</v>
      </c>
      <c r="G178" s="2">
        <v>0.79097663785096795</v>
      </c>
      <c r="H178" s="2">
        <v>0.79137672358362499</v>
      </c>
      <c r="I178" s="1">
        <v>0.78966207044366599</v>
      </c>
      <c r="J178" s="1">
        <v>0.79485604058012405</v>
      </c>
      <c r="K178" s="1">
        <v>0.78763306422804802</v>
      </c>
      <c r="L178" s="1">
        <v>0.79044080874473099</v>
      </c>
    </row>
    <row r="179" spans="1:12" x14ac:dyDescent="0.3">
      <c r="A179" t="s">
        <v>359</v>
      </c>
      <c r="B179" t="s">
        <v>382</v>
      </c>
      <c r="C179" t="s">
        <v>574</v>
      </c>
      <c r="D179" t="s">
        <v>575</v>
      </c>
      <c r="E179" s="2">
        <v>0.71615880457075798</v>
      </c>
      <c r="F179" s="2">
        <v>0.71871206730567905</v>
      </c>
      <c r="G179" s="2">
        <v>0.72894604662843698</v>
      </c>
      <c r="H179" s="2">
        <v>0.72670670963961304</v>
      </c>
      <c r="I179" s="1">
        <v>0.73566405759491005</v>
      </c>
      <c r="J179" s="1">
        <v>0.73566405759491005</v>
      </c>
      <c r="K179" s="1">
        <v>0.73894981373738999</v>
      </c>
      <c r="L179" s="1">
        <v>0.73518270478422798</v>
      </c>
    </row>
    <row r="180" spans="1:12" x14ac:dyDescent="0.3">
      <c r="A180" t="s">
        <v>359</v>
      </c>
      <c r="B180" t="s">
        <v>383</v>
      </c>
      <c r="C180" t="s">
        <v>576</v>
      </c>
      <c r="D180" t="s">
        <v>577</v>
      </c>
      <c r="E180" s="2">
        <v>1</v>
      </c>
      <c r="F180" s="2">
        <v>1</v>
      </c>
      <c r="G180" s="2">
        <v>1</v>
      </c>
      <c r="H180" s="2">
        <v>1</v>
      </c>
      <c r="I180" s="1">
        <v>1</v>
      </c>
      <c r="J180" s="1">
        <v>1</v>
      </c>
      <c r="K180" s="1">
        <v>1</v>
      </c>
      <c r="L180" s="1">
        <v>1</v>
      </c>
    </row>
    <row r="181" spans="1:12" x14ac:dyDescent="0.3">
      <c r="A181" t="s">
        <v>359</v>
      </c>
      <c r="B181" t="s">
        <v>384</v>
      </c>
      <c r="C181" t="s">
        <v>574</v>
      </c>
      <c r="D181" t="s">
        <v>575</v>
      </c>
      <c r="E181" s="2">
        <v>0.83960939228819198</v>
      </c>
      <c r="F181" s="2">
        <v>0.84049126128080198</v>
      </c>
      <c r="G181" s="2">
        <v>0.85071655963734905</v>
      </c>
      <c r="H181" s="2">
        <v>0.85046678804689502</v>
      </c>
      <c r="I181" s="1">
        <v>0.90263618576871496</v>
      </c>
      <c r="J181" s="1">
        <v>0.85257341422427302</v>
      </c>
      <c r="K181" s="1">
        <v>0.99222202503412404</v>
      </c>
      <c r="L181" s="1">
        <v>0.85233131105984195</v>
      </c>
    </row>
    <row r="182" spans="1:12" x14ac:dyDescent="0.3">
      <c r="A182" t="s">
        <v>359</v>
      </c>
      <c r="B182" t="s">
        <v>385</v>
      </c>
      <c r="C182" t="s">
        <v>574</v>
      </c>
      <c r="D182" t="s">
        <v>575</v>
      </c>
      <c r="E182" s="2">
        <v>0.75341659542306305</v>
      </c>
      <c r="F182" s="2">
        <v>0.78141842917146698</v>
      </c>
      <c r="G182" s="2">
        <v>0.80397477356924196</v>
      </c>
      <c r="H182" s="2">
        <v>0.79423608271692103</v>
      </c>
      <c r="I182" s="1">
        <v>0.81614194203868196</v>
      </c>
      <c r="J182" s="1">
        <v>0.80154010085616201</v>
      </c>
      <c r="K182" s="1">
        <v>0.85140442825459295</v>
      </c>
      <c r="L182" s="1">
        <v>0.80234546333122703</v>
      </c>
    </row>
    <row r="183" spans="1:12" x14ac:dyDescent="0.3">
      <c r="A183" t="s">
        <v>359</v>
      </c>
      <c r="B183" t="s">
        <v>386</v>
      </c>
      <c r="C183" t="s">
        <v>574</v>
      </c>
      <c r="D183" t="s">
        <v>575</v>
      </c>
      <c r="E183" s="2">
        <v>0.801496128003644</v>
      </c>
      <c r="F183" s="2">
        <v>0.81895569980640004</v>
      </c>
      <c r="G183" s="2">
        <v>0.84223750142352805</v>
      </c>
      <c r="H183" s="2">
        <v>0.84050079717572002</v>
      </c>
      <c r="I183" s="1">
        <v>0.84018050335952599</v>
      </c>
      <c r="J183" s="1">
        <v>0.84140473750142297</v>
      </c>
      <c r="K183" s="1">
        <v>0.83822315226056199</v>
      </c>
      <c r="L183" s="1">
        <v>0.84173214895797699</v>
      </c>
    </row>
    <row r="184" spans="1:12" x14ac:dyDescent="0.3">
      <c r="A184" t="s">
        <v>359</v>
      </c>
      <c r="B184" t="s">
        <v>387</v>
      </c>
      <c r="C184" t="s">
        <v>574</v>
      </c>
      <c r="D184" t="s">
        <v>575</v>
      </c>
      <c r="E184" s="2">
        <v>0.80557572975498504</v>
      </c>
      <c r="F184" s="2">
        <v>0.85002828031116495</v>
      </c>
      <c r="G184" s="2">
        <v>0.858277933979818</v>
      </c>
      <c r="H184" s="2">
        <v>0.91313190101071295</v>
      </c>
      <c r="I184" s="1">
        <v>0.87971604928151603</v>
      </c>
      <c r="J184" s="1">
        <v>0.93679555384325297</v>
      </c>
      <c r="K184" s="1">
        <v>0.88984613871287699</v>
      </c>
      <c r="L184" s="1">
        <v>0.93662259309960405</v>
      </c>
    </row>
    <row r="185" spans="1:12" x14ac:dyDescent="0.3">
      <c r="A185" t="s">
        <v>359</v>
      </c>
      <c r="B185" t="s">
        <v>388</v>
      </c>
      <c r="C185" t="s">
        <v>576</v>
      </c>
      <c r="D185" t="s">
        <v>14</v>
      </c>
      <c r="E185" s="2">
        <v>1</v>
      </c>
      <c r="F185" s="2">
        <v>0.5</v>
      </c>
      <c r="G185" s="2">
        <v>1</v>
      </c>
      <c r="H185" s="2">
        <v>0.5</v>
      </c>
      <c r="I185" s="1">
        <v>1</v>
      </c>
      <c r="J185" s="1">
        <v>0.5</v>
      </c>
      <c r="K185" s="1">
        <v>1</v>
      </c>
      <c r="L185" s="1">
        <v>0.5</v>
      </c>
    </row>
    <row r="186" spans="1:12" x14ac:dyDescent="0.3">
      <c r="A186" t="s">
        <v>359</v>
      </c>
      <c r="B186" t="s">
        <v>732</v>
      </c>
      <c r="C186" t="s">
        <v>574</v>
      </c>
      <c r="D186" t="s">
        <v>575</v>
      </c>
      <c r="E186" s="2">
        <v>0.88760441760785902</v>
      </c>
      <c r="F186" s="2">
        <v>0.87749116165566399</v>
      </c>
      <c r="G186" s="2">
        <v>0.96912054563088501</v>
      </c>
      <c r="H186" s="2">
        <v>0.99410255608046805</v>
      </c>
      <c r="I186" s="1">
        <v>0.98962081156337001</v>
      </c>
      <c r="J186" s="1">
        <v>0.99232706566967999</v>
      </c>
      <c r="K186" s="1">
        <v>0.99053593217157299</v>
      </c>
      <c r="L186" s="1">
        <v>0.99232706566967999</v>
      </c>
    </row>
    <row r="187" spans="1:12" x14ac:dyDescent="0.3">
      <c r="A187" t="s">
        <v>359</v>
      </c>
      <c r="B187" t="s">
        <v>733</v>
      </c>
      <c r="C187" t="s">
        <v>576</v>
      </c>
      <c r="D187" t="s">
        <v>14</v>
      </c>
      <c r="E187" s="2">
        <v>0.72386462648465999</v>
      </c>
      <c r="F187" s="2">
        <v>0.80726547333343501</v>
      </c>
      <c r="G187" s="2">
        <v>0.82245219278802795</v>
      </c>
      <c r="H187" s="2">
        <v>0.91515461868876002</v>
      </c>
      <c r="I187" s="1">
        <v>0.86681239395282705</v>
      </c>
      <c r="J187" s="1">
        <v>0.91345022088384098</v>
      </c>
      <c r="K187" s="1">
        <v>0.84134578639233204</v>
      </c>
      <c r="L187" s="1">
        <v>0.91015607086626205</v>
      </c>
    </row>
    <row r="188" spans="1:12" x14ac:dyDescent="0.3">
      <c r="A188" t="s">
        <v>359</v>
      </c>
      <c r="B188" t="s">
        <v>389</v>
      </c>
      <c r="C188" t="s">
        <v>574</v>
      </c>
      <c r="D188" t="s">
        <v>575</v>
      </c>
      <c r="E188" s="2">
        <v>0.73447658202900801</v>
      </c>
      <c r="F188" s="2">
        <v>0.80844513853200395</v>
      </c>
      <c r="G188" s="2">
        <v>0.88565808315412897</v>
      </c>
      <c r="H188" s="2">
        <v>0.81371648962444398</v>
      </c>
      <c r="I188" s="1">
        <v>0.88984048736921395</v>
      </c>
      <c r="J188" s="1">
        <v>0.88030440618092698</v>
      </c>
      <c r="K188" s="1">
        <v>0.89779616111923199</v>
      </c>
      <c r="L188" s="1">
        <v>0.90247501534255004</v>
      </c>
    </row>
    <row r="189" spans="1:12" x14ac:dyDescent="0.3">
      <c r="A189" t="s">
        <v>359</v>
      </c>
      <c r="B189" t="s">
        <v>391</v>
      </c>
      <c r="C189" t="s">
        <v>576</v>
      </c>
      <c r="D189" t="s">
        <v>14</v>
      </c>
      <c r="E189" s="2">
        <v>0.77781173594132003</v>
      </c>
      <c r="F189" s="2">
        <v>0.90198218651763795</v>
      </c>
      <c r="G189" s="2">
        <v>0.89262428687856499</v>
      </c>
      <c r="H189" s="2">
        <v>0.96857899639073197</v>
      </c>
      <c r="I189" s="1">
        <v>0.94082547444405595</v>
      </c>
      <c r="J189" s="1">
        <v>0.98030911631156104</v>
      </c>
      <c r="K189" s="1">
        <v>0.97978519035976197</v>
      </c>
      <c r="L189" s="1">
        <v>0.98030911631156104</v>
      </c>
    </row>
    <row r="190" spans="1:12" x14ac:dyDescent="0.3">
      <c r="A190" t="s">
        <v>359</v>
      </c>
      <c r="B190" t="s">
        <v>734</v>
      </c>
      <c r="C190" t="s">
        <v>574</v>
      </c>
      <c r="D190" t="s">
        <v>575</v>
      </c>
      <c r="E190" s="2">
        <v>0.68236298525708705</v>
      </c>
      <c r="F190" s="2">
        <v>0.78727917189877195</v>
      </c>
      <c r="G190" s="2">
        <v>0.81250955067004105</v>
      </c>
      <c r="H190" s="2">
        <v>0.91384631227867297</v>
      </c>
      <c r="I190" s="1">
        <v>0.92291197438094996</v>
      </c>
      <c r="J190" s="1">
        <v>0.91692245852517695</v>
      </c>
      <c r="K190" s="1">
        <v>0.99270328808807196</v>
      </c>
      <c r="L190" s="1">
        <v>0.96919701288260796</v>
      </c>
    </row>
    <row r="191" spans="1:12" x14ac:dyDescent="0.3">
      <c r="A191" t="s">
        <v>359</v>
      </c>
      <c r="B191" t="s">
        <v>736</v>
      </c>
      <c r="C191" t="s">
        <v>576</v>
      </c>
      <c r="D191" t="s">
        <v>14</v>
      </c>
      <c r="E191" s="2">
        <v>0.90952749644262099</v>
      </c>
      <c r="F191" s="2">
        <v>0.86511258056415796</v>
      </c>
      <c r="G191" s="2">
        <v>0.93075667531597805</v>
      </c>
      <c r="H191" s="2">
        <v>0.98203523897212597</v>
      </c>
      <c r="I191" s="1">
        <v>0.92984640495521798</v>
      </c>
      <c r="J191" s="1">
        <v>0.98238051393655301</v>
      </c>
      <c r="K191" s="1">
        <v>0.93055788063949096</v>
      </c>
      <c r="L191" s="1">
        <v>0.98153302084205196</v>
      </c>
    </row>
    <row r="192" spans="1:12" x14ac:dyDescent="0.3">
      <c r="A192" t="s">
        <v>359</v>
      </c>
      <c r="B192" t="s">
        <v>397</v>
      </c>
      <c r="C192" t="s">
        <v>576</v>
      </c>
      <c r="D192" t="s">
        <v>14</v>
      </c>
      <c r="E192" s="2">
        <v>0.82702658937072904</v>
      </c>
      <c r="F192" s="2">
        <v>0.662496356511319</v>
      </c>
      <c r="G192" s="2">
        <v>0.88474916604592402</v>
      </c>
      <c r="H192" s="2">
        <v>0.75467500080966399</v>
      </c>
      <c r="I192" s="1">
        <v>0.88474916604592402</v>
      </c>
      <c r="J192" s="1">
        <v>0.75467500080966399</v>
      </c>
      <c r="K192" s="1">
        <v>0.88474916604592402</v>
      </c>
      <c r="L192" s="1">
        <v>0.75467500080966399</v>
      </c>
    </row>
    <row r="193" spans="1:12" x14ac:dyDescent="0.3">
      <c r="A193" t="s">
        <v>359</v>
      </c>
      <c r="B193" t="s">
        <v>398</v>
      </c>
      <c r="C193" t="s">
        <v>576</v>
      </c>
      <c r="D193" t="s">
        <v>14</v>
      </c>
      <c r="E193" s="2">
        <v>0.75982863296552305</v>
      </c>
      <c r="F193" s="2">
        <v>0.91254506578433903</v>
      </c>
      <c r="G193" s="2">
        <v>0.849593432491064</v>
      </c>
      <c r="H193" s="2">
        <v>0.96541444914394503</v>
      </c>
      <c r="I193" s="1">
        <v>0.96661620339300403</v>
      </c>
      <c r="J193" s="1">
        <v>0.97828258392770695</v>
      </c>
      <c r="K193" s="1">
        <v>0.96876219312346801</v>
      </c>
      <c r="L193" s="1">
        <v>0.97811090474926998</v>
      </c>
    </row>
    <row r="194" spans="1:12" x14ac:dyDescent="0.3">
      <c r="A194" t="s">
        <v>359</v>
      </c>
      <c r="B194" t="s">
        <v>737</v>
      </c>
      <c r="C194" t="s">
        <v>576</v>
      </c>
      <c r="D194" t="s">
        <v>14</v>
      </c>
      <c r="E194" s="2">
        <v>0.56195290405740705</v>
      </c>
      <c r="F194" s="2">
        <v>0.57959704880817198</v>
      </c>
      <c r="G194" s="2">
        <v>0.59299669097135299</v>
      </c>
      <c r="H194" s="2">
        <v>0.62373987571903999</v>
      </c>
      <c r="I194" s="1">
        <v>0.59841233959868401</v>
      </c>
      <c r="J194" s="1">
        <v>0.613230823986609</v>
      </c>
      <c r="K194" s="1">
        <v>0.60959714500086504</v>
      </c>
      <c r="L194" s="1">
        <v>0.66067306027434103</v>
      </c>
    </row>
    <row r="195" spans="1:12" x14ac:dyDescent="0.3">
      <c r="A195" t="s">
        <v>359</v>
      </c>
      <c r="B195" t="s">
        <v>401</v>
      </c>
      <c r="C195" t="s">
        <v>576</v>
      </c>
      <c r="D195" t="s">
        <v>14</v>
      </c>
      <c r="E195" s="2">
        <v>0.76966754876360299</v>
      </c>
      <c r="F195" s="2">
        <v>0.84116997599060594</v>
      </c>
      <c r="G195" s="2">
        <v>0.84245807118697502</v>
      </c>
      <c r="H195" s="2">
        <v>0.91060444086153403</v>
      </c>
      <c r="I195" s="1">
        <v>0.93379891694852801</v>
      </c>
      <c r="J195" s="1">
        <v>0.88406266977445103</v>
      </c>
      <c r="K195" s="1">
        <v>0.94617164087555405</v>
      </c>
      <c r="L195" s="1">
        <v>0.89297418552075802</v>
      </c>
    </row>
    <row r="196" spans="1:12" x14ac:dyDescent="0.3">
      <c r="A196" t="s">
        <v>359</v>
      </c>
      <c r="B196" t="s">
        <v>738</v>
      </c>
      <c r="C196" t="s">
        <v>576</v>
      </c>
      <c r="D196" t="s">
        <v>14</v>
      </c>
      <c r="E196" s="2">
        <v>0.73792751129275103</v>
      </c>
      <c r="F196" s="2">
        <v>0.87941851294185103</v>
      </c>
      <c r="G196" s="2">
        <v>0.84019860901985999</v>
      </c>
      <c r="H196" s="2">
        <v>0.91361941636194099</v>
      </c>
      <c r="I196" s="1">
        <v>0.88747580124757997</v>
      </c>
      <c r="J196" s="1">
        <v>0.92036817953681804</v>
      </c>
      <c r="K196" s="1">
        <v>0.91120850362085004</v>
      </c>
      <c r="L196" s="1">
        <v>0.924078654907865</v>
      </c>
    </row>
    <row r="197" spans="1:12" x14ac:dyDescent="0.3">
      <c r="A197" t="s">
        <v>359</v>
      </c>
      <c r="B197" t="s">
        <v>404</v>
      </c>
      <c r="C197" t="s">
        <v>574</v>
      </c>
      <c r="D197" t="s">
        <v>575</v>
      </c>
      <c r="E197" s="2">
        <v>0.87600204372874702</v>
      </c>
      <c r="F197" s="2">
        <v>0.90410331401187405</v>
      </c>
      <c r="G197" s="2">
        <v>0.87679486953610797</v>
      </c>
      <c r="H197" s="2">
        <v>0.98527105833436102</v>
      </c>
      <c r="I197" s="1">
        <v>0.87782554308567795</v>
      </c>
      <c r="J197" s="1">
        <v>0.98496273718705396</v>
      </c>
      <c r="K197" s="1">
        <v>0.95336422417590105</v>
      </c>
      <c r="L197" s="1">
        <v>0.99139343540231495</v>
      </c>
    </row>
    <row r="198" spans="1:12" x14ac:dyDescent="0.3">
      <c r="A198" t="s">
        <v>359</v>
      </c>
      <c r="B198" t="s">
        <v>740</v>
      </c>
      <c r="C198" t="s">
        <v>576</v>
      </c>
      <c r="D198" t="s">
        <v>598</v>
      </c>
      <c r="E198" s="2">
        <v>0.71059440854003397</v>
      </c>
      <c r="F198" s="2">
        <v>0.71019424486406402</v>
      </c>
      <c r="G198" s="2">
        <v>0.73819065843472798</v>
      </c>
      <c r="H198" s="2">
        <v>0.83795778122780995</v>
      </c>
      <c r="I198" s="1">
        <v>0.74649480689846004</v>
      </c>
      <c r="J198" s="1">
        <v>0.83858059236258997</v>
      </c>
      <c r="K198" s="1">
        <v>0.753144143168333</v>
      </c>
      <c r="L198" s="1">
        <v>0.85886858985931003</v>
      </c>
    </row>
    <row r="199" spans="1:12" x14ac:dyDescent="0.3">
      <c r="A199" t="s">
        <v>359</v>
      </c>
      <c r="B199" t="s">
        <v>405</v>
      </c>
      <c r="C199" t="s">
        <v>576</v>
      </c>
      <c r="D199" t="s">
        <v>14</v>
      </c>
      <c r="E199" s="2">
        <v>0.77311938787828105</v>
      </c>
      <c r="F199" s="2">
        <v>0.84215022610988799</v>
      </c>
      <c r="G199" s="2">
        <v>0.74858623283282699</v>
      </c>
      <c r="H199" s="2">
        <v>0.92548588089998196</v>
      </c>
      <c r="I199" s="1">
        <v>0.77204223194138699</v>
      </c>
      <c r="J199" s="1">
        <v>0.89226583465656295</v>
      </c>
      <c r="K199" s="1">
        <v>0.79967685321893101</v>
      </c>
      <c r="L199" s="1">
        <v>0.87538420109387005</v>
      </c>
    </row>
    <row r="200" spans="1:12" x14ac:dyDescent="0.3">
      <c r="A200" t="s">
        <v>359</v>
      </c>
      <c r="B200" t="s">
        <v>407</v>
      </c>
      <c r="C200" t="s">
        <v>576</v>
      </c>
      <c r="D200" t="s">
        <v>14</v>
      </c>
      <c r="E200" s="2">
        <v>0.71116518861935596</v>
      </c>
      <c r="F200" s="2">
        <v>0.68754208106496295</v>
      </c>
      <c r="G200" s="2">
        <v>0.81833484023623104</v>
      </c>
      <c r="H200" s="2">
        <v>0.796221841755958</v>
      </c>
      <c r="I200" s="1">
        <v>0.83691783852413204</v>
      </c>
      <c r="J200" s="1">
        <v>0.79672200527095305</v>
      </c>
      <c r="K200" s="1">
        <v>0.86496546948040698</v>
      </c>
      <c r="L200" s="1">
        <v>0.79672200527095305</v>
      </c>
    </row>
    <row r="201" spans="1:12" x14ac:dyDescent="0.3">
      <c r="A201" t="s">
        <v>359</v>
      </c>
      <c r="B201" t="s">
        <v>408</v>
      </c>
      <c r="C201" t="s">
        <v>576</v>
      </c>
      <c r="D201" t="s">
        <v>14</v>
      </c>
      <c r="E201" s="2">
        <v>0.78238557378753004</v>
      </c>
      <c r="F201" s="2">
        <v>0.89249197749801801</v>
      </c>
      <c r="G201" s="2">
        <v>0.87450468358212796</v>
      </c>
      <c r="H201" s="2">
        <v>0.92881734679294803</v>
      </c>
      <c r="I201" s="1">
        <v>0.91993088305985304</v>
      </c>
      <c r="J201" s="1">
        <v>0.93129880084707195</v>
      </c>
      <c r="K201" s="1">
        <v>0.94060100557352699</v>
      </c>
      <c r="L201" s="1">
        <v>0.92971378830988205</v>
      </c>
    </row>
    <row r="202" spans="1:12" x14ac:dyDescent="0.3">
      <c r="A202" t="s">
        <v>359</v>
      </c>
      <c r="B202" t="s">
        <v>743</v>
      </c>
      <c r="C202" t="s">
        <v>576</v>
      </c>
      <c r="D202" t="s">
        <v>14</v>
      </c>
      <c r="E202" s="2">
        <v>0.60502234573149805</v>
      </c>
      <c r="F202" s="2">
        <v>0.65159323510198097</v>
      </c>
      <c r="G202" s="2">
        <v>0.65661713622082296</v>
      </c>
      <c r="H202" s="2">
        <v>0.68103412519831097</v>
      </c>
      <c r="I202" s="1">
        <v>0.68666981200551602</v>
      </c>
      <c r="J202" s="1">
        <v>0.71442310683437105</v>
      </c>
      <c r="K202" s="1">
        <v>0.75074399361254196</v>
      </c>
      <c r="L202" s="1">
        <v>0.77348375657151103</v>
      </c>
    </row>
    <row r="203" spans="1:12" x14ac:dyDescent="0.3">
      <c r="A203" t="s">
        <v>359</v>
      </c>
      <c r="B203" t="s">
        <v>412</v>
      </c>
      <c r="C203" t="s">
        <v>574</v>
      </c>
      <c r="D203" t="s">
        <v>575</v>
      </c>
      <c r="E203" s="2">
        <v>0.72942332200509696</v>
      </c>
      <c r="F203" s="2">
        <v>0.93110463572642299</v>
      </c>
      <c r="G203" s="2">
        <v>0.86689544392523299</v>
      </c>
      <c r="H203" s="2">
        <v>0.98359839634664403</v>
      </c>
      <c r="I203" s="1">
        <v>0.92190486937128202</v>
      </c>
      <c r="J203" s="1">
        <v>0.99039533772302402</v>
      </c>
      <c r="K203" s="1">
        <v>0.92190486937128202</v>
      </c>
      <c r="L203" s="1">
        <v>0.99039533772302402</v>
      </c>
    </row>
    <row r="204" spans="1:12" x14ac:dyDescent="0.3">
      <c r="A204" t="s">
        <v>359</v>
      </c>
      <c r="B204" t="s">
        <v>747</v>
      </c>
      <c r="C204" t="s">
        <v>576</v>
      </c>
      <c r="D204" t="s">
        <v>14</v>
      </c>
      <c r="E204" s="2">
        <v>0.797325951906104</v>
      </c>
      <c r="F204" s="2">
        <v>0.79151479723998797</v>
      </c>
      <c r="G204" s="2">
        <v>0.79537170758544795</v>
      </c>
      <c r="H204" s="2">
        <v>0.80809435389588002</v>
      </c>
      <c r="I204" s="1">
        <v>0.79278133094926995</v>
      </c>
      <c r="J204" s="1">
        <v>0.82755656419778501</v>
      </c>
      <c r="K204" s="1">
        <v>0.80836370721866901</v>
      </c>
      <c r="L204" s="1">
        <v>0.82059349425761596</v>
      </c>
    </row>
    <row r="205" spans="1:12" x14ac:dyDescent="0.3">
      <c r="A205" t="s">
        <v>359</v>
      </c>
      <c r="B205" t="s">
        <v>415</v>
      </c>
      <c r="C205" t="s">
        <v>576</v>
      </c>
      <c r="D205" t="s">
        <v>14</v>
      </c>
      <c r="E205" s="2">
        <v>0.66116625587335098</v>
      </c>
      <c r="F205" s="2">
        <v>0.86629236073361904</v>
      </c>
      <c r="G205" s="2">
        <v>0.73607336197716899</v>
      </c>
      <c r="H205" s="2">
        <v>0.852460664368209</v>
      </c>
      <c r="I205" s="1">
        <v>0.755039354247801</v>
      </c>
      <c r="J205" s="1">
        <v>0.86577483562061996</v>
      </c>
      <c r="K205" s="1">
        <v>0.81585041662633195</v>
      </c>
      <c r="L205" s="1">
        <v>0.88693379401755801</v>
      </c>
    </row>
    <row r="206" spans="1:12" x14ac:dyDescent="0.3">
      <c r="A206" t="s">
        <v>359</v>
      </c>
      <c r="B206" t="s">
        <v>416</v>
      </c>
      <c r="C206" t="s">
        <v>576</v>
      </c>
      <c r="D206" t="s">
        <v>14</v>
      </c>
      <c r="E206" s="2">
        <v>0.63700554965167</v>
      </c>
      <c r="F206" s="2">
        <v>0.65546109339945602</v>
      </c>
      <c r="G206" s="2">
        <v>0.650702562285984</v>
      </c>
      <c r="H206" s="2">
        <v>0.68488605502420596</v>
      </c>
      <c r="I206" s="1">
        <v>0.72149014051245697</v>
      </c>
      <c r="J206" s="1">
        <v>0.71373833982760604</v>
      </c>
      <c r="K206" s="1">
        <v>0.72154917936001794</v>
      </c>
      <c r="L206" s="1">
        <v>0.772393434880151</v>
      </c>
    </row>
    <row r="207" spans="1:12" x14ac:dyDescent="0.3">
      <c r="A207" t="s">
        <v>359</v>
      </c>
      <c r="B207" t="s">
        <v>748</v>
      </c>
      <c r="C207" t="s">
        <v>574</v>
      </c>
      <c r="D207" t="s">
        <v>575</v>
      </c>
      <c r="E207" s="2">
        <v>0.83430000000000004</v>
      </c>
      <c r="F207" s="2">
        <v>0.98253333333333304</v>
      </c>
      <c r="G207" s="2">
        <v>0.96586666666666599</v>
      </c>
      <c r="H207" s="2">
        <v>0.98253333333333304</v>
      </c>
      <c r="I207" s="1">
        <v>0.96586666666666599</v>
      </c>
      <c r="J207" s="1">
        <v>0.98253333333333304</v>
      </c>
      <c r="K207" s="1">
        <v>0.96586666666666599</v>
      </c>
      <c r="L207" s="1">
        <v>0.98253333333333304</v>
      </c>
    </row>
    <row r="208" spans="1:12" x14ac:dyDescent="0.3">
      <c r="A208" t="s">
        <v>359</v>
      </c>
      <c r="B208" t="s">
        <v>419</v>
      </c>
      <c r="C208" t="s">
        <v>576</v>
      </c>
      <c r="D208" t="s">
        <v>14</v>
      </c>
      <c r="E208" s="2">
        <v>0.88886216021169095</v>
      </c>
      <c r="F208" s="2">
        <v>0.91775920134712496</v>
      </c>
      <c r="G208" s="2">
        <v>0.96313447197498203</v>
      </c>
      <c r="H208" s="2">
        <v>0.90678373827279202</v>
      </c>
      <c r="I208" s="1">
        <v>0.963705797450084</v>
      </c>
      <c r="J208" s="1">
        <v>1</v>
      </c>
      <c r="K208" s="1">
        <v>1</v>
      </c>
      <c r="L208" s="1">
        <v>1</v>
      </c>
    </row>
    <row r="209" spans="1:12" x14ac:dyDescent="0.3">
      <c r="A209" t="s">
        <v>359</v>
      </c>
      <c r="B209" t="s">
        <v>420</v>
      </c>
      <c r="C209" t="s">
        <v>576</v>
      </c>
      <c r="D209" t="s">
        <v>14</v>
      </c>
      <c r="E209" s="2">
        <v>0.73964978379072599</v>
      </c>
      <c r="F209" s="2">
        <v>0.91644903026929803</v>
      </c>
      <c r="G209" s="2">
        <v>0.81939033266258499</v>
      </c>
      <c r="H209" s="2">
        <v>0.92588945498137598</v>
      </c>
      <c r="I209" s="1">
        <v>0.90659117181144799</v>
      </c>
      <c r="J209" s="1">
        <v>0.93591856830928599</v>
      </c>
      <c r="K209" s="1">
        <v>0.94285439054673104</v>
      </c>
      <c r="L209" s="1">
        <v>0.94754249261463297</v>
      </c>
    </row>
    <row r="210" spans="1:12" x14ac:dyDescent="0.3">
      <c r="A210" t="s">
        <v>359</v>
      </c>
      <c r="B210" t="s">
        <v>752</v>
      </c>
      <c r="C210" t="s">
        <v>574</v>
      </c>
      <c r="D210" t="s">
        <v>575</v>
      </c>
      <c r="E210" s="2">
        <v>0.87115477322770996</v>
      </c>
      <c r="F210" s="2">
        <v>0.86914828471290195</v>
      </c>
      <c r="G210" s="2">
        <v>0.89012651300960199</v>
      </c>
      <c r="H210" s="2">
        <v>0.99059556227280399</v>
      </c>
      <c r="I210" s="1">
        <v>0.89151411707990702</v>
      </c>
      <c r="J210" s="1">
        <v>0.99059556227280399</v>
      </c>
      <c r="K210" s="1">
        <v>0.89269586064025197</v>
      </c>
      <c r="L210" s="1">
        <v>0.98988417089028102</v>
      </c>
    </row>
    <row r="211" spans="1:12" x14ac:dyDescent="0.3">
      <c r="A211" t="s">
        <v>359</v>
      </c>
      <c r="B211" t="s">
        <v>753</v>
      </c>
      <c r="C211" t="s">
        <v>574</v>
      </c>
      <c r="D211" t="s">
        <v>575</v>
      </c>
      <c r="E211" s="2">
        <v>0.99110937499999996</v>
      </c>
      <c r="F211" s="2">
        <v>0.97958854166666598</v>
      </c>
      <c r="G211" s="2">
        <v>1</v>
      </c>
      <c r="H211" s="2">
        <v>0.996</v>
      </c>
      <c r="I211" s="1">
        <v>1</v>
      </c>
      <c r="J211" s="1">
        <v>1</v>
      </c>
      <c r="K211" s="1">
        <v>1</v>
      </c>
      <c r="L211" s="1">
        <v>1</v>
      </c>
    </row>
    <row r="212" spans="1:12" x14ac:dyDescent="0.3">
      <c r="A212" t="s">
        <v>359</v>
      </c>
      <c r="B212" t="s">
        <v>754</v>
      </c>
      <c r="C212" t="s">
        <v>574</v>
      </c>
      <c r="D212" t="s">
        <v>575</v>
      </c>
      <c r="E212" s="2">
        <v>0.96801595565491605</v>
      </c>
      <c r="F212" s="2">
        <v>0.96821884666033697</v>
      </c>
      <c r="G212" s="2">
        <v>0.99926882675405004</v>
      </c>
      <c r="H212" s="2">
        <v>0.99605319572474105</v>
      </c>
      <c r="I212" s="1">
        <v>0.99926882675405004</v>
      </c>
      <c r="J212" s="1">
        <v>0.99603788319603004</v>
      </c>
      <c r="K212" s="1">
        <v>0.99926882675405004</v>
      </c>
      <c r="L212" s="1">
        <v>0.99615272716136305</v>
      </c>
    </row>
    <row r="213" spans="1:12" x14ac:dyDescent="0.3">
      <c r="A213" t="s">
        <v>359</v>
      </c>
      <c r="B213" t="s">
        <v>755</v>
      </c>
      <c r="C213" t="s">
        <v>576</v>
      </c>
      <c r="D213" t="s">
        <v>577</v>
      </c>
      <c r="E213" s="2">
        <v>0.74319066147859902</v>
      </c>
      <c r="F213" s="2">
        <v>0.90008555100055498</v>
      </c>
      <c r="G213" s="2">
        <v>0.88541377153974399</v>
      </c>
      <c r="H213" s="2">
        <v>0.97410453724291202</v>
      </c>
      <c r="I213" s="1">
        <v>0.89909324624791498</v>
      </c>
      <c r="J213" s="1">
        <v>0.97410453724291202</v>
      </c>
      <c r="K213" s="1">
        <v>0.89909324624791498</v>
      </c>
      <c r="L213" s="1">
        <v>0.971257903696498</v>
      </c>
    </row>
    <row r="214" spans="1:12" x14ac:dyDescent="0.3">
      <c r="A214" t="s">
        <v>359</v>
      </c>
      <c r="B214" t="s">
        <v>756</v>
      </c>
      <c r="C214" t="s">
        <v>576</v>
      </c>
      <c r="D214" t="s">
        <v>577</v>
      </c>
      <c r="E214" s="2">
        <v>0.60340758800488403</v>
      </c>
      <c r="F214" s="2">
        <v>0.80691109298876396</v>
      </c>
      <c r="G214" s="2">
        <v>0.62265647777641597</v>
      </c>
      <c r="H214" s="2">
        <v>0.92493123132893595</v>
      </c>
      <c r="I214" s="1">
        <v>0.65299286326971195</v>
      </c>
      <c r="J214" s="1">
        <v>1</v>
      </c>
      <c r="K214" s="1">
        <v>0.71463853665338395</v>
      </c>
      <c r="L214" s="1">
        <v>1</v>
      </c>
    </row>
    <row r="215" spans="1:12" x14ac:dyDescent="0.3">
      <c r="A215" t="s">
        <v>359</v>
      </c>
      <c r="B215" t="s">
        <v>423</v>
      </c>
      <c r="C215" t="s">
        <v>576</v>
      </c>
      <c r="D215" t="s">
        <v>14</v>
      </c>
      <c r="E215" s="2">
        <v>0.79137144718625296</v>
      </c>
      <c r="F215" s="2">
        <v>0.91074191709422503</v>
      </c>
      <c r="G215" s="2">
        <v>0.80482938350028499</v>
      </c>
      <c r="H215" s="2">
        <v>0.97803159866438605</v>
      </c>
      <c r="I215" s="1">
        <v>0.90875682058799501</v>
      </c>
      <c r="J215" s="1">
        <v>0.98886309960094398</v>
      </c>
      <c r="K215" s="1">
        <v>0.90040923527974503</v>
      </c>
      <c r="L215" s="1">
        <v>0.981146673181855</v>
      </c>
    </row>
    <row r="216" spans="1:12" x14ac:dyDescent="0.3">
      <c r="A216" t="s">
        <v>359</v>
      </c>
      <c r="B216" t="s">
        <v>425</v>
      </c>
      <c r="C216" t="s">
        <v>574</v>
      </c>
      <c r="D216" t="s">
        <v>575</v>
      </c>
      <c r="E216" s="2">
        <v>0.77508874015808304</v>
      </c>
      <c r="F216" s="2">
        <v>0.95712872881161004</v>
      </c>
      <c r="G216" s="2">
        <v>0.90914196125332503</v>
      </c>
      <c r="H216" s="2">
        <v>0.99274362335840205</v>
      </c>
      <c r="I216" s="1">
        <v>0.98911351840352002</v>
      </c>
      <c r="J216" s="1">
        <v>0.99306370125041199</v>
      </c>
      <c r="K216" s="1">
        <v>0.99253279360917501</v>
      </c>
      <c r="L216" s="1">
        <v>0.99309628402983796</v>
      </c>
    </row>
    <row r="217" spans="1:12" x14ac:dyDescent="0.3">
      <c r="A217" t="s">
        <v>359</v>
      </c>
      <c r="B217" t="s">
        <v>426</v>
      </c>
      <c r="C217" t="s">
        <v>576</v>
      </c>
      <c r="D217" t="s">
        <v>14</v>
      </c>
      <c r="E217" s="2">
        <v>1</v>
      </c>
      <c r="F217" s="2">
        <v>1</v>
      </c>
      <c r="G217" s="2">
        <v>1</v>
      </c>
      <c r="H217" s="2">
        <v>1</v>
      </c>
      <c r="I217" s="1">
        <v>1</v>
      </c>
      <c r="J217" s="1">
        <v>0.99643370562866296</v>
      </c>
      <c r="K217" s="1">
        <v>1</v>
      </c>
      <c r="L217" s="1">
        <v>0.99930194625677304</v>
      </c>
    </row>
    <row r="218" spans="1:12" x14ac:dyDescent="0.3">
      <c r="A218" t="s">
        <v>359</v>
      </c>
      <c r="B218" t="s">
        <v>757</v>
      </c>
      <c r="C218" t="s">
        <v>576</v>
      </c>
      <c r="D218" t="s">
        <v>598</v>
      </c>
      <c r="E218" s="2">
        <v>0.64189217856599101</v>
      </c>
      <c r="F218" s="2">
        <v>0.76119531497625204</v>
      </c>
      <c r="G218" s="2">
        <v>0.75021401064687299</v>
      </c>
      <c r="H218" s="2">
        <v>0.84442736241548699</v>
      </c>
      <c r="I218" s="1">
        <v>0.84549180021014203</v>
      </c>
      <c r="J218" s="1">
        <v>0.88607271120916598</v>
      </c>
      <c r="K218" s="1">
        <v>0.82279419288661004</v>
      </c>
      <c r="L218" s="1">
        <v>0.89643631717001804</v>
      </c>
    </row>
    <row r="219" spans="1:12" x14ac:dyDescent="0.3">
      <c r="A219" t="s">
        <v>359</v>
      </c>
      <c r="B219" t="s">
        <v>427</v>
      </c>
      <c r="C219" t="s">
        <v>576</v>
      </c>
      <c r="D219" t="s">
        <v>14</v>
      </c>
      <c r="E219" s="2">
        <v>0.70893236299982099</v>
      </c>
      <c r="F219" s="2">
        <v>0.85117590806684196</v>
      </c>
      <c r="G219" s="2">
        <v>0.73029482794949496</v>
      </c>
      <c r="H219" s="2">
        <v>0.95227482697700006</v>
      </c>
      <c r="I219" s="1">
        <v>0.80460962445499695</v>
      </c>
      <c r="J219" s="1">
        <v>0.96312624600871999</v>
      </c>
      <c r="K219" s="1">
        <v>0.91371541566040404</v>
      </c>
      <c r="L219" s="1">
        <v>0.96326401607857703</v>
      </c>
    </row>
    <row r="220" spans="1:12" x14ac:dyDescent="0.3">
      <c r="A220" t="s">
        <v>359</v>
      </c>
      <c r="B220" t="s">
        <v>428</v>
      </c>
      <c r="C220" t="s">
        <v>576</v>
      </c>
      <c r="D220" t="s">
        <v>598</v>
      </c>
      <c r="E220" s="2">
        <v>0.5</v>
      </c>
      <c r="F220" s="2">
        <v>1</v>
      </c>
      <c r="G220" s="2">
        <v>0.5</v>
      </c>
      <c r="H220" s="2">
        <v>1</v>
      </c>
      <c r="I220" s="1">
        <v>0.5</v>
      </c>
      <c r="J220" s="1">
        <v>1</v>
      </c>
      <c r="K220" s="1">
        <v>0.5</v>
      </c>
      <c r="L220" s="1">
        <v>1</v>
      </c>
    </row>
    <row r="221" spans="1:12" x14ac:dyDescent="0.3">
      <c r="A221" t="s">
        <v>359</v>
      </c>
      <c r="B221" t="s">
        <v>429</v>
      </c>
      <c r="C221" t="s">
        <v>574</v>
      </c>
      <c r="D221" t="s">
        <v>575</v>
      </c>
      <c r="E221" s="2">
        <v>0.94342577343841905</v>
      </c>
      <c r="F221" s="2">
        <v>0.74316992118574199</v>
      </c>
      <c r="G221" s="2">
        <v>0.987927890836372</v>
      </c>
      <c r="H221" s="2">
        <v>0.85149541230443404</v>
      </c>
      <c r="I221" s="1">
        <v>0.952343841900952</v>
      </c>
      <c r="J221" s="1">
        <v>0.85131896247500205</v>
      </c>
      <c r="K221" s="1">
        <v>0.952343841900952</v>
      </c>
      <c r="L221" s="1">
        <v>0.85132631455122898</v>
      </c>
    </row>
    <row r="222" spans="1:12" x14ac:dyDescent="0.3">
      <c r="A222" t="s">
        <v>359</v>
      </c>
      <c r="B222" t="s">
        <v>430</v>
      </c>
      <c r="C222" t="s">
        <v>574</v>
      </c>
      <c r="D222" t="s">
        <v>575</v>
      </c>
      <c r="E222" s="2">
        <v>0.85157800099206304</v>
      </c>
      <c r="F222" s="2">
        <v>0.90490141369047605</v>
      </c>
      <c r="G222" s="2">
        <v>0.9931640625</v>
      </c>
      <c r="H222" s="2">
        <v>0.98494853670634896</v>
      </c>
      <c r="I222" s="1">
        <v>0.993985615079365</v>
      </c>
      <c r="J222" s="1">
        <v>0.98479352678571397</v>
      </c>
      <c r="K222" s="1">
        <v>0.99145895337301504</v>
      </c>
      <c r="L222" s="1">
        <v>0.984452504960317</v>
      </c>
    </row>
    <row r="223" spans="1:12" x14ac:dyDescent="0.3">
      <c r="A223" t="s">
        <v>359</v>
      </c>
      <c r="B223" t="s">
        <v>431</v>
      </c>
      <c r="C223" t="s">
        <v>574</v>
      </c>
      <c r="D223" t="s">
        <v>575</v>
      </c>
      <c r="E223" s="2">
        <v>0.78441971044158698</v>
      </c>
      <c r="F223" s="2">
        <v>0.73986652167423606</v>
      </c>
      <c r="G223" s="2">
        <v>0.83081728821510004</v>
      </c>
      <c r="H223" s="2">
        <v>0.79024606068359604</v>
      </c>
      <c r="I223" s="1">
        <v>0.83299750527729799</v>
      </c>
      <c r="J223" s="1">
        <v>0.80152561888313101</v>
      </c>
      <c r="K223" s="1">
        <v>0.83302948890168205</v>
      </c>
      <c r="L223" s="1">
        <v>0.79439860124949302</v>
      </c>
    </row>
    <row r="224" spans="1:12" x14ac:dyDescent="0.3">
      <c r="A224" t="s">
        <v>359</v>
      </c>
      <c r="B224" t="s">
        <v>434</v>
      </c>
      <c r="C224" t="s">
        <v>574</v>
      </c>
      <c r="D224" t="s">
        <v>575</v>
      </c>
      <c r="E224" s="2">
        <v>0.66346944474610903</v>
      </c>
      <c r="F224" s="2">
        <v>0.66364397970740097</v>
      </c>
      <c r="G224" s="2">
        <v>0.77233659649068298</v>
      </c>
      <c r="H224" s="2">
        <v>0.66628527545495397</v>
      </c>
      <c r="I224" s="1">
        <v>0.79166731309244898</v>
      </c>
      <c r="J224" s="1">
        <v>0.69630916735187798</v>
      </c>
      <c r="K224" s="1">
        <v>0.79165567742836296</v>
      </c>
      <c r="L224" s="1">
        <v>0.78990257070605197</v>
      </c>
    </row>
    <row r="225" spans="1:12" x14ac:dyDescent="0.3">
      <c r="A225" t="s">
        <v>359</v>
      </c>
      <c r="B225" t="s">
        <v>435</v>
      </c>
      <c r="C225" t="s">
        <v>574</v>
      </c>
      <c r="D225" t="s">
        <v>575</v>
      </c>
      <c r="E225" s="2">
        <v>0.68391353874364402</v>
      </c>
      <c r="F225" s="2">
        <v>0.64012169032867505</v>
      </c>
      <c r="G225" s="2">
        <v>0.69262078737532295</v>
      </c>
      <c r="H225" s="2">
        <v>0.72208484983191101</v>
      </c>
      <c r="I225" s="1">
        <v>0.69413219237073798</v>
      </c>
      <c r="J225" s="1">
        <v>0.72228488872836305</v>
      </c>
      <c r="K225" s="1">
        <v>0.70909065651654402</v>
      </c>
      <c r="L225" s="1">
        <v>0.722334898452476</v>
      </c>
    </row>
    <row r="226" spans="1:12" x14ac:dyDescent="0.3">
      <c r="A226" t="s">
        <v>359</v>
      </c>
      <c r="B226" t="s">
        <v>436</v>
      </c>
      <c r="C226" t="s">
        <v>574</v>
      </c>
      <c r="D226" t="s">
        <v>575</v>
      </c>
      <c r="E226" s="2">
        <v>0.67246929920585896</v>
      </c>
      <c r="F226" s="2">
        <v>0.62146716955595704</v>
      </c>
      <c r="G226" s="2">
        <v>0.69383794757478601</v>
      </c>
      <c r="H226" s="2">
        <v>0.670180423143522</v>
      </c>
      <c r="I226" s="1">
        <v>0.70759359512767905</v>
      </c>
      <c r="J226" s="1">
        <v>0.67059092808948495</v>
      </c>
      <c r="K226" s="1">
        <v>0.70778516410246195</v>
      </c>
      <c r="L226" s="1">
        <v>0.68153026292219798</v>
      </c>
    </row>
    <row r="227" spans="1:12" x14ac:dyDescent="0.3">
      <c r="A227" t="s">
        <v>359</v>
      </c>
      <c r="B227" t="s">
        <v>437</v>
      </c>
      <c r="C227" t="s">
        <v>574</v>
      </c>
      <c r="D227" t="s">
        <v>575</v>
      </c>
      <c r="E227" s="2">
        <v>0.84206273042007396</v>
      </c>
      <c r="F227" s="2">
        <v>0.83230456413441301</v>
      </c>
      <c r="G227" s="2">
        <v>0.94264563539780899</v>
      </c>
      <c r="H227" s="2">
        <v>0.94112601913395</v>
      </c>
      <c r="I227" s="1">
        <v>0.94399594658879105</v>
      </c>
      <c r="J227" s="1">
        <v>0.94634433183133504</v>
      </c>
      <c r="K227" s="1">
        <v>0.94428211345587099</v>
      </c>
      <c r="L227" s="1">
        <v>0.94629601794468599</v>
      </c>
    </row>
    <row r="228" spans="1:12" x14ac:dyDescent="0.3">
      <c r="A228" t="s">
        <v>359</v>
      </c>
      <c r="B228" t="s">
        <v>438</v>
      </c>
      <c r="C228" t="s">
        <v>576</v>
      </c>
      <c r="D228" t="s">
        <v>577</v>
      </c>
      <c r="E228" s="2">
        <v>0.77644888932595002</v>
      </c>
      <c r="F228" s="2">
        <v>0.93449119276107995</v>
      </c>
      <c r="G228" s="2">
        <v>0.86545808511409095</v>
      </c>
      <c r="H228" s="2">
        <v>0.98964041266810898</v>
      </c>
      <c r="I228" s="1">
        <v>0.97573027659824596</v>
      </c>
      <c r="J228" s="1">
        <v>0.99087112661528798</v>
      </c>
      <c r="K228" s="1">
        <v>0.99055134062420702</v>
      </c>
      <c r="L228" s="1">
        <v>0.99126817881693197</v>
      </c>
    </row>
    <row r="229" spans="1:12" x14ac:dyDescent="0.3">
      <c r="A229" t="s">
        <v>359</v>
      </c>
      <c r="B229" t="s">
        <v>440</v>
      </c>
      <c r="C229" t="s">
        <v>576</v>
      </c>
      <c r="D229" t="s">
        <v>14</v>
      </c>
      <c r="E229" s="2">
        <v>0.796381619363558</v>
      </c>
      <c r="F229" s="2">
        <v>0.86779702666175196</v>
      </c>
      <c r="G229" s="2">
        <v>0.90172830405045601</v>
      </c>
      <c r="H229" s="2">
        <v>0.97345087439079303</v>
      </c>
      <c r="I229" s="1">
        <v>0.93754351476430298</v>
      </c>
      <c r="J229" s="1">
        <v>0.97345087439079303</v>
      </c>
      <c r="K229" s="1">
        <v>0.90172830405045601</v>
      </c>
      <c r="L229" s="1">
        <v>0.95854322807879699</v>
      </c>
    </row>
    <row r="230" spans="1:12" x14ac:dyDescent="0.3">
      <c r="A230" t="s">
        <v>359</v>
      </c>
      <c r="B230" t="s">
        <v>759</v>
      </c>
      <c r="C230" t="s">
        <v>574</v>
      </c>
      <c r="D230" t="s">
        <v>575</v>
      </c>
      <c r="E230" s="2">
        <v>0.72874605637175704</v>
      </c>
      <c r="F230" s="2">
        <v>0.75854582938536597</v>
      </c>
      <c r="G230" s="2">
        <v>0.77066565321060798</v>
      </c>
      <c r="H230" s="2">
        <v>0.79765933299320002</v>
      </c>
      <c r="I230" s="1">
        <v>0.83194677273247797</v>
      </c>
      <c r="J230" s="1">
        <v>0.79748232525692098</v>
      </c>
      <c r="K230" s="1">
        <v>0.86782207598837902</v>
      </c>
      <c r="L230" s="1">
        <v>0.79764371466352901</v>
      </c>
    </row>
    <row r="231" spans="1:12" x14ac:dyDescent="0.3">
      <c r="A231" t="s">
        <v>359</v>
      </c>
      <c r="B231" t="s">
        <v>441</v>
      </c>
      <c r="C231" t="s">
        <v>574</v>
      </c>
      <c r="D231" t="s">
        <v>575</v>
      </c>
      <c r="E231" s="2">
        <v>0.81294005845848105</v>
      </c>
      <c r="F231" s="2">
        <v>0.78815279837583296</v>
      </c>
      <c r="G231" s="2">
        <v>0.98969417287008099</v>
      </c>
      <c r="H231" s="2">
        <v>0.97191185152121595</v>
      </c>
      <c r="I231" s="1">
        <v>0.99004333990871196</v>
      </c>
      <c r="J231" s="1">
        <v>0.97230421448215298</v>
      </c>
      <c r="K231" s="1">
        <v>0.99023412189889204</v>
      </c>
      <c r="L231" s="1">
        <v>0.97234381074426501</v>
      </c>
    </row>
    <row r="232" spans="1:12" x14ac:dyDescent="0.3">
      <c r="A232" t="s">
        <v>359</v>
      </c>
      <c r="B232" t="s">
        <v>442</v>
      </c>
      <c r="C232" t="s">
        <v>574</v>
      </c>
      <c r="D232" t="s">
        <v>575</v>
      </c>
      <c r="E232" s="2">
        <v>0.95571945944915004</v>
      </c>
      <c r="F232" s="2">
        <v>0.951671897416553</v>
      </c>
      <c r="G232" s="2">
        <v>0.97905439626691804</v>
      </c>
      <c r="H232" s="2">
        <v>0.97963080300663896</v>
      </c>
      <c r="I232" s="1">
        <v>0.97924088080035698</v>
      </c>
      <c r="J232" s="1">
        <v>0.983001299034306</v>
      </c>
      <c r="K232" s="1">
        <v>0.98149776748345396</v>
      </c>
      <c r="L232" s="1">
        <v>0.97933200392465103</v>
      </c>
    </row>
    <row r="233" spans="1:12" x14ac:dyDescent="0.3">
      <c r="A233" t="s">
        <v>359</v>
      </c>
      <c r="B233" t="s">
        <v>760</v>
      </c>
      <c r="C233" t="s">
        <v>574</v>
      </c>
      <c r="D233" t="s">
        <v>575</v>
      </c>
      <c r="E233" s="2">
        <v>0.93270694113485397</v>
      </c>
      <c r="F233" s="2">
        <v>0.93011563530866703</v>
      </c>
      <c r="G233" s="2">
        <v>0.96464444267729799</v>
      </c>
      <c r="H233" s="2">
        <v>0.96454161308102104</v>
      </c>
      <c r="I233" s="1">
        <v>0.97844143237514403</v>
      </c>
      <c r="J233" s="1">
        <v>0.97868548128364197</v>
      </c>
      <c r="K233" s="1">
        <v>0.97861829928074096</v>
      </c>
      <c r="L233" s="1">
        <v>0.97920374244887998</v>
      </c>
    </row>
    <row r="234" spans="1:12" x14ac:dyDescent="0.3">
      <c r="A234" t="s">
        <v>359</v>
      </c>
      <c r="B234" t="s">
        <v>761</v>
      </c>
      <c r="C234" t="s">
        <v>576</v>
      </c>
      <c r="D234" t="s">
        <v>577</v>
      </c>
      <c r="E234" s="2">
        <v>0.90506099695015196</v>
      </c>
      <c r="F234" s="2">
        <v>0.95701673249670804</v>
      </c>
      <c r="G234" s="2">
        <v>0.97980517640784603</v>
      </c>
      <c r="H234" s="2">
        <v>0.99513565988367203</v>
      </c>
      <c r="I234" s="1">
        <v>0.99007966268353198</v>
      </c>
      <c r="J234" s="1">
        <v>0.99529190207156304</v>
      </c>
      <c r="K234" s="1">
        <v>0.99625227071979705</v>
      </c>
      <c r="L234" s="1">
        <v>0.99529190207156304</v>
      </c>
    </row>
    <row r="235" spans="1:12" x14ac:dyDescent="0.3">
      <c r="A235" t="s">
        <v>359</v>
      </c>
      <c r="B235" t="s">
        <v>443</v>
      </c>
      <c r="C235" t="s">
        <v>574</v>
      </c>
      <c r="D235" t="s">
        <v>575</v>
      </c>
      <c r="E235" s="2">
        <v>0.82176800100704905</v>
      </c>
      <c r="F235" s="2">
        <v>0.88442535246727005</v>
      </c>
      <c r="G235" s="2">
        <v>0.91344489551862995</v>
      </c>
      <c r="H235" s="2">
        <v>0.91672567346424905</v>
      </c>
      <c r="I235" s="1">
        <v>0.91599005538771405</v>
      </c>
      <c r="J235" s="1">
        <v>0.91800022029204398</v>
      </c>
      <c r="K235" s="1">
        <v>0.91608840005035197</v>
      </c>
      <c r="L235" s="1">
        <v>0.91806316087613304</v>
      </c>
    </row>
    <row r="236" spans="1:12" x14ac:dyDescent="0.3">
      <c r="A236" t="s">
        <v>359</v>
      </c>
      <c r="B236" t="s">
        <v>444</v>
      </c>
      <c r="C236" t="s">
        <v>574</v>
      </c>
      <c r="D236" t="s">
        <v>575</v>
      </c>
      <c r="E236" s="2">
        <v>0.83894410903897998</v>
      </c>
      <c r="F236" s="2">
        <v>0.84205230440048795</v>
      </c>
      <c r="G236" s="2">
        <v>0.89551844887148202</v>
      </c>
      <c r="H236" s="2">
        <v>0.894330783623415</v>
      </c>
      <c r="I236" s="1">
        <v>0.91471668056988997</v>
      </c>
      <c r="J236" s="1">
        <v>0.89478558400610797</v>
      </c>
      <c r="K236" s="1">
        <v>0.91450695396854498</v>
      </c>
      <c r="L236" s="1">
        <v>0.90991889000428805</v>
      </c>
    </row>
    <row r="237" spans="1:12" x14ac:dyDescent="0.3">
      <c r="A237" t="s">
        <v>359</v>
      </c>
      <c r="B237" t="s">
        <v>445</v>
      </c>
      <c r="C237" t="s">
        <v>574</v>
      </c>
      <c r="D237" t="s">
        <v>575</v>
      </c>
      <c r="E237" s="2">
        <v>0.67299981585562496</v>
      </c>
      <c r="F237" s="2">
        <v>0.67438594580771705</v>
      </c>
      <c r="G237" s="2">
        <v>0.76008679868370399</v>
      </c>
      <c r="H237" s="2">
        <v>0.72678924401087197</v>
      </c>
      <c r="I237" s="1">
        <v>0.85927286219699495</v>
      </c>
      <c r="J237" s="1">
        <v>0.79066883561413304</v>
      </c>
      <c r="K237" s="1">
        <v>0.86049595402386003</v>
      </c>
      <c r="L237" s="1">
        <v>0.862874383559883</v>
      </c>
    </row>
    <row r="238" spans="1:12" x14ac:dyDescent="0.3">
      <c r="A238" t="s">
        <v>359</v>
      </c>
      <c r="B238" t="s">
        <v>446</v>
      </c>
      <c r="C238" t="s">
        <v>574</v>
      </c>
      <c r="D238" t="s">
        <v>575</v>
      </c>
      <c r="E238" s="2">
        <v>0.86481172313955601</v>
      </c>
      <c r="F238" s="2">
        <v>0.77864087901360501</v>
      </c>
      <c r="G238" s="2">
        <v>0.97257519704037299</v>
      </c>
      <c r="H238" s="2">
        <v>0.81846216991230902</v>
      </c>
      <c r="I238" s="1">
        <v>0.89898942277293004</v>
      </c>
      <c r="J238" s="1">
        <v>0.85184394291514298</v>
      </c>
      <c r="K238" s="1">
        <v>0.898287787102105</v>
      </c>
      <c r="L238" s="1">
        <v>0.86556605081728</v>
      </c>
    </row>
    <row r="239" spans="1:12" x14ac:dyDescent="0.3">
      <c r="A239" t="s">
        <v>359</v>
      </c>
      <c r="B239" t="s">
        <v>447</v>
      </c>
      <c r="C239" t="s">
        <v>576</v>
      </c>
      <c r="D239" t="s">
        <v>14</v>
      </c>
      <c r="E239" s="2">
        <v>0.75813802742722802</v>
      </c>
      <c r="F239" s="2">
        <v>0.81994044604695404</v>
      </c>
      <c r="G239" s="2">
        <v>0.85999756922640602</v>
      </c>
      <c r="H239" s="2">
        <v>0.92946705288958198</v>
      </c>
      <c r="I239" s="1">
        <v>0.87468349302165405</v>
      </c>
      <c r="J239" s="1">
        <v>0.94768772661899603</v>
      </c>
      <c r="K239" s="1">
        <v>0.88178337755990799</v>
      </c>
      <c r="L239" s="1">
        <v>0.97659367593736701</v>
      </c>
    </row>
    <row r="240" spans="1:12" x14ac:dyDescent="0.3">
      <c r="A240" t="s">
        <v>359</v>
      </c>
      <c r="B240" t="s">
        <v>762</v>
      </c>
      <c r="C240" t="s">
        <v>574</v>
      </c>
      <c r="D240" t="s">
        <v>575</v>
      </c>
      <c r="E240" s="2">
        <v>0.64627817149424904</v>
      </c>
      <c r="F240" s="2">
        <v>0.60085159728526305</v>
      </c>
      <c r="G240" s="2">
        <v>0.71253950938435195</v>
      </c>
      <c r="H240" s="2">
        <v>0.69147843289825295</v>
      </c>
      <c r="I240" s="1">
        <v>0.85374217122979301</v>
      </c>
      <c r="J240" s="1">
        <v>0.85031696506899901</v>
      </c>
      <c r="K240" s="1">
        <v>0.88620407312192095</v>
      </c>
      <c r="L240" s="1">
        <v>0.88823453126549501</v>
      </c>
    </row>
    <row r="241" spans="1:12" x14ac:dyDescent="0.3">
      <c r="A241" t="s">
        <v>359</v>
      </c>
      <c r="B241" t="s">
        <v>448</v>
      </c>
      <c r="C241" t="s">
        <v>574</v>
      </c>
      <c r="D241" t="s">
        <v>575</v>
      </c>
      <c r="E241" s="2">
        <v>0.639928517041638</v>
      </c>
      <c r="F241" s="2">
        <v>0.65035163860589995</v>
      </c>
      <c r="G241" s="2">
        <v>0.70492596441633204</v>
      </c>
      <c r="H241" s="2">
        <v>0.65029848352085995</v>
      </c>
      <c r="I241" s="1">
        <v>0.79422048304033799</v>
      </c>
      <c r="J241" s="1">
        <v>0.68798886436405104</v>
      </c>
      <c r="K241" s="1">
        <v>0.79608150162878999</v>
      </c>
      <c r="L241" s="1">
        <v>0.70188632040892995</v>
      </c>
    </row>
    <row r="242" spans="1:12" x14ac:dyDescent="0.3">
      <c r="A242" t="s">
        <v>359</v>
      </c>
      <c r="B242" t="s">
        <v>449</v>
      </c>
      <c r="C242" t="s">
        <v>574</v>
      </c>
      <c r="D242" t="s">
        <v>575</v>
      </c>
      <c r="E242" s="2">
        <v>0.47299059532704602</v>
      </c>
      <c r="F242" s="2">
        <v>0.468445081810974</v>
      </c>
      <c r="G242" s="2">
        <v>0.52732604448725195</v>
      </c>
      <c r="H242" s="2">
        <v>0.51848564905958205</v>
      </c>
      <c r="I242" s="1">
        <v>0.566368403652036</v>
      </c>
      <c r="J242" s="1">
        <v>0.56127892831180504</v>
      </c>
      <c r="K242" s="1">
        <v>0.57961196011735405</v>
      </c>
      <c r="L242" s="1">
        <v>0.58142226734921698</v>
      </c>
    </row>
    <row r="243" spans="1:12" x14ac:dyDescent="0.3">
      <c r="A243" t="s">
        <v>359</v>
      </c>
      <c r="B243" t="s">
        <v>450</v>
      </c>
      <c r="C243" t="s">
        <v>574</v>
      </c>
      <c r="D243" t="s">
        <v>575</v>
      </c>
      <c r="E243" s="2">
        <v>0.87142225569819198</v>
      </c>
      <c r="F243" s="2">
        <v>0.95451270631385898</v>
      </c>
      <c r="G243" s="2">
        <v>0.99959064710505596</v>
      </c>
      <c r="H243" s="2">
        <v>0.99941871888917999</v>
      </c>
      <c r="I243" s="1">
        <v>0.99948421535237097</v>
      </c>
      <c r="J243" s="1">
        <v>0.99928772596279802</v>
      </c>
      <c r="K243" s="1">
        <v>0.99948421535237097</v>
      </c>
      <c r="L243" s="1">
        <v>1</v>
      </c>
    </row>
    <row r="244" spans="1:12" x14ac:dyDescent="0.3">
      <c r="A244" t="s">
        <v>359</v>
      </c>
      <c r="B244" t="s">
        <v>451</v>
      </c>
      <c r="C244" t="s">
        <v>574</v>
      </c>
      <c r="D244" t="s">
        <v>575</v>
      </c>
      <c r="E244" s="2">
        <v>0.795402597402597</v>
      </c>
      <c r="F244" s="2">
        <v>0.94636883116883097</v>
      </c>
      <c r="G244" s="2">
        <v>0.99324675324675304</v>
      </c>
      <c r="H244" s="2">
        <v>0.99684155844155797</v>
      </c>
      <c r="I244" s="1">
        <v>0.99661818181818096</v>
      </c>
      <c r="J244" s="1">
        <v>0.99995324675324604</v>
      </c>
      <c r="K244" s="1">
        <v>0.99732467532467495</v>
      </c>
      <c r="L244" s="1">
        <v>0.99995324675324604</v>
      </c>
    </row>
    <row r="245" spans="1:12" x14ac:dyDescent="0.3">
      <c r="A245" t="s">
        <v>359</v>
      </c>
      <c r="B245" t="s">
        <v>452</v>
      </c>
      <c r="C245" t="s">
        <v>576</v>
      </c>
      <c r="D245" t="s">
        <v>14</v>
      </c>
      <c r="E245" s="2">
        <v>0.723948275862069</v>
      </c>
      <c r="F245" s="2">
        <v>0.93067241379310295</v>
      </c>
      <c r="G245" s="2">
        <v>0.84434482758620599</v>
      </c>
      <c r="H245" s="2">
        <v>0.93067241379310295</v>
      </c>
      <c r="I245" s="1">
        <v>0.84434482758620599</v>
      </c>
      <c r="J245" s="1">
        <v>0.93067241379310295</v>
      </c>
      <c r="K245" s="1">
        <v>0.83572413793103395</v>
      </c>
      <c r="L245" s="1">
        <v>0.91343103448275798</v>
      </c>
    </row>
    <row r="246" spans="1:12" x14ac:dyDescent="0.3">
      <c r="A246" t="s">
        <v>359</v>
      </c>
      <c r="B246" t="s">
        <v>453</v>
      </c>
      <c r="C246" t="s">
        <v>574</v>
      </c>
      <c r="D246" t="s">
        <v>575</v>
      </c>
      <c r="E246" s="2">
        <v>0.78907057211911302</v>
      </c>
      <c r="F246" s="2">
        <v>0.75514059885569496</v>
      </c>
      <c r="G246" s="2">
        <v>0.88944853600214102</v>
      </c>
      <c r="H246" s="2">
        <v>0.87007461803014596</v>
      </c>
      <c r="I246" s="1">
        <v>0.893245530074256</v>
      </c>
      <c r="J246" s="1">
        <v>0.90372381676478297</v>
      </c>
      <c r="K246" s="1">
        <v>0.89387911527256503</v>
      </c>
      <c r="L246" s="1">
        <v>0.90395276331111396</v>
      </c>
    </row>
    <row r="247" spans="1:12" x14ac:dyDescent="0.3">
      <c r="A247" t="s">
        <v>359</v>
      </c>
      <c r="B247" t="s">
        <v>454</v>
      </c>
      <c r="C247" t="s">
        <v>574</v>
      </c>
      <c r="D247" t="s">
        <v>575</v>
      </c>
      <c r="E247" s="2">
        <v>0.62403921568627396</v>
      </c>
      <c r="F247" s="2">
        <v>0.584372549019607</v>
      </c>
      <c r="G247" s="2">
        <v>0.65226470588235297</v>
      </c>
      <c r="H247" s="2">
        <v>0.62801960784313704</v>
      </c>
      <c r="I247" s="1">
        <v>0.65476470588235203</v>
      </c>
      <c r="J247" s="1">
        <v>0.65375490196078401</v>
      </c>
      <c r="K247" s="1">
        <v>0.67853921568627396</v>
      </c>
      <c r="L247" s="1">
        <v>0.67227450980392101</v>
      </c>
    </row>
    <row r="248" spans="1:12" x14ac:dyDescent="0.3">
      <c r="A248" t="s">
        <v>359</v>
      </c>
      <c r="B248" t="s">
        <v>455</v>
      </c>
      <c r="C248" t="s">
        <v>574</v>
      </c>
      <c r="D248" t="s">
        <v>575</v>
      </c>
      <c r="E248" s="2">
        <v>0.88435897498719795</v>
      </c>
      <c r="F248" s="2">
        <v>0.86485393886086204</v>
      </c>
      <c r="G248" s="2">
        <v>0.89715325945544599</v>
      </c>
      <c r="H248" s="2">
        <v>0.90042165767081295</v>
      </c>
      <c r="I248" s="1">
        <v>0.98914127369527405</v>
      </c>
      <c r="J248" s="1">
        <v>0.99324147190623002</v>
      </c>
      <c r="K248" s="1">
        <v>0.99087225071113305</v>
      </c>
      <c r="L248" s="1">
        <v>0.99341175202314802</v>
      </c>
    </row>
    <row r="249" spans="1:12" x14ac:dyDescent="0.3">
      <c r="A249" t="s">
        <v>359</v>
      </c>
      <c r="B249" t="s">
        <v>456</v>
      </c>
      <c r="C249" t="s">
        <v>574</v>
      </c>
      <c r="D249" t="s">
        <v>575</v>
      </c>
      <c r="E249" s="2">
        <v>0.74348419820522804</v>
      </c>
      <c r="F249" s="2">
        <v>0.73581740148263697</v>
      </c>
      <c r="G249" s="2">
        <v>0.89319157237612101</v>
      </c>
      <c r="H249" s="2">
        <v>0.89451814280140396</v>
      </c>
      <c r="I249" s="1">
        <v>0.89832227857978897</v>
      </c>
      <c r="J249" s="1">
        <v>0.89451814280140396</v>
      </c>
      <c r="K249" s="1">
        <v>0.89832227857978897</v>
      </c>
      <c r="L249" s="1">
        <v>0.89451814280140396</v>
      </c>
    </row>
    <row r="250" spans="1:12" x14ac:dyDescent="0.3">
      <c r="A250" t="s">
        <v>359</v>
      </c>
      <c r="B250" t="s">
        <v>457</v>
      </c>
      <c r="C250" t="s">
        <v>574</v>
      </c>
      <c r="D250" t="s">
        <v>575</v>
      </c>
      <c r="E250" s="2">
        <v>0.78986621363346698</v>
      </c>
      <c r="F250" s="2">
        <v>0.72710554257804205</v>
      </c>
      <c r="G250" s="2">
        <v>0.83951582076873998</v>
      </c>
      <c r="H250" s="2">
        <v>0.76794648545338695</v>
      </c>
      <c r="I250" s="1">
        <v>0.84044595455510696</v>
      </c>
      <c r="J250" s="1">
        <v>0.78294754724994697</v>
      </c>
      <c r="K250" s="1">
        <v>0.84044595455510696</v>
      </c>
      <c r="L250" s="1">
        <v>0.78291781694627305</v>
      </c>
    </row>
    <row r="251" spans="1:12" x14ac:dyDescent="0.3">
      <c r="A251" t="s">
        <v>359</v>
      </c>
      <c r="B251" t="s">
        <v>458</v>
      </c>
      <c r="C251" t="s">
        <v>574</v>
      </c>
      <c r="D251" t="s">
        <v>575</v>
      </c>
      <c r="E251" s="2">
        <v>0.67019169551135005</v>
      </c>
      <c r="F251" s="2">
        <v>0.68369698486175401</v>
      </c>
      <c r="G251" s="2">
        <v>0.76111277923738796</v>
      </c>
      <c r="H251" s="2">
        <v>0.736765642159111</v>
      </c>
      <c r="I251" s="1">
        <v>0.86062763251178098</v>
      </c>
      <c r="J251" s="1">
        <v>0.77892558766698605</v>
      </c>
      <c r="K251" s="1">
        <v>0.91984875655087095</v>
      </c>
      <c r="L251" s="1">
        <v>0.86037463335974496</v>
      </c>
    </row>
    <row r="252" spans="1:12" x14ac:dyDescent="0.3">
      <c r="A252" t="s">
        <v>359</v>
      </c>
      <c r="B252" t="s">
        <v>459</v>
      </c>
      <c r="C252" t="s">
        <v>576</v>
      </c>
      <c r="D252" t="s">
        <v>577</v>
      </c>
      <c r="E252" s="2">
        <v>0.964768883878241</v>
      </c>
      <c r="F252" s="2">
        <v>0.98648816234498204</v>
      </c>
      <c r="G252" s="2">
        <v>0.99887260428410296</v>
      </c>
      <c r="H252" s="2">
        <v>0.99915445321307705</v>
      </c>
      <c r="I252" s="1">
        <v>1</v>
      </c>
      <c r="J252" s="1">
        <v>0.99915445321307705</v>
      </c>
      <c r="K252" s="1">
        <v>1</v>
      </c>
      <c r="L252" s="1">
        <v>1</v>
      </c>
    </row>
    <row r="253" spans="1:12" x14ac:dyDescent="0.3">
      <c r="A253" t="s">
        <v>359</v>
      </c>
      <c r="B253" t="s">
        <v>763</v>
      </c>
      <c r="C253" t="s">
        <v>574</v>
      </c>
      <c r="D253" t="s">
        <v>575</v>
      </c>
      <c r="E253" s="2">
        <v>0.59240900532717</v>
      </c>
      <c r="F253" s="2">
        <v>0.57287641916591503</v>
      </c>
      <c r="G253" s="2">
        <v>0.633061397794771</v>
      </c>
      <c r="H253" s="2">
        <v>0.65921874116971602</v>
      </c>
      <c r="I253" s="1">
        <v>0.66953585801350901</v>
      </c>
      <c r="J253" s="1">
        <v>0.72045294332854404</v>
      </c>
      <c r="K253" s="1">
        <v>0.70504586541979297</v>
      </c>
      <c r="L253" s="1">
        <v>0.752116665328181</v>
      </c>
    </row>
    <row r="254" spans="1:12" x14ac:dyDescent="0.3">
      <c r="A254" t="s">
        <v>359</v>
      </c>
      <c r="B254" t="s">
        <v>460</v>
      </c>
      <c r="C254" t="s">
        <v>574</v>
      </c>
      <c r="D254" t="s">
        <v>575</v>
      </c>
      <c r="E254" s="2">
        <v>0.71388291884146904</v>
      </c>
      <c r="F254" s="2">
        <v>0.61935318800532102</v>
      </c>
      <c r="G254" s="2">
        <v>0.77785282980247605</v>
      </c>
      <c r="H254" s="2">
        <v>0.63305188824071201</v>
      </c>
      <c r="I254" s="1">
        <v>0.846182581107358</v>
      </c>
      <c r="J254" s="1">
        <v>0.66424112168662297</v>
      </c>
      <c r="K254" s="1">
        <v>0.84626445604339295</v>
      </c>
      <c r="L254" s="1">
        <v>0.664655613550302</v>
      </c>
    </row>
    <row r="255" spans="1:12" x14ac:dyDescent="0.3">
      <c r="A255" t="s">
        <v>359</v>
      </c>
      <c r="B255" t="s">
        <v>461</v>
      </c>
      <c r="C255" t="s">
        <v>576</v>
      </c>
      <c r="D255" t="s">
        <v>577</v>
      </c>
      <c r="E255" s="2">
        <v>0.87801061018466797</v>
      </c>
      <c r="F255" s="2">
        <v>0.92041371003846995</v>
      </c>
      <c r="G255" s="2">
        <v>0.94246411435861399</v>
      </c>
      <c r="H255" s="2">
        <v>0.980606103827669</v>
      </c>
      <c r="I255" s="1">
        <v>0.98062789472224499</v>
      </c>
      <c r="J255" s="1">
        <v>0.98067940047306001</v>
      </c>
      <c r="K255" s="1">
        <v>0.98066949552098004</v>
      </c>
      <c r="L255" s="1">
        <v>0.98068534344430802</v>
      </c>
    </row>
    <row r="256" spans="1:12" x14ac:dyDescent="0.3">
      <c r="A256" t="s">
        <v>359</v>
      </c>
      <c r="B256" t="s">
        <v>462</v>
      </c>
      <c r="C256" t="s">
        <v>576</v>
      </c>
      <c r="D256" t="s">
        <v>577</v>
      </c>
      <c r="E256" s="2">
        <v>0.87206144409033204</v>
      </c>
      <c r="F256" s="2">
        <v>0.928339501730578</v>
      </c>
      <c r="G256" s="2">
        <v>0.96924796956923998</v>
      </c>
      <c r="H256" s="2">
        <v>0.999434563585894</v>
      </c>
      <c r="I256" s="1">
        <v>0.97226363044446695</v>
      </c>
      <c r="J256" s="1">
        <v>0.999901476988451</v>
      </c>
      <c r="K256" s="1">
        <v>0.98182036256468197</v>
      </c>
      <c r="L256" s="1">
        <v>1</v>
      </c>
    </row>
    <row r="257" spans="1:12" x14ac:dyDescent="0.3">
      <c r="A257" t="s">
        <v>359</v>
      </c>
      <c r="B257" t="s">
        <v>463</v>
      </c>
      <c r="C257" t="s">
        <v>576</v>
      </c>
      <c r="D257" t="s">
        <v>14</v>
      </c>
      <c r="E257" s="2">
        <v>0.981235873598021</v>
      </c>
      <c r="F257" s="2">
        <v>0.501066143545567</v>
      </c>
      <c r="G257" s="2">
        <v>1</v>
      </c>
      <c r="H257" s="2">
        <v>0.501066143545567</v>
      </c>
      <c r="I257" s="1">
        <v>1</v>
      </c>
      <c r="J257" s="1">
        <v>0.501066143545567</v>
      </c>
      <c r="K257" s="1">
        <v>1</v>
      </c>
      <c r="L257" s="1">
        <v>0.501066143545567</v>
      </c>
    </row>
    <row r="258" spans="1:12" x14ac:dyDescent="0.3">
      <c r="A258" t="s">
        <v>359</v>
      </c>
      <c r="B258" t="s">
        <v>465</v>
      </c>
      <c r="C258" t="s">
        <v>574</v>
      </c>
      <c r="D258" t="s">
        <v>575</v>
      </c>
      <c r="E258" s="2">
        <v>0.77581627490121396</v>
      </c>
      <c r="F258" s="2">
        <v>0.78554702680080901</v>
      </c>
      <c r="G258" s="2">
        <v>0.82899828280848797</v>
      </c>
      <c r="H258" s="2">
        <v>0.83053334794772904</v>
      </c>
      <c r="I258" s="1">
        <v>0.82952085817503796</v>
      </c>
      <c r="J258" s="1">
        <v>0.83058981265894505</v>
      </c>
      <c r="K258" s="1">
        <v>0.831777785896886</v>
      </c>
      <c r="L258" s="1">
        <v>0.83060420562454895</v>
      </c>
    </row>
    <row r="259" spans="1:12" x14ac:dyDescent="0.3">
      <c r="A259" t="s">
        <v>359</v>
      </c>
      <c r="B259" t="s">
        <v>466</v>
      </c>
      <c r="C259" t="s">
        <v>574</v>
      </c>
      <c r="D259" t="s">
        <v>575</v>
      </c>
      <c r="E259" s="2">
        <v>0.83011347198559904</v>
      </c>
      <c r="F259" s="2">
        <v>0.81002282297727302</v>
      </c>
      <c r="G259" s="2">
        <v>0.84324472017744001</v>
      </c>
      <c r="H259" s="2">
        <v>0.84581632325050604</v>
      </c>
      <c r="I259" s="1">
        <v>0.84711819730624505</v>
      </c>
      <c r="J259" s="1">
        <v>0.84607348355781198</v>
      </c>
      <c r="K259" s="1">
        <v>0.84625028126908597</v>
      </c>
      <c r="L259" s="1">
        <v>0.84795396830499203</v>
      </c>
    </row>
    <row r="260" spans="1:12" x14ac:dyDescent="0.3">
      <c r="A260" t="s">
        <v>359</v>
      </c>
      <c r="B260" t="s">
        <v>467</v>
      </c>
      <c r="C260" t="s">
        <v>574</v>
      </c>
      <c r="D260" t="s">
        <v>575</v>
      </c>
      <c r="E260" s="2">
        <v>0.80052724891298899</v>
      </c>
      <c r="F260" s="2">
        <v>0.82635707312012396</v>
      </c>
      <c r="G260" s="2">
        <v>0.89236554319050398</v>
      </c>
      <c r="H260" s="2">
        <v>0.91102211444228498</v>
      </c>
      <c r="I260" s="1">
        <v>0.93298186493461199</v>
      </c>
      <c r="J260" s="1">
        <v>0.92987320830778297</v>
      </c>
      <c r="K260" s="1">
        <v>0.932693323057599</v>
      </c>
      <c r="L260" s="1">
        <v>0.92927806173962402</v>
      </c>
    </row>
    <row r="261" spans="1:12" x14ac:dyDescent="0.3">
      <c r="A261" t="s">
        <v>359</v>
      </c>
      <c r="B261" t="s">
        <v>468</v>
      </c>
      <c r="C261" t="s">
        <v>576</v>
      </c>
      <c r="D261" t="s">
        <v>577</v>
      </c>
      <c r="E261" s="2">
        <v>0.76605225423502699</v>
      </c>
      <c r="F261" s="2">
        <v>0.917260654261704</v>
      </c>
      <c r="G261" s="2">
        <v>0.82085750967053395</v>
      </c>
      <c r="H261" s="2">
        <v>0.92657062825129999</v>
      </c>
      <c r="I261" s="1">
        <v>0.91249833266639901</v>
      </c>
      <c r="J261" s="1">
        <v>0.92809415432839804</v>
      </c>
      <c r="K261" s="1">
        <v>0.91457207883153202</v>
      </c>
      <c r="L261" s="1">
        <v>0.92657062825129999</v>
      </c>
    </row>
    <row r="262" spans="1:12" x14ac:dyDescent="0.3">
      <c r="A262" t="s">
        <v>359</v>
      </c>
      <c r="B262" t="s">
        <v>469</v>
      </c>
      <c r="C262" t="s">
        <v>574</v>
      </c>
      <c r="D262" t="s">
        <v>575</v>
      </c>
      <c r="E262" s="2">
        <v>0.74906534325889096</v>
      </c>
      <c r="F262" s="2">
        <v>0.76095671353735805</v>
      </c>
      <c r="G262" s="2">
        <v>0.85161014612627495</v>
      </c>
      <c r="H262" s="2">
        <v>0.84505100634132801</v>
      </c>
      <c r="I262" s="1">
        <v>0.85033636614281705</v>
      </c>
      <c r="J262" s="1">
        <v>0.84762338020402495</v>
      </c>
      <c r="K262" s="1">
        <v>0.85092638544251398</v>
      </c>
      <c r="L262" s="1">
        <v>0.84764267990074404</v>
      </c>
    </row>
    <row r="263" spans="1:12" x14ac:dyDescent="0.3">
      <c r="A263" t="s">
        <v>359</v>
      </c>
      <c r="B263" t="s">
        <v>470</v>
      </c>
      <c r="C263" t="s">
        <v>574</v>
      </c>
      <c r="D263" t="s">
        <v>575</v>
      </c>
      <c r="E263" s="2">
        <v>0.803039409506767</v>
      </c>
      <c r="F263" s="2">
        <v>0.73567635429593903</v>
      </c>
      <c r="G263" s="2">
        <v>0.85908467776847797</v>
      </c>
      <c r="H263" s="2">
        <v>0.86250901901930699</v>
      </c>
      <c r="I263" s="1">
        <v>0.89011840168547396</v>
      </c>
      <c r="J263" s="1">
        <v>0.87753614822938597</v>
      </c>
      <c r="K263" s="1">
        <v>0.88994595803630705</v>
      </c>
      <c r="L263" s="1">
        <v>0.88820276198447201</v>
      </c>
    </row>
    <row r="264" spans="1:12" x14ac:dyDescent="0.3">
      <c r="A264" t="s">
        <v>359</v>
      </c>
      <c r="B264" t="s">
        <v>471</v>
      </c>
      <c r="C264" t="s">
        <v>576</v>
      </c>
      <c r="D264" t="s">
        <v>577</v>
      </c>
      <c r="E264" s="2">
        <v>0.76733224798102395</v>
      </c>
      <c r="F264" s="2">
        <v>0.95442450123665901</v>
      </c>
      <c r="G264" s="2">
        <v>0.88217165134155895</v>
      </c>
      <c r="H264" s="2">
        <v>0.98236978730813995</v>
      </c>
      <c r="I264" s="1">
        <v>0.97710616672837203</v>
      </c>
      <c r="J264" s="1">
        <v>0.99810147875025501</v>
      </c>
      <c r="K264" s="1">
        <v>0.98286428193463105</v>
      </c>
      <c r="L264" s="1">
        <v>0.99832294471972705</v>
      </c>
    </row>
    <row r="265" spans="1:12" x14ac:dyDescent="0.3">
      <c r="A265" t="s">
        <v>359</v>
      </c>
      <c r="B265" t="s">
        <v>472</v>
      </c>
      <c r="C265" t="s">
        <v>574</v>
      </c>
      <c r="D265" t="s">
        <v>575</v>
      </c>
      <c r="E265" s="2">
        <v>0.85228032223996497</v>
      </c>
      <c r="F265" s="2">
        <v>0.90457799115319604</v>
      </c>
      <c r="G265" s="2">
        <v>0.91816961985275702</v>
      </c>
      <c r="H265" s="2">
        <v>0.97058973587138897</v>
      </c>
      <c r="I265" s="1">
        <v>0.92197823502701404</v>
      </c>
      <c r="J265" s="1">
        <v>0.96337300959679195</v>
      </c>
      <c r="K265" s="1">
        <v>0.92138130538818297</v>
      </c>
      <c r="L265" s="1">
        <v>0.965230124028713</v>
      </c>
    </row>
    <row r="266" spans="1:12" x14ac:dyDescent="0.3">
      <c r="A266" t="s">
        <v>359</v>
      </c>
      <c r="B266" t="s">
        <v>473</v>
      </c>
      <c r="C266" t="s">
        <v>574</v>
      </c>
      <c r="D266" t="s">
        <v>575</v>
      </c>
      <c r="E266" s="2">
        <v>0.70406234917441002</v>
      </c>
      <c r="F266" s="2">
        <v>0.72139327156423505</v>
      </c>
      <c r="G266" s="2">
        <v>0.77852402219699401</v>
      </c>
      <c r="H266" s="2">
        <v>0.78596418479972596</v>
      </c>
      <c r="I266" s="1">
        <v>0.82066228436897404</v>
      </c>
      <c r="J266" s="1">
        <v>0.81819242682763704</v>
      </c>
      <c r="K266" s="1">
        <v>0.82374054259824403</v>
      </c>
      <c r="L266" s="1">
        <v>0.81901495736663299</v>
      </c>
    </row>
    <row r="267" spans="1:12" x14ac:dyDescent="0.3">
      <c r="A267" t="s">
        <v>359</v>
      </c>
      <c r="B267" t="s">
        <v>475</v>
      </c>
      <c r="C267" t="s">
        <v>574</v>
      </c>
      <c r="D267" t="s">
        <v>575</v>
      </c>
      <c r="E267" s="2">
        <v>0.87374990395792496</v>
      </c>
      <c r="F267" s="2">
        <v>0.87824095531502999</v>
      </c>
      <c r="G267" s="2">
        <v>0.89108580832728101</v>
      </c>
      <c r="H267" s="2">
        <v>0.89591393638668604</v>
      </c>
      <c r="I267" s="1">
        <v>0.89743202079961504</v>
      </c>
      <c r="J267" s="1">
        <v>0.89942597820402503</v>
      </c>
      <c r="K267" s="1">
        <v>0.89761419092916594</v>
      </c>
      <c r="L267" s="1">
        <v>0.89879272013463196</v>
      </c>
    </row>
    <row r="268" spans="1:12" x14ac:dyDescent="0.3">
      <c r="A268" t="s">
        <v>359</v>
      </c>
      <c r="B268" t="s">
        <v>765</v>
      </c>
      <c r="C268" t="s">
        <v>574</v>
      </c>
      <c r="D268" t="s">
        <v>575</v>
      </c>
      <c r="E268" s="2">
        <v>0.43976211227616102</v>
      </c>
      <c r="F268" s="2">
        <v>0.44736286299399503</v>
      </c>
      <c r="G268" s="2">
        <v>0.48475171237454601</v>
      </c>
      <c r="H268" s="2">
        <v>0.45336753626597998</v>
      </c>
      <c r="I268" s="1">
        <v>0.48517278808262099</v>
      </c>
      <c r="J268" s="1">
        <v>0.45474706049053298</v>
      </c>
      <c r="K268" s="1">
        <v>0.48536394308660502</v>
      </c>
      <c r="L268" s="1">
        <v>0.45515610546409202</v>
      </c>
    </row>
    <row r="269" spans="1:12" x14ac:dyDescent="0.3">
      <c r="A269" t="s">
        <v>359</v>
      </c>
      <c r="B269" t="s">
        <v>476</v>
      </c>
      <c r="C269" t="s">
        <v>576</v>
      </c>
      <c r="D269" t="s">
        <v>577</v>
      </c>
      <c r="E269" s="2">
        <v>0.65970821325648399</v>
      </c>
      <c r="F269" s="2">
        <v>0.79429034582132496</v>
      </c>
      <c r="G269" s="2">
        <v>0.80593780019212202</v>
      </c>
      <c r="H269" s="2">
        <v>0.96141330451488904</v>
      </c>
      <c r="I269" s="1">
        <v>0.89245917387127705</v>
      </c>
      <c r="J269" s="1">
        <v>0.99313160422670499</v>
      </c>
      <c r="K269" s="1">
        <v>0.93505643611911604</v>
      </c>
      <c r="L269" s="1">
        <v>0.99890129682997097</v>
      </c>
    </row>
    <row r="270" spans="1:12" x14ac:dyDescent="0.3">
      <c r="A270" t="s">
        <v>359</v>
      </c>
      <c r="B270" t="s">
        <v>477</v>
      </c>
      <c r="C270" t="s">
        <v>574</v>
      </c>
      <c r="D270" t="s">
        <v>575</v>
      </c>
      <c r="E270" s="2">
        <v>0.87890119078595297</v>
      </c>
      <c r="F270" s="2">
        <v>0.89252228520975396</v>
      </c>
      <c r="G270" s="2">
        <v>0.905082109559324</v>
      </c>
      <c r="H270" s="2">
        <v>0.91418768985186005</v>
      </c>
      <c r="I270" s="1">
        <v>0.92169697961952102</v>
      </c>
      <c r="J270" s="1">
        <v>0.92164727826618198</v>
      </c>
      <c r="K270" s="1">
        <v>0.92169113240148104</v>
      </c>
      <c r="L270" s="1">
        <v>0.921612194957943</v>
      </c>
    </row>
    <row r="271" spans="1:12" x14ac:dyDescent="0.3">
      <c r="A271" t="s">
        <v>359</v>
      </c>
      <c r="B271" t="s">
        <v>478</v>
      </c>
      <c r="C271" t="s">
        <v>576</v>
      </c>
      <c r="D271" t="s">
        <v>577</v>
      </c>
      <c r="E271" s="2">
        <v>0.84433764239088704</v>
      </c>
      <c r="F271" s="2">
        <v>0.90035837706386701</v>
      </c>
      <c r="G271" s="2">
        <v>0.97492512479201299</v>
      </c>
      <c r="H271" s="2">
        <v>1</v>
      </c>
      <c r="I271" s="1">
        <v>0.99714066299756798</v>
      </c>
      <c r="J271" s="1">
        <v>1</v>
      </c>
      <c r="K271" s="1">
        <v>0.99993600409573702</v>
      </c>
      <c r="L271" s="1">
        <v>1</v>
      </c>
    </row>
    <row r="272" spans="1:12" x14ac:dyDescent="0.3">
      <c r="A272" t="s">
        <v>359</v>
      </c>
      <c r="B272" t="s">
        <v>479</v>
      </c>
      <c r="C272" t="s">
        <v>574</v>
      </c>
      <c r="D272" t="s">
        <v>575</v>
      </c>
      <c r="E272" s="2">
        <v>0.84142774982589796</v>
      </c>
      <c r="F272" s="2">
        <v>0.84759563846352404</v>
      </c>
      <c r="G272" s="2">
        <v>0.96709383485003797</v>
      </c>
      <c r="H272" s="2">
        <v>0.93603040712368601</v>
      </c>
      <c r="I272" s="1">
        <v>0.99715764599097001</v>
      </c>
      <c r="J272" s="1">
        <v>0.96141206112723798</v>
      </c>
      <c r="K272" s="1">
        <v>0.99733663800186201</v>
      </c>
      <c r="L272" s="1">
        <v>0.991054311849075</v>
      </c>
    </row>
    <row r="273" spans="1:12" x14ac:dyDescent="0.3">
      <c r="A273" t="s">
        <v>359</v>
      </c>
      <c r="B273" t="s">
        <v>766</v>
      </c>
      <c r="C273" t="s">
        <v>576</v>
      </c>
      <c r="D273" t="s">
        <v>14</v>
      </c>
      <c r="E273" s="2">
        <v>0.84739196108048698</v>
      </c>
      <c r="F273" s="2">
        <v>0.88768464209349296</v>
      </c>
      <c r="G273" s="2">
        <v>0.99739098024599304</v>
      </c>
      <c r="H273" s="2">
        <v>0.99723404672695504</v>
      </c>
      <c r="I273" s="1">
        <v>0.99764599721443004</v>
      </c>
      <c r="J273" s="1">
        <v>0.99723404672695504</v>
      </c>
      <c r="K273" s="1">
        <v>0.997783314043588</v>
      </c>
      <c r="L273" s="1">
        <v>0.99756753045491098</v>
      </c>
    </row>
    <row r="274" spans="1:12" x14ac:dyDescent="0.3">
      <c r="A274" t="s">
        <v>359</v>
      </c>
      <c r="B274" t="s">
        <v>480</v>
      </c>
      <c r="C274" t="s">
        <v>574</v>
      </c>
      <c r="D274" t="s">
        <v>575</v>
      </c>
      <c r="E274" s="2">
        <v>0.92410894978690905</v>
      </c>
      <c r="F274" s="2">
        <v>0.74716078188614499</v>
      </c>
      <c r="G274" s="2">
        <v>0.97826242232327798</v>
      </c>
      <c r="H274" s="2">
        <v>0.83411109259303295</v>
      </c>
      <c r="I274" s="1">
        <v>0.97826242232327798</v>
      </c>
      <c r="J274" s="1">
        <v>0.85314635365824598</v>
      </c>
      <c r="K274" s="1">
        <v>0.98350039284778901</v>
      </c>
      <c r="L274" s="1">
        <v>0.97298873836337196</v>
      </c>
    </row>
    <row r="275" spans="1:12" x14ac:dyDescent="0.3">
      <c r="A275" t="s">
        <v>359</v>
      </c>
      <c r="B275" t="s">
        <v>483</v>
      </c>
      <c r="C275" t="s">
        <v>574</v>
      </c>
      <c r="D275" t="s">
        <v>575</v>
      </c>
      <c r="E275" s="2">
        <v>0.829059829059829</v>
      </c>
      <c r="F275" s="2">
        <v>0.829059829059829</v>
      </c>
      <c r="G275" s="2">
        <v>0.829059829059829</v>
      </c>
      <c r="H275" s="2">
        <v>0.829059829059829</v>
      </c>
      <c r="I275" s="1">
        <v>0.829059829059829</v>
      </c>
      <c r="J275" s="1">
        <v>0.829059829059829</v>
      </c>
      <c r="K275" s="1">
        <v>0.829059829059829</v>
      </c>
      <c r="L275" s="1">
        <v>0.829059829059829</v>
      </c>
    </row>
    <row r="276" spans="1:12" x14ac:dyDescent="0.3">
      <c r="A276" t="s">
        <v>359</v>
      </c>
      <c r="B276" t="s">
        <v>485</v>
      </c>
      <c r="C276" t="s">
        <v>574</v>
      </c>
      <c r="D276" t="s">
        <v>575</v>
      </c>
      <c r="E276" s="2">
        <v>0.97509868989595205</v>
      </c>
      <c r="F276" s="2">
        <v>0.97509868989595205</v>
      </c>
      <c r="G276" s="2">
        <v>0.97509868989595205</v>
      </c>
      <c r="H276" s="2">
        <v>0.97509868989595205</v>
      </c>
      <c r="I276" s="1">
        <v>0.97475301600470099</v>
      </c>
      <c r="J276" s="1">
        <v>0.97509868989595205</v>
      </c>
      <c r="K276" s="1">
        <v>0.97473607798402995</v>
      </c>
      <c r="L276" s="1">
        <v>0.97509868989595205</v>
      </c>
    </row>
    <row r="277" spans="1:12" x14ac:dyDescent="0.3">
      <c r="A277" t="s">
        <v>359</v>
      </c>
      <c r="B277" t="s">
        <v>487</v>
      </c>
      <c r="C277" t="s">
        <v>574</v>
      </c>
      <c r="D277" t="s">
        <v>575</v>
      </c>
      <c r="E277" s="2">
        <v>0.98067632850241504</v>
      </c>
      <c r="F277" s="2">
        <v>0.98067632850241504</v>
      </c>
      <c r="G277" s="2">
        <v>0.98188405797101397</v>
      </c>
      <c r="H277" s="2">
        <v>0.98429951690821205</v>
      </c>
      <c r="I277" s="1">
        <v>0.98067632850241504</v>
      </c>
      <c r="J277" s="1">
        <v>0.99033816425120702</v>
      </c>
      <c r="K277" s="1">
        <v>0.98188405797101397</v>
      </c>
      <c r="L277" s="1">
        <v>0.99045652173913001</v>
      </c>
    </row>
    <row r="278" spans="1:12" x14ac:dyDescent="0.3">
      <c r="A278" t="s">
        <v>359</v>
      </c>
      <c r="B278" t="s">
        <v>488</v>
      </c>
      <c r="C278" t="s">
        <v>576</v>
      </c>
      <c r="D278" t="s">
        <v>591</v>
      </c>
      <c r="E278" s="2">
        <v>0.75932633587786202</v>
      </c>
      <c r="F278" s="2">
        <v>0.75741793893129705</v>
      </c>
      <c r="G278" s="2">
        <v>0.75954198473282397</v>
      </c>
      <c r="H278" s="2">
        <v>0.757633587786259</v>
      </c>
      <c r="I278" s="1">
        <v>0.75954198473282397</v>
      </c>
      <c r="J278" s="1">
        <v>0.757633587786259</v>
      </c>
      <c r="K278" s="1">
        <v>0.75954198473282397</v>
      </c>
      <c r="L278" s="1">
        <v>0.757633587786259</v>
      </c>
    </row>
    <row r="279" spans="1:12" x14ac:dyDescent="0.3">
      <c r="A279" t="s">
        <v>359</v>
      </c>
      <c r="B279" t="s">
        <v>490</v>
      </c>
      <c r="C279" t="s">
        <v>574</v>
      </c>
      <c r="D279" t="s">
        <v>575</v>
      </c>
      <c r="E279" s="2">
        <v>0.68495390070921902</v>
      </c>
      <c r="F279" s="2">
        <v>0.68318085106382898</v>
      </c>
      <c r="G279" s="2">
        <v>0.68672695035460896</v>
      </c>
      <c r="H279" s="2">
        <v>0.68672695035460896</v>
      </c>
      <c r="I279" s="1">
        <v>0.68318085106382898</v>
      </c>
      <c r="J279" s="1">
        <v>0.68672695035460896</v>
      </c>
      <c r="K279" s="1">
        <v>0.68672695035460896</v>
      </c>
      <c r="L279" s="1">
        <v>0.68672695035460896</v>
      </c>
    </row>
    <row r="280" spans="1:12" x14ac:dyDescent="0.3">
      <c r="A280" t="s">
        <v>359</v>
      </c>
      <c r="B280" t="s">
        <v>491</v>
      </c>
      <c r="C280" t="s">
        <v>576</v>
      </c>
      <c r="D280" t="s">
        <v>591</v>
      </c>
      <c r="E280" s="2">
        <v>0.99939209282985597</v>
      </c>
      <c r="F280" s="2">
        <v>0.99939209282985597</v>
      </c>
      <c r="G280" s="2">
        <v>0.99939209282985597</v>
      </c>
      <c r="H280" s="2">
        <v>0.99939209282985597</v>
      </c>
      <c r="I280" s="1">
        <v>0.99939209282985597</v>
      </c>
      <c r="J280" s="1">
        <v>0.99939209282985597</v>
      </c>
      <c r="K280" s="1">
        <v>0.99939209282985597</v>
      </c>
      <c r="L280" s="1">
        <v>0.99939209282985597</v>
      </c>
    </row>
    <row r="281" spans="1:12" x14ac:dyDescent="0.3">
      <c r="A281" t="s">
        <v>359</v>
      </c>
      <c r="B281" t="s">
        <v>492</v>
      </c>
      <c r="C281" t="s">
        <v>574</v>
      </c>
      <c r="D281" t="s">
        <v>575</v>
      </c>
      <c r="E281" s="2">
        <v>0.72807608695652104</v>
      </c>
      <c r="F281" s="2">
        <v>0.64118478260869505</v>
      </c>
      <c r="G281" s="2">
        <v>0.72807608695652104</v>
      </c>
      <c r="H281" s="2">
        <v>0.64661956521739095</v>
      </c>
      <c r="I281" s="1">
        <v>0.72807608695652104</v>
      </c>
      <c r="J281" s="1">
        <v>0.65217391304347805</v>
      </c>
      <c r="K281" s="1">
        <v>0.72807608695652104</v>
      </c>
      <c r="L281" s="1">
        <v>0.65217391304347805</v>
      </c>
    </row>
    <row r="282" spans="1:12" x14ac:dyDescent="0.3">
      <c r="A282" t="s">
        <v>359</v>
      </c>
      <c r="B282" t="s">
        <v>495</v>
      </c>
      <c r="C282" t="s">
        <v>574</v>
      </c>
      <c r="D282" t="s">
        <v>575</v>
      </c>
      <c r="E282" s="2">
        <v>0.67049853157121797</v>
      </c>
      <c r="F282" s="2">
        <v>0.66976431718061602</v>
      </c>
      <c r="G282" s="2">
        <v>0.67159985315712101</v>
      </c>
      <c r="H282" s="2">
        <v>0.67306828193832602</v>
      </c>
      <c r="I282" s="1">
        <v>0.66939720998531504</v>
      </c>
      <c r="J282" s="1">
        <v>0.67563803230543296</v>
      </c>
      <c r="K282" s="1">
        <v>0.67233406754772396</v>
      </c>
      <c r="L282" s="1">
        <v>0.67710646108663697</v>
      </c>
    </row>
    <row r="283" spans="1:12" x14ac:dyDescent="0.3">
      <c r="A283" t="s">
        <v>359</v>
      </c>
      <c r="B283" t="s">
        <v>496</v>
      </c>
      <c r="C283" t="s">
        <v>576</v>
      </c>
      <c r="D283" t="s">
        <v>591</v>
      </c>
      <c r="E283" s="2">
        <v>0.82290165876777199</v>
      </c>
      <c r="F283" s="2">
        <v>0.971170616113744</v>
      </c>
      <c r="G283" s="2">
        <v>0.94865876777251101</v>
      </c>
      <c r="H283" s="2">
        <v>0.96880094786729798</v>
      </c>
      <c r="I283" s="1">
        <v>0.94865876777251101</v>
      </c>
      <c r="J283" s="1">
        <v>0.96761611374407497</v>
      </c>
      <c r="K283" s="1">
        <v>0.947473933649289</v>
      </c>
      <c r="L283" s="1">
        <v>0.96287677725118404</v>
      </c>
    </row>
    <row r="284" spans="1:12" x14ac:dyDescent="0.3">
      <c r="A284" t="s">
        <v>359</v>
      </c>
      <c r="B284" t="s">
        <v>497</v>
      </c>
      <c r="C284" t="s">
        <v>574</v>
      </c>
      <c r="D284" t="s">
        <v>575</v>
      </c>
      <c r="E284" s="2">
        <v>0.703595011005135</v>
      </c>
      <c r="F284" s="2">
        <v>0.703595011005135</v>
      </c>
      <c r="G284" s="2">
        <v>0.703595011005135</v>
      </c>
      <c r="H284" s="2">
        <v>0.703595011005135</v>
      </c>
      <c r="I284" s="1">
        <v>0.703595011005135</v>
      </c>
      <c r="J284" s="1">
        <v>0.703595011005135</v>
      </c>
      <c r="K284" s="1">
        <v>0.703595011005135</v>
      </c>
      <c r="L284" s="1">
        <v>0.703595011005135</v>
      </c>
    </row>
    <row r="285" spans="1:12" x14ac:dyDescent="0.3">
      <c r="A285" t="s">
        <v>359</v>
      </c>
      <c r="B285" t="s">
        <v>499</v>
      </c>
      <c r="C285" t="s">
        <v>574</v>
      </c>
      <c r="D285" t="s">
        <v>575</v>
      </c>
      <c r="E285" s="2">
        <v>0.66207673267326705</v>
      </c>
      <c r="F285" s="2">
        <v>0.74462376237623695</v>
      </c>
      <c r="G285" s="2">
        <v>0.72729702970297005</v>
      </c>
      <c r="H285" s="2">
        <v>0.74709900990098999</v>
      </c>
      <c r="I285" s="1">
        <v>0.72234653465346499</v>
      </c>
      <c r="J285" s="1">
        <v>0.74957425742574202</v>
      </c>
      <c r="K285" s="1">
        <v>0.72234653465346499</v>
      </c>
      <c r="L285" s="1">
        <v>0.74709900990098999</v>
      </c>
    </row>
    <row r="286" spans="1:12" x14ac:dyDescent="0.3">
      <c r="A286" t="s">
        <v>359</v>
      </c>
      <c r="B286" t="s">
        <v>500</v>
      </c>
      <c r="C286" t="s">
        <v>576</v>
      </c>
      <c r="D286" t="s">
        <v>591</v>
      </c>
      <c r="E286" s="2">
        <v>0.70714634146341404</v>
      </c>
      <c r="F286" s="2">
        <v>0.768073170731707</v>
      </c>
      <c r="G286" s="2">
        <v>0.78026829268292597</v>
      </c>
      <c r="H286" s="2">
        <v>0.768073170731707</v>
      </c>
      <c r="I286" s="1">
        <v>0.78026829268292597</v>
      </c>
      <c r="J286" s="1">
        <v>0.768073170731707</v>
      </c>
      <c r="K286" s="1">
        <v>0.78026829268292597</v>
      </c>
      <c r="L286" s="1">
        <v>0.768073170731707</v>
      </c>
    </row>
    <row r="287" spans="1:12" x14ac:dyDescent="0.3">
      <c r="A287" t="s">
        <v>359</v>
      </c>
      <c r="B287" t="s">
        <v>501</v>
      </c>
      <c r="C287" t="s">
        <v>574</v>
      </c>
      <c r="D287" t="s">
        <v>575</v>
      </c>
      <c r="E287" s="2">
        <v>0.63254081632653003</v>
      </c>
      <c r="F287" s="2">
        <v>0.94885714285714196</v>
      </c>
      <c r="G287" s="2">
        <v>0.63254081632653003</v>
      </c>
      <c r="H287" s="2">
        <v>0.96428571428571397</v>
      </c>
      <c r="I287" s="1">
        <v>0.63254081632653003</v>
      </c>
      <c r="J287" s="1">
        <v>0.96938775510204001</v>
      </c>
      <c r="K287" s="1">
        <v>0.64274489795918299</v>
      </c>
      <c r="L287" s="1">
        <v>0.96938775510204001</v>
      </c>
    </row>
    <row r="288" spans="1:12" x14ac:dyDescent="0.3">
      <c r="A288" t="s">
        <v>359</v>
      </c>
      <c r="B288" t="s">
        <v>503</v>
      </c>
      <c r="C288" t="s">
        <v>574</v>
      </c>
      <c r="D288" t="s">
        <v>575</v>
      </c>
      <c r="E288" s="2">
        <v>0.91019831299353904</v>
      </c>
      <c r="F288" s="2">
        <v>0.91019831299353904</v>
      </c>
      <c r="G288" s="2">
        <v>0.91019831299353904</v>
      </c>
      <c r="H288" s="2">
        <v>0.91019831299353904</v>
      </c>
      <c r="I288" s="1">
        <v>0.91019831299353904</v>
      </c>
      <c r="J288" s="1">
        <v>0.91019831299353904</v>
      </c>
      <c r="K288" s="1">
        <v>0.91019831299353904</v>
      </c>
      <c r="L288" s="1">
        <v>0.91019831299353904</v>
      </c>
    </row>
    <row r="289" spans="1:12" x14ac:dyDescent="0.3">
      <c r="A289" t="s">
        <v>359</v>
      </c>
      <c r="B289" t="s">
        <v>504</v>
      </c>
      <c r="C289" t="s">
        <v>576</v>
      </c>
      <c r="D289" t="s">
        <v>591</v>
      </c>
      <c r="E289" s="2">
        <v>0.96199999999999997</v>
      </c>
      <c r="F289" s="2">
        <v>0.97960000000000003</v>
      </c>
      <c r="G289" s="2">
        <v>0.97960000000000003</v>
      </c>
      <c r="H289" s="2">
        <v>0.97960000000000003</v>
      </c>
      <c r="I289" s="1">
        <v>0.97960000000000003</v>
      </c>
      <c r="J289" s="1">
        <v>0.97960000000000003</v>
      </c>
      <c r="K289" s="1">
        <v>0.97960000000000003</v>
      </c>
      <c r="L289" s="1">
        <v>0.97960000000000003</v>
      </c>
    </row>
    <row r="290" spans="1:12" x14ac:dyDescent="0.3">
      <c r="A290" t="s">
        <v>359</v>
      </c>
      <c r="B290" t="s">
        <v>507</v>
      </c>
      <c r="C290" t="s">
        <v>574</v>
      </c>
      <c r="D290" t="s">
        <v>575</v>
      </c>
      <c r="E290" s="2">
        <v>0.61718095238095205</v>
      </c>
      <c r="F290" s="2">
        <v>0.69723809523809499</v>
      </c>
      <c r="G290" s="2">
        <v>0.67263492063492003</v>
      </c>
      <c r="H290" s="2">
        <v>0.69842857142857095</v>
      </c>
      <c r="I290" s="1">
        <v>0.67263492063492003</v>
      </c>
      <c r="J290" s="1">
        <v>0.69961904761904703</v>
      </c>
      <c r="K290" s="1">
        <v>0.67184126984126902</v>
      </c>
      <c r="L290" s="1">
        <v>0.698031746031746</v>
      </c>
    </row>
    <row r="291" spans="1:12" x14ac:dyDescent="0.3">
      <c r="A291" t="s">
        <v>359</v>
      </c>
      <c r="B291" t="s">
        <v>508</v>
      </c>
      <c r="C291" t="s">
        <v>576</v>
      </c>
      <c r="D291" t="s">
        <v>591</v>
      </c>
      <c r="E291" s="2">
        <v>0.71896666666666598</v>
      </c>
      <c r="F291" s="2">
        <v>0.80668333333333297</v>
      </c>
      <c r="G291" s="2">
        <v>0.80668333333333297</v>
      </c>
      <c r="H291" s="2">
        <v>0.80668333333333297</v>
      </c>
      <c r="I291" s="1">
        <v>0.80668333333333297</v>
      </c>
      <c r="J291" s="1">
        <v>0.79557222222222201</v>
      </c>
      <c r="K291" s="1">
        <v>0.80112777777777699</v>
      </c>
      <c r="L291" s="1">
        <v>0.79557222222222201</v>
      </c>
    </row>
    <row r="292" spans="1:12" x14ac:dyDescent="0.3">
      <c r="A292" t="s">
        <v>359</v>
      </c>
      <c r="B292" t="s">
        <v>509</v>
      </c>
      <c r="C292" t="s">
        <v>574</v>
      </c>
      <c r="D292" t="s">
        <v>575</v>
      </c>
      <c r="E292" s="2">
        <v>0.91774193548387095</v>
      </c>
      <c r="F292" s="2">
        <v>0.91774193548387095</v>
      </c>
      <c r="G292" s="2">
        <v>0.91774193548387095</v>
      </c>
      <c r="H292" s="2">
        <v>0.91774193548387095</v>
      </c>
      <c r="I292" s="1">
        <v>0.91774193548387095</v>
      </c>
      <c r="J292" s="1">
        <v>0.91774193548387095</v>
      </c>
      <c r="K292" s="1">
        <v>0.91774193548386995</v>
      </c>
      <c r="L292" s="1">
        <v>0.929838709677419</v>
      </c>
    </row>
    <row r="293" spans="1:12" x14ac:dyDescent="0.3">
      <c r="A293" t="s">
        <v>359</v>
      </c>
      <c r="B293" t="s">
        <v>511</v>
      </c>
      <c r="C293" t="s">
        <v>574</v>
      </c>
      <c r="D293" t="s">
        <v>575</v>
      </c>
      <c r="E293" s="2">
        <v>0.88855555555555499</v>
      </c>
      <c r="F293" s="2">
        <v>0.74980555555555495</v>
      </c>
      <c r="G293" s="2">
        <v>0.88888888888888795</v>
      </c>
      <c r="H293" s="2">
        <v>0.75</v>
      </c>
      <c r="I293" s="1">
        <v>0.88888888888888795</v>
      </c>
      <c r="J293" s="1">
        <v>0.75</v>
      </c>
      <c r="K293" s="1">
        <v>0.88888888888888795</v>
      </c>
      <c r="L293" s="1">
        <v>0.75</v>
      </c>
    </row>
    <row r="294" spans="1:12" x14ac:dyDescent="0.3">
      <c r="A294" t="s">
        <v>359</v>
      </c>
      <c r="B294" t="s">
        <v>512</v>
      </c>
      <c r="C294" t="s">
        <v>574</v>
      </c>
      <c r="D294" t="s">
        <v>575</v>
      </c>
      <c r="E294" s="2">
        <v>0.84837931034482705</v>
      </c>
      <c r="F294" s="2">
        <v>0.84837931034482705</v>
      </c>
      <c r="G294" s="2">
        <v>0.84837931034482705</v>
      </c>
      <c r="H294" s="2">
        <v>0.84837931034482705</v>
      </c>
      <c r="I294" s="1">
        <v>0.84837931034482705</v>
      </c>
      <c r="J294" s="1">
        <v>0.84837931034482705</v>
      </c>
      <c r="K294" s="1">
        <v>0.84837931034482705</v>
      </c>
      <c r="L294" s="1">
        <v>0.84837931034482705</v>
      </c>
    </row>
    <row r="295" spans="1:12" x14ac:dyDescent="0.3">
      <c r="A295" t="s">
        <v>359</v>
      </c>
      <c r="B295" t="s">
        <v>515</v>
      </c>
      <c r="C295" t="s">
        <v>574</v>
      </c>
      <c r="D295" t="s">
        <v>575</v>
      </c>
      <c r="E295" s="2">
        <v>0.68594105691056895</v>
      </c>
      <c r="F295" s="2">
        <v>0.68390853658536499</v>
      </c>
      <c r="G295" s="2">
        <v>0.68594105691056895</v>
      </c>
      <c r="H295" s="2">
        <v>0.68695731707316998</v>
      </c>
      <c r="I295" s="1">
        <v>0.68289227642276396</v>
      </c>
      <c r="J295" s="1">
        <v>0.68797357723577202</v>
      </c>
      <c r="K295" s="1">
        <v>0.68695731707316998</v>
      </c>
      <c r="L295" s="1">
        <v>0.69010569105691</v>
      </c>
    </row>
    <row r="296" spans="1:12" x14ac:dyDescent="0.3">
      <c r="A296" t="s">
        <v>359</v>
      </c>
      <c r="B296" t="s">
        <v>516</v>
      </c>
      <c r="C296" t="s">
        <v>576</v>
      </c>
      <c r="D296" t="s">
        <v>591</v>
      </c>
      <c r="E296" s="2">
        <v>0.67391304347825998</v>
      </c>
      <c r="F296" s="2">
        <v>0.69554347826086904</v>
      </c>
      <c r="G296" s="2">
        <v>0.69565217391304301</v>
      </c>
      <c r="H296" s="2">
        <v>0.69565217391304301</v>
      </c>
      <c r="I296" s="1">
        <v>0.69565217391304301</v>
      </c>
      <c r="J296" s="1">
        <v>0.69565217391304301</v>
      </c>
      <c r="K296" s="1">
        <v>0.69565217391304301</v>
      </c>
      <c r="L296" s="1">
        <v>0.69565217391304301</v>
      </c>
    </row>
    <row r="297" spans="1:12" x14ac:dyDescent="0.3">
      <c r="A297" t="s">
        <v>359</v>
      </c>
      <c r="B297" t="s">
        <v>517</v>
      </c>
      <c r="C297" t="s">
        <v>574</v>
      </c>
      <c r="D297" t="s">
        <v>575</v>
      </c>
      <c r="E297" s="2">
        <v>0.66649999999999998</v>
      </c>
      <c r="F297" s="2">
        <v>0.66649999999999998</v>
      </c>
      <c r="G297" s="2">
        <v>0.66649999999999998</v>
      </c>
      <c r="H297" s="2">
        <v>0.66649999999999998</v>
      </c>
      <c r="I297" s="1">
        <v>0.66649999999999998</v>
      </c>
      <c r="J297" s="1">
        <v>0.66649999999999998</v>
      </c>
      <c r="K297" s="1">
        <v>0.66649999999999998</v>
      </c>
      <c r="L297" s="1">
        <v>0.66649999999999998</v>
      </c>
    </row>
    <row r="298" spans="1:12" x14ac:dyDescent="0.3">
      <c r="A298" t="s">
        <v>359</v>
      </c>
      <c r="B298" t="s">
        <v>519</v>
      </c>
      <c r="C298" t="s">
        <v>574</v>
      </c>
      <c r="D298" t="s">
        <v>575</v>
      </c>
      <c r="E298" s="2">
        <v>0.74387195902688796</v>
      </c>
      <c r="F298" s="2">
        <v>0.74387195902688796</v>
      </c>
      <c r="G298" s="2">
        <v>0.74387195902688796</v>
      </c>
      <c r="H298" s="2">
        <v>0.74387195902688796</v>
      </c>
      <c r="I298" s="1">
        <v>0.74387195902688796</v>
      </c>
      <c r="J298" s="1">
        <v>0.74387195902688796</v>
      </c>
      <c r="K298" s="1">
        <v>0.73606402048655495</v>
      </c>
      <c r="L298" s="1">
        <v>0.74387195902688796</v>
      </c>
    </row>
    <row r="299" spans="1:12" x14ac:dyDescent="0.3">
      <c r="A299" t="s">
        <v>359</v>
      </c>
      <c r="B299" t="s">
        <v>521</v>
      </c>
      <c r="C299" t="s">
        <v>574</v>
      </c>
      <c r="D299" t="s">
        <v>575</v>
      </c>
      <c r="E299" s="2">
        <v>0.82499999999999996</v>
      </c>
      <c r="F299" s="2">
        <v>0.83299999999999996</v>
      </c>
      <c r="G299" s="2">
        <v>0.83333333333333304</v>
      </c>
      <c r="H299" s="2">
        <v>0.83333333333333304</v>
      </c>
      <c r="I299" s="1">
        <v>0.83333333333333304</v>
      </c>
      <c r="J299" s="1">
        <v>0.83333333333333304</v>
      </c>
      <c r="K299" s="1">
        <v>0.83333333333333304</v>
      </c>
      <c r="L299" s="1">
        <v>0.83333333333333304</v>
      </c>
    </row>
    <row r="300" spans="1:12" x14ac:dyDescent="0.3">
      <c r="A300" t="s">
        <v>359</v>
      </c>
      <c r="B300" t="s">
        <v>525</v>
      </c>
      <c r="C300" t="s">
        <v>574</v>
      </c>
      <c r="D300" t="s">
        <v>575</v>
      </c>
      <c r="E300" s="2">
        <v>0.91123655913978496</v>
      </c>
      <c r="F300" s="2">
        <v>0.91123655913978496</v>
      </c>
      <c r="G300" s="2">
        <v>0.91123655913978496</v>
      </c>
      <c r="H300" s="2">
        <v>0.91258064516129</v>
      </c>
      <c r="I300" s="1">
        <v>0.91123655913978496</v>
      </c>
      <c r="J300" s="1">
        <v>0.91392473118279505</v>
      </c>
      <c r="K300" s="1">
        <v>0.91258064516129</v>
      </c>
      <c r="L300" s="1">
        <v>0.91661290322580602</v>
      </c>
    </row>
    <row r="301" spans="1:12" x14ac:dyDescent="0.3">
      <c r="A301" t="s">
        <v>359</v>
      </c>
      <c r="B301" t="s">
        <v>526</v>
      </c>
      <c r="C301" t="s">
        <v>576</v>
      </c>
      <c r="D301" t="s">
        <v>591</v>
      </c>
      <c r="E301" s="2">
        <v>0.82737684911242604</v>
      </c>
      <c r="F301" s="2">
        <v>0.97482544378698199</v>
      </c>
      <c r="G301" s="2">
        <v>0.95522522189349102</v>
      </c>
      <c r="H301" s="2">
        <v>0.97353106508875698</v>
      </c>
      <c r="I301" s="1">
        <v>0.95263609467455601</v>
      </c>
      <c r="J301" s="1">
        <v>0.96909319526627202</v>
      </c>
      <c r="K301" s="1">
        <v>0.95060207100591698</v>
      </c>
      <c r="L301" s="1">
        <v>0.96373076923076895</v>
      </c>
    </row>
    <row r="302" spans="1:12" x14ac:dyDescent="0.3">
      <c r="A302" t="s">
        <v>359</v>
      </c>
      <c r="B302" t="s">
        <v>767</v>
      </c>
      <c r="C302" t="s">
        <v>576</v>
      </c>
      <c r="D302" t="s">
        <v>589</v>
      </c>
      <c r="E302" s="2">
        <v>0.94234395295892204</v>
      </c>
      <c r="F302" s="2">
        <v>0.83953238264173002</v>
      </c>
      <c r="G302" s="2">
        <v>0.99521628001173201</v>
      </c>
      <c r="H302" s="2">
        <v>0.99508359288796999</v>
      </c>
      <c r="I302" s="1">
        <v>1</v>
      </c>
      <c r="J302" s="1">
        <v>0.99508359288796999</v>
      </c>
      <c r="K302" s="1">
        <v>1</v>
      </c>
      <c r="L302" s="1">
        <v>1</v>
      </c>
    </row>
    <row r="303" spans="1:12" x14ac:dyDescent="0.3">
      <c r="A303" t="s">
        <v>359</v>
      </c>
      <c r="B303" t="s">
        <v>527</v>
      </c>
      <c r="C303" t="s">
        <v>574</v>
      </c>
      <c r="D303" t="s">
        <v>575</v>
      </c>
      <c r="E303" s="2">
        <v>0.95062374955866702</v>
      </c>
      <c r="F303" s="2">
        <v>0.85313051665293604</v>
      </c>
      <c r="G303" s="2">
        <v>0.98252324349770503</v>
      </c>
      <c r="H303" s="2">
        <v>0.97477344945274802</v>
      </c>
      <c r="I303" s="1">
        <v>0.98252324349770503</v>
      </c>
      <c r="J303" s="1">
        <v>0.97530304813463498</v>
      </c>
      <c r="K303" s="1">
        <v>0.98252324349770503</v>
      </c>
      <c r="L303" s="1">
        <v>0.97535012357302497</v>
      </c>
    </row>
    <row r="304" spans="1:12" x14ac:dyDescent="0.3">
      <c r="A304" t="s">
        <v>359</v>
      </c>
      <c r="B304" t="s">
        <v>528</v>
      </c>
      <c r="C304" t="s">
        <v>574</v>
      </c>
      <c r="D304" t="s">
        <v>575</v>
      </c>
      <c r="E304" s="2">
        <v>0.99995170068027195</v>
      </c>
      <c r="F304" s="2">
        <v>0.99995170068027195</v>
      </c>
      <c r="G304" s="2">
        <v>0.72789047619047598</v>
      </c>
      <c r="H304" s="2">
        <v>0.77683673469387704</v>
      </c>
      <c r="I304" s="1">
        <v>0.94000884353741498</v>
      </c>
      <c r="J304" s="1">
        <v>1</v>
      </c>
      <c r="K304" s="1">
        <v>1</v>
      </c>
      <c r="L304" s="1">
        <v>1</v>
      </c>
    </row>
    <row r="305" spans="1:12" x14ac:dyDescent="0.3">
      <c r="A305" t="s">
        <v>359</v>
      </c>
      <c r="B305" t="s">
        <v>529</v>
      </c>
      <c r="C305" t="s">
        <v>574</v>
      </c>
      <c r="D305" t="s">
        <v>575</v>
      </c>
      <c r="E305" s="2">
        <v>0.5</v>
      </c>
      <c r="F305" s="2">
        <v>1</v>
      </c>
      <c r="G305" s="2">
        <v>0.5</v>
      </c>
      <c r="H305" s="2">
        <v>1</v>
      </c>
      <c r="I305" s="1">
        <v>0.5</v>
      </c>
      <c r="J305" s="1">
        <v>1</v>
      </c>
      <c r="K305" s="1">
        <v>0.5</v>
      </c>
      <c r="L305" s="1">
        <v>0.999999999999999</v>
      </c>
    </row>
    <row r="306" spans="1:12" x14ac:dyDescent="0.3">
      <c r="A306" t="s">
        <v>359</v>
      </c>
      <c r="B306" t="s">
        <v>768</v>
      </c>
      <c r="C306" t="s">
        <v>576</v>
      </c>
      <c r="D306" t="s">
        <v>577</v>
      </c>
      <c r="E306" s="2">
        <v>1</v>
      </c>
      <c r="F306" s="2">
        <v>0.76879831342234695</v>
      </c>
      <c r="G306" s="2">
        <v>0.77556219255094805</v>
      </c>
      <c r="H306" s="2">
        <v>0.82689739985945099</v>
      </c>
      <c r="I306" s="1">
        <v>0.82580815179198797</v>
      </c>
      <c r="J306" s="1">
        <v>0.82868938861560004</v>
      </c>
      <c r="K306" s="1">
        <v>0.82475404075895997</v>
      </c>
      <c r="L306" s="1">
        <v>0.81410751932536796</v>
      </c>
    </row>
    <row r="307" spans="1:12" x14ac:dyDescent="0.3">
      <c r="A307" t="s">
        <v>359</v>
      </c>
      <c r="B307" t="s">
        <v>530</v>
      </c>
      <c r="C307" t="s">
        <v>574</v>
      </c>
      <c r="D307" t="s">
        <v>575</v>
      </c>
      <c r="E307" s="2">
        <v>0.93416888402096099</v>
      </c>
      <c r="F307" s="2">
        <v>0.90697429853227995</v>
      </c>
      <c r="G307" s="2">
        <v>0.99233698229489697</v>
      </c>
      <c r="H307" s="2">
        <v>0.95904392841765196</v>
      </c>
      <c r="I307" s="1">
        <v>0.99234987965768395</v>
      </c>
      <c r="J307" s="1">
        <v>0.89631314003162799</v>
      </c>
      <c r="K307" s="1">
        <v>0.99237567438325802</v>
      </c>
      <c r="L307" s="1">
        <v>0.89618714271824795</v>
      </c>
    </row>
    <row r="308" spans="1:12" x14ac:dyDescent="0.3">
      <c r="A308" t="s">
        <v>359</v>
      </c>
      <c r="B308" t="s">
        <v>531</v>
      </c>
      <c r="C308" t="s">
        <v>574</v>
      </c>
      <c r="D308" t="s">
        <v>575</v>
      </c>
      <c r="E308" s="2">
        <v>0.76156307440942195</v>
      </c>
      <c r="F308" s="2">
        <v>0.81175028933215299</v>
      </c>
      <c r="G308" s="2">
        <v>0.79147661515419698</v>
      </c>
      <c r="H308" s="2">
        <v>0.85235210021104202</v>
      </c>
      <c r="I308" s="1">
        <v>0.855728776635577</v>
      </c>
      <c r="J308" s="1">
        <v>0.85570835318946104</v>
      </c>
      <c r="K308" s="1">
        <v>0.85549050309755503</v>
      </c>
      <c r="L308" s="1">
        <v>0.85444209953025996</v>
      </c>
    </row>
    <row r="309" spans="1:12" x14ac:dyDescent="0.3">
      <c r="A309" t="s">
        <v>359</v>
      </c>
      <c r="B309" t="s">
        <v>532</v>
      </c>
      <c r="C309" t="s">
        <v>574</v>
      </c>
      <c r="D309" t="s">
        <v>575</v>
      </c>
      <c r="E309" s="2">
        <v>0.95471356625747505</v>
      </c>
      <c r="F309" s="2">
        <v>0.97793712621970397</v>
      </c>
      <c r="G309" s="2">
        <v>0.990183349071451</v>
      </c>
      <c r="H309" s="2">
        <v>0.99665564998426104</v>
      </c>
      <c r="I309" s="1">
        <v>0.99401951526597399</v>
      </c>
      <c r="J309" s="1">
        <v>0.99666548630783702</v>
      </c>
      <c r="K309" s="1">
        <v>0.999999999999999</v>
      </c>
      <c r="L309" s="1">
        <v>0.99661630468995899</v>
      </c>
    </row>
    <row r="310" spans="1:12" x14ac:dyDescent="0.3">
      <c r="A310" t="s">
        <v>359</v>
      </c>
      <c r="B310" t="s">
        <v>769</v>
      </c>
      <c r="C310" t="s">
        <v>574</v>
      </c>
      <c r="D310" t="s">
        <v>575</v>
      </c>
      <c r="E310" s="2">
        <v>0.73123975761271298</v>
      </c>
      <c r="F310" s="2">
        <v>0.63887089192931601</v>
      </c>
      <c r="G310" s="2">
        <v>0.83511820826505001</v>
      </c>
      <c r="H310" s="2">
        <v>0.63925200401437998</v>
      </c>
      <c r="I310" s="1">
        <v>0.85033093232719703</v>
      </c>
      <c r="J310" s="1">
        <v>0.67381251826162003</v>
      </c>
      <c r="K310" s="1">
        <v>0.85110586023349399</v>
      </c>
      <c r="L310" s="1">
        <v>0.73108096091060304</v>
      </c>
    </row>
    <row r="311" spans="1:12" x14ac:dyDescent="0.3">
      <c r="A311" t="s">
        <v>359</v>
      </c>
      <c r="B311" t="s">
        <v>535</v>
      </c>
      <c r="C311" t="s">
        <v>574</v>
      </c>
      <c r="D311" t="s">
        <v>575</v>
      </c>
      <c r="E311" s="2">
        <v>0.72852260852373796</v>
      </c>
      <c r="F311" s="2">
        <v>0.84810348236224398</v>
      </c>
      <c r="G311" s="2">
        <v>0.90737424803004996</v>
      </c>
      <c r="H311" s="2">
        <v>0.90915355720620195</v>
      </c>
      <c r="I311" s="1">
        <v>0.90605812409975395</v>
      </c>
      <c r="J311" s="1">
        <v>0.91056853164628404</v>
      </c>
      <c r="K311" s="1">
        <v>0.905860423080181</v>
      </c>
      <c r="L311" s="1">
        <v>0.90769904256220502</v>
      </c>
    </row>
    <row r="312" spans="1:12" x14ac:dyDescent="0.3">
      <c r="A312" t="s">
        <v>359</v>
      </c>
      <c r="B312" t="s">
        <v>536</v>
      </c>
      <c r="C312" t="s">
        <v>576</v>
      </c>
      <c r="D312" t="s">
        <v>577</v>
      </c>
      <c r="E312" s="2">
        <v>0.92462834019275397</v>
      </c>
      <c r="F312" s="2">
        <v>0.93355421530815597</v>
      </c>
      <c r="G312" s="2">
        <v>0.98818367716718802</v>
      </c>
      <c r="H312" s="2">
        <v>0.98419744777780604</v>
      </c>
      <c r="I312" s="1">
        <v>1</v>
      </c>
      <c r="J312" s="1">
        <v>0.99959878860041895</v>
      </c>
      <c r="K312" s="1">
        <v>1</v>
      </c>
      <c r="L312" s="1">
        <v>0.98818367716718802</v>
      </c>
    </row>
    <row r="313" spans="1:12" x14ac:dyDescent="0.3">
      <c r="A313" t="s">
        <v>359</v>
      </c>
      <c r="B313" t="s">
        <v>537</v>
      </c>
      <c r="C313" t="s">
        <v>576</v>
      </c>
      <c r="D313" t="s">
        <v>577</v>
      </c>
      <c r="E313" s="2">
        <v>0.94406474094205295</v>
      </c>
      <c r="F313" s="2">
        <v>0.95778788327256503</v>
      </c>
      <c r="G313" s="2">
        <v>0.99858059655306897</v>
      </c>
      <c r="H313" s="2">
        <v>1</v>
      </c>
      <c r="I313" s="1">
        <v>0.99985200532780805</v>
      </c>
      <c r="J313" s="1">
        <v>1</v>
      </c>
      <c r="K313" s="1">
        <v>1</v>
      </c>
      <c r="L313" s="1">
        <v>1</v>
      </c>
    </row>
    <row r="314" spans="1:12" x14ac:dyDescent="0.3">
      <c r="A314" t="s">
        <v>359</v>
      </c>
      <c r="B314" t="s">
        <v>770</v>
      </c>
      <c r="C314" t="s">
        <v>574</v>
      </c>
      <c r="D314" t="s">
        <v>575</v>
      </c>
      <c r="E314" s="2">
        <v>0.84566898996817197</v>
      </c>
      <c r="F314" s="2">
        <v>0.81099270778776</v>
      </c>
      <c r="G314" s="2">
        <v>0.90688529873897095</v>
      </c>
      <c r="H314" s="2">
        <v>0.87341364167438795</v>
      </c>
      <c r="I314" s="1">
        <v>0.90949196245115005</v>
      </c>
      <c r="J314" s="1">
        <v>0.90840417388501604</v>
      </c>
      <c r="K314" s="1">
        <v>0.90949196245115005</v>
      </c>
      <c r="L314" s="1">
        <v>0.90840417388501604</v>
      </c>
    </row>
    <row r="315" spans="1:12" x14ac:dyDescent="0.3">
      <c r="A315" t="s">
        <v>359</v>
      </c>
      <c r="B315" t="s">
        <v>538</v>
      </c>
      <c r="C315" t="s">
        <v>574</v>
      </c>
      <c r="D315" t="s">
        <v>575</v>
      </c>
      <c r="E315" s="2">
        <v>0.80194617822801895</v>
      </c>
      <c r="F315" s="2">
        <v>0.79415525033072598</v>
      </c>
      <c r="G315" s="2">
        <v>0.88178210261828405</v>
      </c>
      <c r="H315" s="2">
        <v>0.836958741376708</v>
      </c>
      <c r="I315" s="1">
        <v>0.90949205813674705</v>
      </c>
      <c r="J315" s="1">
        <v>0.90759648764549705</v>
      </c>
      <c r="K315" s="1">
        <v>0.90920350525166205</v>
      </c>
      <c r="L315" s="1">
        <v>0.90884392396409497</v>
      </c>
    </row>
    <row r="316" spans="1:12" x14ac:dyDescent="0.3">
      <c r="A316" t="s">
        <v>359</v>
      </c>
      <c r="B316" t="s">
        <v>539</v>
      </c>
      <c r="C316" t="s">
        <v>574</v>
      </c>
      <c r="D316" t="s">
        <v>575</v>
      </c>
      <c r="E316" s="2">
        <v>0.55517939486237</v>
      </c>
      <c r="F316" s="2">
        <v>0.55073432032263903</v>
      </c>
      <c r="G316" s="2">
        <v>0.58696336723540099</v>
      </c>
      <c r="H316" s="2">
        <v>0.56110279369852001</v>
      </c>
      <c r="I316" s="1">
        <v>0.68333485438645003</v>
      </c>
      <c r="J316" s="1">
        <v>0.56426008196966804</v>
      </c>
      <c r="K316" s="1">
        <v>0.68318925128656705</v>
      </c>
      <c r="L316" s="1">
        <v>0.56864698493599997</v>
      </c>
    </row>
    <row r="317" spans="1:12" x14ac:dyDescent="0.3">
      <c r="A317" t="s">
        <v>359</v>
      </c>
      <c r="B317" t="s">
        <v>771</v>
      </c>
      <c r="C317" t="s">
        <v>576</v>
      </c>
      <c r="D317" t="s">
        <v>577</v>
      </c>
      <c r="E317" s="2">
        <v>0.96357421744866201</v>
      </c>
      <c r="F317" s="2">
        <v>0.98524179470436901</v>
      </c>
      <c r="G317" s="2">
        <v>0.99963354343509703</v>
      </c>
      <c r="H317" s="2">
        <v>0.99972682328798101</v>
      </c>
      <c r="I317" s="1">
        <v>1</v>
      </c>
      <c r="J317" s="1">
        <v>1</v>
      </c>
      <c r="K317" s="1">
        <v>1</v>
      </c>
      <c r="L317" s="1">
        <v>1</v>
      </c>
    </row>
    <row r="318" spans="1:12" x14ac:dyDescent="0.3">
      <c r="A318" t="s">
        <v>359</v>
      </c>
      <c r="B318" t="s">
        <v>772</v>
      </c>
      <c r="C318" t="s">
        <v>574</v>
      </c>
      <c r="D318" t="s">
        <v>575</v>
      </c>
      <c r="E318" s="2">
        <v>0.82206539922765398</v>
      </c>
      <c r="F318" s="2">
        <v>0.88206876065102102</v>
      </c>
      <c r="G318" s="2">
        <v>0.89922179140413605</v>
      </c>
      <c r="H318" s="2">
        <v>0.90320273291537001</v>
      </c>
      <c r="I318" s="1">
        <v>0.90727748159034405</v>
      </c>
      <c r="J318" s="1">
        <v>0.90743382686324403</v>
      </c>
      <c r="K318" s="1">
        <v>0.90744750707462296</v>
      </c>
      <c r="L318" s="1">
        <v>0.90747682181329203</v>
      </c>
    </row>
    <row r="319" spans="1:12" x14ac:dyDescent="0.3">
      <c r="A319" t="s">
        <v>359</v>
      </c>
      <c r="B319" t="s">
        <v>542</v>
      </c>
      <c r="C319" t="s">
        <v>574</v>
      </c>
      <c r="D319" t="s">
        <v>575</v>
      </c>
      <c r="E319" s="2">
        <v>0.76642400818034195</v>
      </c>
      <c r="F319" s="2">
        <v>0.79705807855755795</v>
      </c>
      <c r="G319" s="2">
        <v>0.82352692852519305</v>
      </c>
      <c r="H319" s="2">
        <v>0.82125200521590602</v>
      </c>
      <c r="I319" s="1">
        <v>0.82300158541047097</v>
      </c>
      <c r="J319" s="1">
        <v>0.82146308057450002</v>
      </c>
      <c r="K319" s="1">
        <v>0.82462921095340302</v>
      </c>
      <c r="L319" s="1">
        <v>0.82204940101503698</v>
      </c>
    </row>
    <row r="320" spans="1:12" x14ac:dyDescent="0.3">
      <c r="A320" t="s">
        <v>359</v>
      </c>
      <c r="B320" t="s">
        <v>544</v>
      </c>
      <c r="C320" t="s">
        <v>574</v>
      </c>
      <c r="D320" t="s">
        <v>575</v>
      </c>
      <c r="E320" s="2">
        <v>0.71639144495305296</v>
      </c>
      <c r="F320" s="2">
        <v>0.72117202268431002</v>
      </c>
      <c r="G320" s="2">
        <v>0.75768251339655301</v>
      </c>
      <c r="H320" s="2">
        <v>0.75768251339655301</v>
      </c>
      <c r="I320" s="1">
        <v>0.75774500460872596</v>
      </c>
      <c r="J320" s="1">
        <v>0.75776843881329103</v>
      </c>
      <c r="K320" s="1">
        <v>0.75776843881329103</v>
      </c>
      <c r="L320" s="1">
        <v>0.75776843881329103</v>
      </c>
    </row>
    <row r="321" spans="1:12" x14ac:dyDescent="0.3">
      <c r="A321" t="s">
        <v>359</v>
      </c>
      <c r="B321" t="s">
        <v>545</v>
      </c>
      <c r="C321" t="s">
        <v>574</v>
      </c>
      <c r="D321" t="s">
        <v>575</v>
      </c>
      <c r="E321" s="2">
        <v>0.66085518788889797</v>
      </c>
      <c r="F321" s="2">
        <v>0.70907668347123898</v>
      </c>
      <c r="G321" s="2">
        <v>0.76667232560027698</v>
      </c>
      <c r="H321" s="2">
        <v>0.76080794809527597</v>
      </c>
      <c r="I321" s="1">
        <v>0.83662412624834803</v>
      </c>
      <c r="J321" s="1">
        <v>0.84100118837605797</v>
      </c>
      <c r="K321" s="1">
        <v>0.84143668022350304</v>
      </c>
      <c r="L321" s="1">
        <v>0.84141453657024301</v>
      </c>
    </row>
    <row r="322" spans="1:12" x14ac:dyDescent="0.3">
      <c r="A322" t="s">
        <v>359</v>
      </c>
      <c r="B322" t="s">
        <v>546</v>
      </c>
      <c r="C322" t="s">
        <v>574</v>
      </c>
      <c r="D322" t="s">
        <v>575</v>
      </c>
      <c r="E322" s="2">
        <v>1</v>
      </c>
      <c r="F322" s="2">
        <v>1</v>
      </c>
      <c r="G322" s="2">
        <v>0.91231514289232096</v>
      </c>
      <c r="H322" s="2">
        <v>0.91242458650833802</v>
      </c>
      <c r="I322" s="1">
        <v>0.95779580557341604</v>
      </c>
      <c r="J322" s="1">
        <v>0.91242458650833802</v>
      </c>
      <c r="K322" s="1">
        <v>0.92246603827790397</v>
      </c>
      <c r="L322" s="1">
        <v>0.99099142235659399</v>
      </c>
    </row>
    <row r="323" spans="1:12" x14ac:dyDescent="0.3">
      <c r="A323" t="s">
        <v>359</v>
      </c>
      <c r="B323" t="s">
        <v>547</v>
      </c>
      <c r="C323" t="s">
        <v>574</v>
      </c>
      <c r="D323" t="s">
        <v>575</v>
      </c>
      <c r="E323" s="2">
        <v>0.76455351420636597</v>
      </c>
      <c r="F323" s="2">
        <v>0.96967350281278897</v>
      </c>
      <c r="G323" s="2">
        <v>0.98938973153884402</v>
      </c>
      <c r="H323" s="2">
        <v>0.99162394075339999</v>
      </c>
      <c r="I323" s="1">
        <v>0.99099195328633405</v>
      </c>
      <c r="J323" s="1">
        <v>0.99163284198532997</v>
      </c>
      <c r="K323" s="1">
        <v>0.99100975575019501</v>
      </c>
      <c r="L323" s="1">
        <v>0.99161503952146901</v>
      </c>
    </row>
    <row r="324" spans="1:12" x14ac:dyDescent="0.3">
      <c r="A324" t="s">
        <v>359</v>
      </c>
      <c r="B324" t="s">
        <v>548</v>
      </c>
      <c r="C324" t="s">
        <v>574</v>
      </c>
      <c r="D324" t="s">
        <v>575</v>
      </c>
      <c r="E324" s="2">
        <v>0.80020714285714201</v>
      </c>
      <c r="F324" s="2">
        <v>0.80731428571428498</v>
      </c>
      <c r="G324" s="2">
        <v>0.84859857142857098</v>
      </c>
      <c r="H324" s="2">
        <v>0.81660999999999995</v>
      </c>
      <c r="I324" s="1">
        <v>0.85811285714285701</v>
      </c>
      <c r="J324" s="1">
        <v>0.81987285714285696</v>
      </c>
      <c r="K324" s="1">
        <v>0.85813428571428496</v>
      </c>
      <c r="L324" s="1">
        <v>0.82234285714285704</v>
      </c>
    </row>
    <row r="325" spans="1:12" x14ac:dyDescent="0.3">
      <c r="A325" t="s">
        <v>359</v>
      </c>
      <c r="B325" t="s">
        <v>550</v>
      </c>
      <c r="C325" t="s">
        <v>574</v>
      </c>
      <c r="D325" t="s">
        <v>575</v>
      </c>
      <c r="E325" s="2">
        <v>0.78347427310420903</v>
      </c>
      <c r="F325" s="2">
        <v>0.77128535347004901</v>
      </c>
      <c r="G325" s="2">
        <v>0.88832570448335002</v>
      </c>
      <c r="H325" s="2">
        <v>0.95329592179782197</v>
      </c>
      <c r="I325" s="1">
        <v>0.88832570448335002</v>
      </c>
      <c r="J325" s="1">
        <v>0.95678278034946096</v>
      </c>
      <c r="K325" s="1">
        <v>0.88833432465282203</v>
      </c>
      <c r="L325" s="1">
        <v>0.95678278034946096</v>
      </c>
    </row>
    <row r="326" spans="1:12" x14ac:dyDescent="0.3">
      <c r="A326" t="s">
        <v>359</v>
      </c>
      <c r="B326" t="s">
        <v>775</v>
      </c>
      <c r="C326" t="s">
        <v>574</v>
      </c>
      <c r="D326" t="s">
        <v>575</v>
      </c>
      <c r="E326" s="2">
        <v>0.94723175872408805</v>
      </c>
      <c r="F326" s="2">
        <v>0.96859110860023401</v>
      </c>
      <c r="G326" s="2">
        <v>0.99073269305984102</v>
      </c>
      <c r="H326" s="2">
        <v>0.986517317804528</v>
      </c>
      <c r="I326" s="1">
        <v>0.99099343792099404</v>
      </c>
      <c r="J326" s="1">
        <v>0.987647212202859</v>
      </c>
      <c r="K326" s="1">
        <v>0.99124331841293301</v>
      </c>
      <c r="L326" s="1">
        <v>0.99204728173482204</v>
      </c>
    </row>
    <row r="327" spans="1:12" x14ac:dyDescent="0.3">
      <c r="A327" t="s">
        <v>359</v>
      </c>
      <c r="B327" t="s">
        <v>551</v>
      </c>
      <c r="C327" t="s">
        <v>574</v>
      </c>
      <c r="D327" t="s">
        <v>575</v>
      </c>
      <c r="E327" s="2">
        <v>0.79010496249912598</v>
      </c>
      <c r="F327" s="2">
        <v>0.76765936623023801</v>
      </c>
      <c r="G327" s="2">
        <v>0.89744934136281396</v>
      </c>
      <c r="H327" s="2">
        <v>0.88432153878419195</v>
      </c>
      <c r="I327" s="1">
        <v>0.89907720885639797</v>
      </c>
      <c r="J327" s="1">
        <v>0.89594131687489298</v>
      </c>
      <c r="K327" s="1">
        <v>0.90071506326712003</v>
      </c>
      <c r="L327" s="1">
        <v>0.89648061040037497</v>
      </c>
    </row>
    <row r="328" spans="1:12" x14ac:dyDescent="0.3">
      <c r="A328" t="s">
        <v>359</v>
      </c>
      <c r="B328" t="s">
        <v>552</v>
      </c>
      <c r="C328" t="s">
        <v>574</v>
      </c>
      <c r="D328" t="s">
        <v>575</v>
      </c>
      <c r="E328" s="2">
        <v>0.74370953084175795</v>
      </c>
      <c r="F328" s="2">
        <v>0.75085198227876804</v>
      </c>
      <c r="G328" s="2">
        <v>0.88658695899125295</v>
      </c>
      <c r="H328" s="2">
        <v>0.90061626718164201</v>
      </c>
      <c r="I328" s="1">
        <v>0.89350931500624697</v>
      </c>
      <c r="J328" s="1">
        <v>0.90061626718164201</v>
      </c>
      <c r="K328" s="1">
        <v>0.89706634102010596</v>
      </c>
      <c r="L328" s="1">
        <v>0.88901510848574306</v>
      </c>
    </row>
    <row r="329" spans="1:12" x14ac:dyDescent="0.3">
      <c r="A329" t="s">
        <v>359</v>
      </c>
      <c r="B329" t="s">
        <v>553</v>
      </c>
      <c r="C329" t="s">
        <v>574</v>
      </c>
      <c r="D329" t="s">
        <v>575</v>
      </c>
      <c r="E329" s="2">
        <v>0.74872610077958202</v>
      </c>
      <c r="F329" s="2">
        <v>0.75598841513871295</v>
      </c>
      <c r="G329" s="2">
        <v>0.818164496319846</v>
      </c>
      <c r="H329" s="2">
        <v>0.99347807151256395</v>
      </c>
      <c r="I329" s="1">
        <v>0.81954727581551301</v>
      </c>
      <c r="J329" s="1">
        <v>0.99357061974652605</v>
      </c>
      <c r="K329" s="1">
        <v>0.81997735290274798</v>
      </c>
      <c r="L329" s="1">
        <v>0.99357061974652605</v>
      </c>
    </row>
    <row r="330" spans="1:12" x14ac:dyDescent="0.3">
      <c r="A330" t="s">
        <v>359</v>
      </c>
      <c r="B330" t="s">
        <v>554</v>
      </c>
      <c r="C330" t="s">
        <v>574</v>
      </c>
      <c r="D330" t="s">
        <v>575</v>
      </c>
      <c r="E330" s="2">
        <v>0.843950634729974</v>
      </c>
      <c r="F330" s="2">
        <v>0.79092300807838101</v>
      </c>
      <c r="G330" s="2">
        <v>0.92408676605666595</v>
      </c>
      <c r="H330" s="2">
        <v>0.87805412280081896</v>
      </c>
      <c r="I330" s="1">
        <v>0.97912574483619497</v>
      </c>
      <c r="J330" s="1">
        <v>0.88305895098801201</v>
      </c>
      <c r="K330" s="1">
        <v>0.96470006359075799</v>
      </c>
      <c r="L330" s="1">
        <v>0.89344073105819699</v>
      </c>
    </row>
    <row r="331" spans="1:12" x14ac:dyDescent="0.3">
      <c r="A331" t="s">
        <v>359</v>
      </c>
      <c r="B331" t="s">
        <v>555</v>
      </c>
      <c r="C331" t="s">
        <v>574</v>
      </c>
      <c r="D331" t="s">
        <v>575</v>
      </c>
      <c r="E331" s="2">
        <v>0.68518126376418698</v>
      </c>
      <c r="F331" s="2">
        <v>0.84153184821277305</v>
      </c>
      <c r="G331" s="2">
        <v>0.84900686091817701</v>
      </c>
      <c r="H331" s="2">
        <v>0.86847789259698405</v>
      </c>
      <c r="I331" s="1">
        <v>0.85038327968829397</v>
      </c>
      <c r="J331" s="1">
        <v>0.89864263933593003</v>
      </c>
      <c r="K331" s="1">
        <v>0.851103252583432</v>
      </c>
      <c r="L331" s="1">
        <v>0.90089784855158395</v>
      </c>
    </row>
    <row r="332" spans="1:12" x14ac:dyDescent="0.3">
      <c r="A332" t="s">
        <v>359</v>
      </c>
      <c r="B332" t="s">
        <v>556</v>
      </c>
      <c r="C332" t="s">
        <v>574</v>
      </c>
      <c r="D332" t="s">
        <v>575</v>
      </c>
      <c r="E332" s="2">
        <v>0.94674608676027205</v>
      </c>
      <c r="F332" s="2">
        <v>0.95967468927828703</v>
      </c>
      <c r="G332" s="2">
        <v>0.95539470926764702</v>
      </c>
      <c r="H332" s="2">
        <v>0.97519062434510595</v>
      </c>
      <c r="I332" s="1">
        <v>0.98066351780503902</v>
      </c>
      <c r="J332" s="1">
        <v>0.97687521158093205</v>
      </c>
      <c r="K332" s="1">
        <v>0.98079248142117803</v>
      </c>
      <c r="L332" s="1">
        <v>0.97797140231812096</v>
      </c>
    </row>
    <row r="333" spans="1:12" x14ac:dyDescent="0.3">
      <c r="A333" t="s">
        <v>359</v>
      </c>
      <c r="B333" t="s">
        <v>557</v>
      </c>
      <c r="C333" t="s">
        <v>576</v>
      </c>
      <c r="D333" t="s">
        <v>577</v>
      </c>
      <c r="E333" s="2">
        <v>0.69690384416287698</v>
      </c>
      <c r="F333" s="2">
        <v>0.85977406484187702</v>
      </c>
      <c r="G333" s="2">
        <v>0.78963919660420301</v>
      </c>
      <c r="H333" s="2">
        <v>0.91891281148709403</v>
      </c>
      <c r="I333" s="1">
        <v>0.90965679676985101</v>
      </c>
      <c r="J333" s="1">
        <v>0.92490662355555198</v>
      </c>
      <c r="K333" s="1">
        <v>0.90878475236328005</v>
      </c>
      <c r="L333" s="1">
        <v>0.92490662355555198</v>
      </c>
    </row>
    <row r="334" spans="1:12" x14ac:dyDescent="0.3">
      <c r="A334" t="s">
        <v>359</v>
      </c>
      <c r="B334" t="s">
        <v>558</v>
      </c>
      <c r="C334" t="s">
        <v>576</v>
      </c>
      <c r="D334" t="s">
        <v>14</v>
      </c>
      <c r="E334" s="2">
        <v>0.71678107795826795</v>
      </c>
      <c r="F334" s="2">
        <v>0.76968497247332202</v>
      </c>
      <c r="G334" s="2">
        <v>0.82781383810235798</v>
      </c>
      <c r="H334" s="2">
        <v>0.85798273635560396</v>
      </c>
      <c r="I334" s="1">
        <v>0.82653095901583595</v>
      </c>
      <c r="J334" s="1">
        <v>0.907394820906681</v>
      </c>
      <c r="K334" s="1">
        <v>0.88454937810099898</v>
      </c>
      <c r="L334" s="1">
        <v>0.920436008971657</v>
      </c>
    </row>
    <row r="335" spans="1:12" x14ac:dyDescent="0.3">
      <c r="A335" t="s">
        <v>359</v>
      </c>
      <c r="B335" t="s">
        <v>776</v>
      </c>
      <c r="C335" t="s">
        <v>576</v>
      </c>
      <c r="D335" t="s">
        <v>14</v>
      </c>
      <c r="E335" s="2">
        <v>0.94776906662830496</v>
      </c>
      <c r="F335" s="2">
        <v>0.99150063535447897</v>
      </c>
      <c r="G335" s="2">
        <v>0.98999016998729195</v>
      </c>
      <c r="H335" s="2">
        <v>0.99389819942937896</v>
      </c>
      <c r="I335" s="1">
        <v>0.99422187057949096</v>
      </c>
      <c r="J335" s="1">
        <v>0.99406602891462204</v>
      </c>
      <c r="K335" s="1">
        <v>0.99422187057949096</v>
      </c>
      <c r="L335" s="1">
        <v>0.994054041094248</v>
      </c>
    </row>
    <row r="336" spans="1:12" x14ac:dyDescent="0.3">
      <c r="A336" t="s">
        <v>359</v>
      </c>
      <c r="B336" t="s">
        <v>777</v>
      </c>
      <c r="C336" t="s">
        <v>574</v>
      </c>
      <c r="D336" t="s">
        <v>575</v>
      </c>
      <c r="E336" s="2">
        <v>0.67089327441156099</v>
      </c>
      <c r="F336" s="2">
        <v>0.66304413335575696</v>
      </c>
      <c r="G336" s="2">
        <v>0.75600735737692104</v>
      </c>
      <c r="H336" s="2">
        <v>0.71657108811460402</v>
      </c>
      <c r="I336" s="1">
        <v>0.86982026142852897</v>
      </c>
      <c r="J336" s="1">
        <v>0.81208353590323001</v>
      </c>
      <c r="K336" s="1">
        <v>0.90447980337470402</v>
      </c>
      <c r="L336" s="1">
        <v>0.88442954499405002</v>
      </c>
    </row>
    <row r="337" spans="1:12" x14ac:dyDescent="0.3">
      <c r="A337" t="s">
        <v>359</v>
      </c>
      <c r="B337" t="s">
        <v>778</v>
      </c>
      <c r="C337" t="s">
        <v>576</v>
      </c>
      <c r="D337" t="s">
        <v>577</v>
      </c>
      <c r="E337" s="2">
        <v>0.87385627118644005</v>
      </c>
      <c r="F337" s="2">
        <v>0.951166101694915</v>
      </c>
      <c r="G337" s="2">
        <v>0.97226847457627097</v>
      </c>
      <c r="H337" s="2">
        <v>0.99837288135593205</v>
      </c>
      <c r="I337" s="1">
        <v>1</v>
      </c>
      <c r="J337" s="1">
        <v>1</v>
      </c>
      <c r="K337" s="1">
        <v>1</v>
      </c>
      <c r="L337" s="1">
        <v>1</v>
      </c>
    </row>
    <row r="338" spans="1:12" x14ac:dyDescent="0.3">
      <c r="A338" t="s">
        <v>359</v>
      </c>
      <c r="B338" t="s">
        <v>559</v>
      </c>
      <c r="C338" t="s">
        <v>574</v>
      </c>
      <c r="D338" t="s">
        <v>575</v>
      </c>
      <c r="E338" s="2">
        <v>0.81305789350395896</v>
      </c>
      <c r="F338" s="2">
        <v>0.81600229271009095</v>
      </c>
      <c r="G338" s="2">
        <v>0.85432924930047405</v>
      </c>
      <c r="H338" s="2">
        <v>0.85623111753313996</v>
      </c>
      <c r="I338" s="1">
        <v>0.98934988111714695</v>
      </c>
      <c r="J338" s="1">
        <v>0.85948741798112804</v>
      </c>
      <c r="K338" s="1">
        <v>0.98934730696659501</v>
      </c>
      <c r="L338" s="1">
        <v>0.85996964218449201</v>
      </c>
    </row>
    <row r="339" spans="1:12" x14ac:dyDescent="0.3">
      <c r="A339" t="s">
        <v>359</v>
      </c>
      <c r="B339" t="s">
        <v>779</v>
      </c>
      <c r="C339" t="s">
        <v>574</v>
      </c>
      <c r="D339" t="s">
        <v>575</v>
      </c>
      <c r="E339" s="2">
        <v>0.82694839722489499</v>
      </c>
      <c r="F339" s="2">
        <v>0.83524586013065205</v>
      </c>
      <c r="G339" s="2">
        <v>0.84547526206512302</v>
      </c>
      <c r="H339" s="2">
        <v>0.84300653263786895</v>
      </c>
      <c r="I339" s="1">
        <v>0.84458651947131202</v>
      </c>
      <c r="J339" s="1">
        <v>0.84690839114802197</v>
      </c>
      <c r="K339" s="1">
        <v>0.84496632399858196</v>
      </c>
      <c r="L339" s="1">
        <v>0.84491821542512702</v>
      </c>
    </row>
    <row r="340" spans="1:12" x14ac:dyDescent="0.3">
      <c r="A340" t="s">
        <v>359</v>
      </c>
      <c r="B340" t="s">
        <v>780</v>
      </c>
      <c r="C340" t="s">
        <v>574</v>
      </c>
      <c r="D340" t="s">
        <v>575</v>
      </c>
      <c r="E340" s="2">
        <v>0.97321780228436305</v>
      </c>
      <c r="F340" s="2">
        <v>0.97206064729069397</v>
      </c>
      <c r="G340" s="2">
        <v>0.99634299961916395</v>
      </c>
      <c r="H340" s="2">
        <v>0.99749038959178904</v>
      </c>
      <c r="I340" s="1">
        <v>0.99863289705389302</v>
      </c>
      <c r="J340" s="1">
        <v>0.99780612527220003</v>
      </c>
      <c r="K340" s="1">
        <v>0.99862313203284903</v>
      </c>
      <c r="L340" s="1">
        <v>0.99822113866655304</v>
      </c>
    </row>
    <row r="341" spans="1:12" x14ac:dyDescent="0.3">
      <c r="A341" t="s">
        <v>359</v>
      </c>
      <c r="B341" t="s">
        <v>560</v>
      </c>
      <c r="C341" t="s">
        <v>574</v>
      </c>
      <c r="D341" t="s">
        <v>575</v>
      </c>
      <c r="E341" s="2">
        <v>0.77663836751122695</v>
      </c>
      <c r="F341" s="2">
        <v>0.85746705787645106</v>
      </c>
      <c r="G341" s="2">
        <v>0.87076571900686295</v>
      </c>
      <c r="H341" s="2">
        <v>0.879566615117363</v>
      </c>
      <c r="I341" s="1">
        <v>0.879664594102194</v>
      </c>
      <c r="J341" s="1">
        <v>0.88063908778916999</v>
      </c>
      <c r="K341" s="1">
        <v>0.88027497669689003</v>
      </c>
      <c r="L341" s="1">
        <v>0.88107866918057698</v>
      </c>
    </row>
    <row r="342" spans="1:12" x14ac:dyDescent="0.3">
      <c r="A342" t="s">
        <v>359</v>
      </c>
      <c r="B342" t="s">
        <v>561</v>
      </c>
      <c r="C342" t="s">
        <v>574</v>
      </c>
      <c r="D342" t="s">
        <v>575</v>
      </c>
      <c r="E342" s="2">
        <v>0.912274992720982</v>
      </c>
      <c r="F342" s="2">
        <v>0.90920067823316797</v>
      </c>
      <c r="G342" s="2">
        <v>0.95493859934574399</v>
      </c>
      <c r="H342" s="2">
        <v>0.99788480312398298</v>
      </c>
      <c r="I342" s="1">
        <v>0.95596622535838405</v>
      </c>
      <c r="J342" s="1">
        <v>0.998818230085464</v>
      </c>
      <c r="K342" s="1">
        <v>0.95383390138215696</v>
      </c>
      <c r="L342" s="1">
        <v>0.96193501978179996</v>
      </c>
    </row>
    <row r="343" spans="1:12" x14ac:dyDescent="0.3">
      <c r="A343" t="s">
        <v>359</v>
      </c>
      <c r="B343" t="s">
        <v>781</v>
      </c>
      <c r="C343" t="s">
        <v>574</v>
      </c>
      <c r="D343" t="s">
        <v>575</v>
      </c>
      <c r="E343" s="2">
        <v>0.69315256564269701</v>
      </c>
      <c r="F343" s="2">
        <v>0.77158057319375295</v>
      </c>
      <c r="G343" s="2">
        <v>0.81264556620657502</v>
      </c>
      <c r="H343" s="2">
        <v>0.82686508617519405</v>
      </c>
      <c r="I343" s="1">
        <v>0.82561474907450505</v>
      </c>
      <c r="J343" s="1">
        <v>0.86725587781019298</v>
      </c>
      <c r="K343" s="1">
        <v>0.82484248204172606</v>
      </c>
      <c r="L343" s="1">
        <v>0.90472921621025204</v>
      </c>
    </row>
    <row r="344" spans="1:12" x14ac:dyDescent="0.3">
      <c r="A344" t="s">
        <v>359</v>
      </c>
      <c r="B344" t="s">
        <v>782</v>
      </c>
      <c r="C344" t="s">
        <v>574</v>
      </c>
      <c r="D344" t="s">
        <v>575</v>
      </c>
      <c r="E344" s="2">
        <v>0.82639298601868705</v>
      </c>
      <c r="F344" s="2">
        <v>0.871568129742189</v>
      </c>
      <c r="G344" s="2">
        <v>0.933050231192459</v>
      </c>
      <c r="H344" s="2">
        <v>0.93200060370731097</v>
      </c>
      <c r="I344" s="1">
        <v>0.93483391188617304</v>
      </c>
      <c r="J344" s="1">
        <v>0.93283070126092504</v>
      </c>
      <c r="K344" s="1">
        <v>0.93582179657807696</v>
      </c>
      <c r="L344" s="1">
        <v>0.89417285237984101</v>
      </c>
    </row>
    <row r="345" spans="1:12" x14ac:dyDescent="0.3">
      <c r="A345" t="s">
        <v>359</v>
      </c>
      <c r="B345" t="s">
        <v>783</v>
      </c>
      <c r="C345" t="s">
        <v>574</v>
      </c>
      <c r="D345" t="s">
        <v>575</v>
      </c>
      <c r="E345" s="2">
        <v>0.85882251418462596</v>
      </c>
      <c r="F345" s="2">
        <v>0.87877807261665897</v>
      </c>
      <c r="G345" s="2">
        <v>0.965439130153388</v>
      </c>
      <c r="H345" s="2">
        <v>0.98600953552089299</v>
      </c>
      <c r="I345" s="1">
        <v>0.99123034107824703</v>
      </c>
      <c r="J345" s="1">
        <v>0.98934265311846004</v>
      </c>
      <c r="K345" s="1">
        <v>0.99286993290617598</v>
      </c>
      <c r="L345" s="1">
        <v>0.99004379436066703</v>
      </c>
    </row>
    <row r="346" spans="1:12" x14ac:dyDescent="0.3">
      <c r="A346" t="s">
        <v>359</v>
      </c>
      <c r="B346" t="s">
        <v>723</v>
      </c>
      <c r="C346" t="s">
        <v>576</v>
      </c>
      <c r="D346" t="s">
        <v>14</v>
      </c>
      <c r="E346" s="2">
        <v>1</v>
      </c>
      <c r="F346" s="2">
        <v>1</v>
      </c>
      <c r="G346" s="2">
        <v>0.99170490645958298</v>
      </c>
      <c r="H346" s="2">
        <v>0.99226379574067503</v>
      </c>
      <c r="I346" s="1">
        <v>0.99350904027924802</v>
      </c>
      <c r="J346" s="1">
        <v>0.99249911754324005</v>
      </c>
      <c r="K346" s="1">
        <v>0.99508765737145499</v>
      </c>
      <c r="L346" s="1">
        <v>0.99468564929207304</v>
      </c>
    </row>
    <row r="347" spans="1:12" x14ac:dyDescent="0.3">
      <c r="A347" t="s">
        <v>359</v>
      </c>
      <c r="B347" t="s">
        <v>785</v>
      </c>
      <c r="C347" t="s">
        <v>576</v>
      </c>
      <c r="D347" t="s">
        <v>14</v>
      </c>
      <c r="E347" s="2">
        <v>0.73027588527209997</v>
      </c>
      <c r="F347" s="2">
        <v>0.73122914739114497</v>
      </c>
      <c r="G347" s="2">
        <v>0.76685731909047505</v>
      </c>
      <c r="H347" s="2">
        <v>0.74148372445117305</v>
      </c>
      <c r="I347" s="1">
        <v>0.754647152830347</v>
      </c>
      <c r="J347" s="1">
        <v>0.82953430341772505</v>
      </c>
      <c r="K347" s="1">
        <v>0.77264698460762005</v>
      </c>
      <c r="L347" s="1">
        <v>0.84114868085344896</v>
      </c>
    </row>
    <row r="348" spans="1:12" x14ac:dyDescent="0.3">
      <c r="A348" t="s">
        <v>359</v>
      </c>
      <c r="B348" t="s">
        <v>786</v>
      </c>
      <c r="C348" t="s">
        <v>574</v>
      </c>
      <c r="D348" t="s">
        <v>575</v>
      </c>
      <c r="E348" s="2">
        <v>0.87877737045477</v>
      </c>
      <c r="F348" s="2">
        <v>0.86683840285346203</v>
      </c>
      <c r="G348" s="2">
        <v>0.96183493510353701</v>
      </c>
      <c r="H348" s="2">
        <v>0.92843554939066597</v>
      </c>
      <c r="I348" s="1">
        <v>0.99997027642920799</v>
      </c>
      <c r="J348" s="1">
        <v>0.93392450213018896</v>
      </c>
      <c r="K348" s="1">
        <v>1</v>
      </c>
      <c r="L348" s="1">
        <v>0.943673833349846</v>
      </c>
    </row>
    <row r="349" spans="1:12" x14ac:dyDescent="0.3">
      <c r="A349" t="s">
        <v>359</v>
      </c>
      <c r="B349" t="s">
        <v>787</v>
      </c>
      <c r="C349" t="s">
        <v>574</v>
      </c>
      <c r="D349" t="s">
        <v>575</v>
      </c>
      <c r="E349" s="2">
        <v>0.79802604627711804</v>
      </c>
      <c r="F349" s="2">
        <v>0.753176287918503</v>
      </c>
      <c r="G349" s="2">
        <v>0.900160712290622</v>
      </c>
      <c r="H349" s="2">
        <v>0.87137645350086301</v>
      </c>
      <c r="I349" s="1">
        <v>0.95564011332937904</v>
      </c>
      <c r="J349" s="1">
        <v>0.90787046188311205</v>
      </c>
      <c r="K349" s="1">
        <v>0.95573321759756602</v>
      </c>
      <c r="L349" s="1">
        <v>0.91037066957724899</v>
      </c>
    </row>
    <row r="350" spans="1:12" x14ac:dyDescent="0.3">
      <c r="A350" t="s">
        <v>359</v>
      </c>
      <c r="B350" t="s">
        <v>788</v>
      </c>
      <c r="C350" t="s">
        <v>574</v>
      </c>
      <c r="D350" t="s">
        <v>575</v>
      </c>
      <c r="E350" s="2">
        <v>0.94831195275911195</v>
      </c>
      <c r="F350" s="2">
        <v>0.89258195886784697</v>
      </c>
      <c r="G350" s="2">
        <v>0.99027896558745598</v>
      </c>
      <c r="H350" s="2">
        <v>0.98590103848503297</v>
      </c>
      <c r="I350" s="1">
        <v>0.99095296273671296</v>
      </c>
      <c r="J350" s="1">
        <v>0.98663815923437104</v>
      </c>
      <c r="K350" s="1">
        <v>0.99139482793728295</v>
      </c>
      <c r="L350" s="1">
        <v>0.98827530034616096</v>
      </c>
    </row>
    <row r="351" spans="1:12" x14ac:dyDescent="0.3">
      <c r="A351" t="s">
        <v>359</v>
      </c>
      <c r="B351" t="s">
        <v>789</v>
      </c>
      <c r="C351" t="s">
        <v>574</v>
      </c>
      <c r="D351" t="s">
        <v>575</v>
      </c>
      <c r="E351" s="2">
        <v>0.56426824249434004</v>
      </c>
      <c r="F351" s="2">
        <v>0.552327738644803</v>
      </c>
      <c r="G351" s="2">
        <v>0.60042566167550004</v>
      </c>
      <c r="H351" s="2">
        <v>0.59782088857098103</v>
      </c>
      <c r="I351" s="1">
        <v>0.64854323887618603</v>
      </c>
      <c r="J351" s="1">
        <v>0.59815381829898495</v>
      </c>
      <c r="K351" s="1">
        <v>0.64930320011578002</v>
      </c>
      <c r="L351" s="1">
        <v>0.59979315475038297</v>
      </c>
    </row>
    <row r="352" spans="1:12" x14ac:dyDescent="0.3">
      <c r="A352" t="s">
        <v>359</v>
      </c>
      <c r="B352" t="s">
        <v>790</v>
      </c>
      <c r="C352" t="s">
        <v>574</v>
      </c>
      <c r="D352" t="s">
        <v>575</v>
      </c>
      <c r="E352" s="2">
        <v>0.87934321644320301</v>
      </c>
      <c r="F352" s="2">
        <v>0.88032843049014797</v>
      </c>
      <c r="G352" s="2">
        <v>0.90245800258981601</v>
      </c>
      <c r="H352" s="2">
        <v>0.88028100859594405</v>
      </c>
      <c r="I352" s="1">
        <v>0.91376280149194999</v>
      </c>
      <c r="J352" s="1">
        <v>0.90203314112949196</v>
      </c>
      <c r="K352" s="1">
        <v>0.913854741899082</v>
      </c>
      <c r="L352" s="1">
        <v>0.98128770766434503</v>
      </c>
    </row>
    <row r="353" spans="1:12" x14ac:dyDescent="0.3">
      <c r="A353" t="s">
        <v>359</v>
      </c>
      <c r="B353" t="s">
        <v>562</v>
      </c>
      <c r="C353" t="s">
        <v>574</v>
      </c>
      <c r="D353" t="s">
        <v>575</v>
      </c>
      <c r="E353" s="2">
        <v>0.82923982602111701</v>
      </c>
      <c r="F353" s="2">
        <v>0.78265506807450003</v>
      </c>
      <c r="G353" s="2">
        <v>0.92983727915807701</v>
      </c>
      <c r="H353" s="2">
        <v>0.85846912690396104</v>
      </c>
      <c r="I353" s="1">
        <v>0.93897541360762604</v>
      </c>
      <c r="J353" s="1">
        <v>0.93085342339765798</v>
      </c>
      <c r="K353" s="1">
        <v>0.93924570577113697</v>
      </c>
      <c r="L353" s="1">
        <v>0.93606997949526705</v>
      </c>
    </row>
    <row r="354" spans="1:12" x14ac:dyDescent="0.3">
      <c r="A354" t="s">
        <v>359</v>
      </c>
      <c r="B354" t="s">
        <v>791</v>
      </c>
      <c r="C354" t="s">
        <v>576</v>
      </c>
      <c r="D354" t="s">
        <v>577</v>
      </c>
      <c r="E354" s="2">
        <v>0.78126400424641296</v>
      </c>
      <c r="F354" s="2">
        <v>0.88205542092141898</v>
      </c>
      <c r="G354" s="2">
        <v>0.90753988626920301</v>
      </c>
      <c r="H354" s="2">
        <v>0.98438105037830403</v>
      </c>
      <c r="I354" s="1">
        <v>0.99756625232225704</v>
      </c>
      <c r="J354" s="1">
        <v>1</v>
      </c>
      <c r="K354" s="1">
        <v>0.99881983632163096</v>
      </c>
      <c r="L354" s="1">
        <v>1</v>
      </c>
    </row>
    <row r="355" spans="1:12" x14ac:dyDescent="0.3">
      <c r="A355" t="s">
        <v>359</v>
      </c>
      <c r="B355" t="s">
        <v>566</v>
      </c>
      <c r="C355" t="s">
        <v>576</v>
      </c>
      <c r="D355" t="s">
        <v>577</v>
      </c>
      <c r="E355" s="2">
        <v>0.594801218659474</v>
      </c>
      <c r="F355" s="2">
        <v>0.73104834681849895</v>
      </c>
      <c r="G355" s="2">
        <v>0.64059534512036698</v>
      </c>
      <c r="H355" s="2">
        <v>0.85443512136649602</v>
      </c>
      <c r="I355" s="1">
        <v>0.70477324942563102</v>
      </c>
      <c r="J355" s="1">
        <v>0.89464888622515204</v>
      </c>
      <c r="K355" s="1">
        <v>0.78705923484167395</v>
      </c>
      <c r="L355" s="1">
        <v>0.89508091099790199</v>
      </c>
    </row>
    <row r="356" spans="1:12" x14ac:dyDescent="0.3">
      <c r="A356" t="s">
        <v>359</v>
      </c>
      <c r="B356" t="s">
        <v>792</v>
      </c>
      <c r="C356" t="s">
        <v>574</v>
      </c>
      <c r="D356" t="s">
        <v>575</v>
      </c>
      <c r="E356" s="2">
        <v>0.81583837522613301</v>
      </c>
      <c r="F356" s="2">
        <v>0.82263149456823703</v>
      </c>
      <c r="G356" s="2">
        <v>0.89159884933712996</v>
      </c>
      <c r="H356" s="2">
        <v>0.87889163984033503</v>
      </c>
      <c r="I356" s="1">
        <v>0.91214034953479695</v>
      </c>
      <c r="J356" s="1">
        <v>0.91634784779040301</v>
      </c>
      <c r="K356" s="1">
        <v>0.93680417780255398</v>
      </c>
      <c r="L356" s="1">
        <v>0.92065417989764997</v>
      </c>
    </row>
    <row r="357" spans="1:12" x14ac:dyDescent="0.3">
      <c r="A357" t="s">
        <v>359</v>
      </c>
      <c r="B357" t="s">
        <v>793</v>
      </c>
      <c r="C357" t="s">
        <v>574</v>
      </c>
      <c r="D357" t="s">
        <v>575</v>
      </c>
      <c r="E357" s="2">
        <v>0.67586743819304496</v>
      </c>
      <c r="F357" s="2">
        <v>0.77470068917103996</v>
      </c>
      <c r="G357" s="2">
        <v>0.72345409488579504</v>
      </c>
      <c r="H357" s="2">
        <v>0.89860211667739098</v>
      </c>
      <c r="I357" s="1">
        <v>0.91070586199900605</v>
      </c>
      <c r="J357" s="1">
        <v>0.91176071563261896</v>
      </c>
      <c r="K357" s="1">
        <v>0.91123857864229396</v>
      </c>
      <c r="L357" s="1">
        <v>0.91171964168582398</v>
      </c>
    </row>
    <row r="358" spans="1:12" x14ac:dyDescent="0.3">
      <c r="A358" t="s">
        <v>359</v>
      </c>
      <c r="B358" t="s">
        <v>794</v>
      </c>
      <c r="C358" t="s">
        <v>576</v>
      </c>
      <c r="D358" t="s">
        <v>577</v>
      </c>
      <c r="E358" s="2">
        <v>0.59820820617158299</v>
      </c>
      <c r="F358" s="2">
        <v>0.81127975584944001</v>
      </c>
      <c r="G358" s="2">
        <v>0.68112987453373997</v>
      </c>
      <c r="H358" s="2">
        <v>0.97487555103424794</v>
      </c>
      <c r="I358" s="1">
        <v>0.70169820278060302</v>
      </c>
      <c r="J358" s="1">
        <v>0.98478535096642905</v>
      </c>
      <c r="K358" s="1">
        <v>0.73988606307222704</v>
      </c>
      <c r="L358" s="1">
        <v>0.98548524923702896</v>
      </c>
    </row>
    <row r="359" spans="1:12" x14ac:dyDescent="0.3">
      <c r="A359" t="s">
        <v>359</v>
      </c>
      <c r="B359" t="s">
        <v>795</v>
      </c>
      <c r="C359" t="s">
        <v>574</v>
      </c>
      <c r="D359" t="s">
        <v>575</v>
      </c>
      <c r="E359" s="2">
        <v>0.69377761870018295</v>
      </c>
      <c r="F359" s="2">
        <v>0.653827728142509</v>
      </c>
      <c r="G359" s="2">
        <v>0.79655153425751302</v>
      </c>
      <c r="H359" s="2">
        <v>0.79084814361035705</v>
      </c>
      <c r="I359" s="1">
        <v>0.88123098525625998</v>
      </c>
      <c r="J359" s="1">
        <v>0.88614694180972098</v>
      </c>
      <c r="K359" s="1">
        <v>0.88530581902782102</v>
      </c>
      <c r="L359" s="1">
        <v>0.90044465246899097</v>
      </c>
    </row>
    <row r="360" spans="1:12" x14ac:dyDescent="0.3">
      <c r="A360" t="s">
        <v>359</v>
      </c>
      <c r="B360" t="s">
        <v>796</v>
      </c>
      <c r="C360" t="s">
        <v>576</v>
      </c>
      <c r="D360" t="s">
        <v>14</v>
      </c>
      <c r="E360" s="2">
        <v>1</v>
      </c>
      <c r="F360" s="2">
        <v>1</v>
      </c>
      <c r="G360" s="2">
        <v>1</v>
      </c>
      <c r="H360" s="2">
        <v>1</v>
      </c>
      <c r="I360" s="1">
        <v>1</v>
      </c>
      <c r="J360" s="1">
        <v>1</v>
      </c>
      <c r="K360" s="1">
        <v>1</v>
      </c>
      <c r="L360" s="1">
        <v>1</v>
      </c>
    </row>
    <row r="361" spans="1:12" x14ac:dyDescent="0.3">
      <c r="A361" t="s">
        <v>359</v>
      </c>
      <c r="B361" t="s">
        <v>798</v>
      </c>
      <c r="C361" t="s">
        <v>576</v>
      </c>
      <c r="D361" t="s">
        <v>14</v>
      </c>
      <c r="E361" s="2">
        <v>1</v>
      </c>
      <c r="F361" s="2">
        <v>1</v>
      </c>
      <c r="G361" s="2">
        <v>1</v>
      </c>
      <c r="H361" s="2">
        <v>1</v>
      </c>
      <c r="I361" s="1">
        <v>1</v>
      </c>
      <c r="J361" s="1">
        <v>1</v>
      </c>
      <c r="K361" s="1">
        <v>1</v>
      </c>
      <c r="L361" s="1">
        <v>1</v>
      </c>
    </row>
    <row r="362" spans="1:12" x14ac:dyDescent="0.3">
      <c r="A362" t="s">
        <v>359</v>
      </c>
      <c r="B362" t="s">
        <v>569</v>
      </c>
      <c r="C362" t="s">
        <v>576</v>
      </c>
      <c r="D362" t="s">
        <v>583</v>
      </c>
      <c r="E362" s="2">
        <v>0.77419520021848198</v>
      </c>
      <c r="F362" s="2">
        <v>0.89490094334254999</v>
      </c>
      <c r="G362" s="2">
        <v>0.97882030974407996</v>
      </c>
      <c r="H362" s="2">
        <v>0.99832155577555504</v>
      </c>
      <c r="I362" s="1">
        <v>0.998950261154542</v>
      </c>
      <c r="J362" s="1">
        <v>1</v>
      </c>
      <c r="K362" s="1">
        <v>1</v>
      </c>
      <c r="L362" s="1">
        <v>1</v>
      </c>
    </row>
    <row r="363" spans="1:12" x14ac:dyDescent="0.3">
      <c r="A363" t="s">
        <v>359</v>
      </c>
      <c r="B363" t="s">
        <v>570</v>
      </c>
      <c r="C363" t="s">
        <v>576</v>
      </c>
      <c r="D363" t="s">
        <v>577</v>
      </c>
      <c r="E363" s="2">
        <v>0.93391339538648299</v>
      </c>
      <c r="F363" s="2">
        <v>0.99113719142047696</v>
      </c>
      <c r="G363" s="2">
        <v>0.99897477404559498</v>
      </c>
      <c r="H363" s="2">
        <v>1</v>
      </c>
      <c r="I363" s="1">
        <v>0.99913665182787004</v>
      </c>
      <c r="J363" s="1">
        <v>1</v>
      </c>
      <c r="K363" s="1">
        <v>0.99946040739241804</v>
      </c>
      <c r="L363" s="1">
        <v>1</v>
      </c>
    </row>
    <row r="364" spans="1:12" x14ac:dyDescent="0.3">
      <c r="A364" t="s">
        <v>359</v>
      </c>
      <c r="B364" t="s">
        <v>571</v>
      </c>
      <c r="C364" t="s">
        <v>576</v>
      </c>
      <c r="D364" t="s">
        <v>14</v>
      </c>
      <c r="E364" s="2">
        <v>0.86537301912733</v>
      </c>
      <c r="F364" s="2">
        <v>0.93701005812971805</v>
      </c>
      <c r="G364" s="2">
        <v>0.89898453894208696</v>
      </c>
      <c r="H364" s="2">
        <v>0.96673822330495096</v>
      </c>
      <c r="I364" s="1">
        <v>0.95411129067271205</v>
      </c>
      <c r="J364" s="1">
        <v>0.96058756844111004</v>
      </c>
      <c r="K364" s="1">
        <v>0.982898767457005</v>
      </c>
      <c r="L364" s="1">
        <v>0.99351166212402597</v>
      </c>
    </row>
    <row r="365" spans="1:12" x14ac:dyDescent="0.3">
      <c r="A365" t="s">
        <v>359</v>
      </c>
      <c r="B365" t="s">
        <v>572</v>
      </c>
      <c r="C365" t="s">
        <v>574</v>
      </c>
      <c r="D365" t="s">
        <v>575</v>
      </c>
      <c r="E365" s="2">
        <v>0.88825494381020798</v>
      </c>
      <c r="F365" s="2">
        <v>0.848826385866287</v>
      </c>
      <c r="G365" s="2">
        <v>0.90338921722349497</v>
      </c>
      <c r="H365" s="2">
        <v>0.90286612513306697</v>
      </c>
      <c r="I365" s="1">
        <v>0.91026151982505898</v>
      </c>
      <c r="J365" s="1">
        <v>0.90677686123769596</v>
      </c>
      <c r="K365" s="1">
        <v>0.90919304851253002</v>
      </c>
      <c r="L365" s="1">
        <v>0.91374224538918503</v>
      </c>
    </row>
    <row r="366" spans="1:12" x14ac:dyDescent="0.3">
      <c r="A366" t="s">
        <v>359</v>
      </c>
      <c r="B366" t="s">
        <v>573</v>
      </c>
      <c r="C366" t="s">
        <v>576</v>
      </c>
      <c r="D366" t="s">
        <v>577</v>
      </c>
      <c r="E366" s="2">
        <v>0.88403579809506205</v>
      </c>
      <c r="F366" s="2">
        <v>0.87392444669396696</v>
      </c>
      <c r="G366" s="2">
        <v>0.90681222104633497</v>
      </c>
      <c r="H366" s="2">
        <v>0.904856669580821</v>
      </c>
      <c r="I366" s="1">
        <v>0.91800487737541903</v>
      </c>
      <c r="J366" s="1">
        <v>1</v>
      </c>
      <c r="K366" s="1">
        <v>0.91800487737541903</v>
      </c>
      <c r="L366" s="1">
        <v>1</v>
      </c>
    </row>
    <row r="367" spans="1:12" x14ac:dyDescent="0.3">
      <c r="A367" t="s">
        <v>359</v>
      </c>
      <c r="B367" t="s">
        <v>799</v>
      </c>
      <c r="C367" t="s">
        <v>576</v>
      </c>
      <c r="D367" t="s">
        <v>589</v>
      </c>
      <c r="E367" s="2">
        <v>1</v>
      </c>
      <c r="F367" s="2">
        <v>1</v>
      </c>
      <c r="G367" s="2">
        <v>1</v>
      </c>
      <c r="H367" s="2">
        <v>1</v>
      </c>
      <c r="I367" s="1">
        <v>1</v>
      </c>
      <c r="J367" s="1">
        <v>1</v>
      </c>
      <c r="K367" s="1">
        <v>1</v>
      </c>
      <c r="L367" s="1">
        <v>1</v>
      </c>
    </row>
    <row r="368" spans="1:12" x14ac:dyDescent="0.3">
      <c r="A368" t="s">
        <v>359</v>
      </c>
      <c r="B368" t="s">
        <v>800</v>
      </c>
      <c r="C368" t="s">
        <v>574</v>
      </c>
      <c r="D368" t="s">
        <v>575</v>
      </c>
      <c r="E368" s="2">
        <v>0.5</v>
      </c>
      <c r="F368" s="2">
        <v>1</v>
      </c>
      <c r="G368" s="2">
        <v>0.5</v>
      </c>
      <c r="H368" s="2">
        <v>1</v>
      </c>
      <c r="I368" s="1">
        <v>0.5</v>
      </c>
      <c r="J368" s="1">
        <v>1</v>
      </c>
      <c r="K368" s="1">
        <v>0.5</v>
      </c>
      <c r="L368" s="1">
        <v>1</v>
      </c>
    </row>
    <row r="369" spans="1:12" x14ac:dyDescent="0.3">
      <c r="A369" t="s">
        <v>359</v>
      </c>
      <c r="B369" t="s">
        <v>801</v>
      </c>
      <c r="C369" t="s">
        <v>574</v>
      </c>
      <c r="D369" t="s">
        <v>575</v>
      </c>
      <c r="E369" s="2">
        <v>0.73626513994760601</v>
      </c>
      <c r="F369" s="2">
        <v>0.746859780679344</v>
      </c>
      <c r="G369" s="2">
        <v>0.80662104131533297</v>
      </c>
      <c r="H369" s="2">
        <v>0.81141812688464798</v>
      </c>
      <c r="I369" s="1">
        <v>0.83293043819829804</v>
      </c>
      <c r="J369" s="1">
        <v>0.84710572637784198</v>
      </c>
      <c r="K369" s="1">
        <v>0.84305363993726901</v>
      </c>
      <c r="L369" s="1">
        <v>0.85225168418534403</v>
      </c>
    </row>
  </sheetData>
  <autoFilter ref="A2:L369" xr:uid="{4E3F876B-A1B7-4350-BBDC-D6DF81834643}"/>
  <mergeCells count="4">
    <mergeCell ref="E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BBAE-C733-4758-889D-E5C10E40F94B}">
  <dimension ref="A1:U774"/>
  <sheetViews>
    <sheetView workbookViewId="0">
      <selection activeCell="D19" sqref="D19"/>
    </sheetView>
  </sheetViews>
  <sheetFormatPr defaultRowHeight="14.4" x14ac:dyDescent="0.3"/>
  <cols>
    <col min="1" max="1" width="12.77734375" customWidth="1"/>
    <col min="2" max="2" width="21.6640625" customWidth="1"/>
    <col min="3" max="3" width="15.5546875" customWidth="1"/>
    <col min="4" max="4" width="21.44140625" customWidth="1"/>
    <col min="5" max="5" width="14.21875" style="2" bestFit="1" customWidth="1"/>
    <col min="6" max="6" width="16.6640625" style="2" bestFit="1" customWidth="1"/>
    <col min="7" max="7" width="14.21875" style="2" bestFit="1" customWidth="1"/>
    <col min="8" max="8" width="16.6640625" style="2" bestFit="1" customWidth="1"/>
    <col min="9" max="9" width="14.21875" style="1" bestFit="1" customWidth="1"/>
    <col min="10" max="10" width="16.6640625" style="1" bestFit="1" customWidth="1"/>
    <col min="11" max="11" width="14.21875" style="1" bestFit="1" customWidth="1"/>
    <col min="12" max="12" width="16.6640625" style="1" bestFit="1" customWidth="1"/>
  </cols>
  <sheetData>
    <row r="1" spans="1:21" x14ac:dyDescent="0.3">
      <c r="E1" s="32" t="s">
        <v>804</v>
      </c>
      <c r="F1" s="32"/>
      <c r="G1" s="32" t="s">
        <v>805</v>
      </c>
      <c r="H1" s="32"/>
      <c r="I1" s="32" t="s">
        <v>806</v>
      </c>
      <c r="J1" s="32"/>
      <c r="K1" s="32" t="s">
        <v>807</v>
      </c>
      <c r="L1" s="32"/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808</v>
      </c>
      <c r="F2" t="s">
        <v>809</v>
      </c>
      <c r="G2" t="s">
        <v>810</v>
      </c>
      <c r="H2" t="s">
        <v>811</v>
      </c>
      <c r="I2" t="s">
        <v>812</v>
      </c>
      <c r="J2" t="s">
        <v>813</v>
      </c>
      <c r="K2" t="s">
        <v>814</v>
      </c>
      <c r="L2" t="s">
        <v>815</v>
      </c>
      <c r="N2" s="1"/>
      <c r="O2" s="1"/>
      <c r="P2" s="1"/>
      <c r="Q2" s="1"/>
      <c r="R2" s="1"/>
      <c r="S2" s="1"/>
      <c r="T2" s="1"/>
      <c r="U2" s="1"/>
    </row>
    <row r="3" spans="1:21" x14ac:dyDescent="0.3">
      <c r="A3" t="s">
        <v>10</v>
      </c>
      <c r="B3" t="s">
        <v>11</v>
      </c>
      <c r="C3" t="s">
        <v>574</v>
      </c>
      <c r="D3" t="s">
        <v>575</v>
      </c>
      <c r="E3" s="2" cm="1">
        <f t="array" ref="E3:E774">'Passo 1'!I2:I773</f>
        <v>0</v>
      </c>
      <c r="F3" s="2" cm="1">
        <f t="array" ref="F3:F774">'Passo 1'!J2:J773</f>
        <v>0</v>
      </c>
      <c r="G3" s="2" cm="1">
        <f t="array" ref="G3:G774">'Passo 2'!I2:I773</f>
        <v>0</v>
      </c>
      <c r="H3" s="2" cm="1">
        <f t="array" ref="H3:H774">'Passo 2'!J2:J773</f>
        <v>0</v>
      </c>
      <c r="I3" s="1" cm="1">
        <f t="array" ref="I3:I774">'Passo 4'!I2:I773</f>
        <v>0</v>
      </c>
      <c r="J3" s="1" cm="1">
        <f t="array" ref="J3:J774">'Passo 4'!J2:J773</f>
        <v>0</v>
      </c>
      <c r="K3" s="1" cm="1">
        <f t="array" ref="K3:K774">'Passo 6'!I2:I773</f>
        <v>0</v>
      </c>
      <c r="L3" s="1" cm="1">
        <f t="array" ref="L3:L774">'Passo 6'!J2:J773</f>
        <v>0</v>
      </c>
      <c r="N3" s="1"/>
      <c r="O3" s="1"/>
      <c r="P3" s="1"/>
      <c r="Q3" s="1"/>
      <c r="R3" s="1"/>
      <c r="S3" s="1"/>
      <c r="T3" s="1"/>
      <c r="U3" s="1"/>
    </row>
    <row r="4" spans="1:21" x14ac:dyDescent="0.3">
      <c r="A4" t="s">
        <v>10</v>
      </c>
      <c r="B4" t="s">
        <v>12</v>
      </c>
      <c r="C4" t="s">
        <v>576</v>
      </c>
      <c r="D4" t="s">
        <v>577</v>
      </c>
      <c r="E4" s="2">
        <v>0.75390999374956502</v>
      </c>
      <c r="F4" s="2">
        <v>0.88878394332939703</v>
      </c>
      <c r="G4" s="2">
        <v>0.81008403361344505</v>
      </c>
      <c r="H4" s="2">
        <v>0.90802139037433105</v>
      </c>
      <c r="I4" s="1">
        <v>0.86471282727967202</v>
      </c>
      <c r="J4" s="1">
        <v>0.90858740190290999</v>
      </c>
      <c r="K4" s="1">
        <v>0.91163969720119398</v>
      </c>
      <c r="L4" s="1">
        <v>0.90731995277449795</v>
      </c>
    </row>
    <row r="5" spans="1:21" x14ac:dyDescent="0.3">
      <c r="A5" t="s">
        <v>10</v>
      </c>
      <c r="B5" t="s">
        <v>13</v>
      </c>
      <c r="C5" t="s">
        <v>576</v>
      </c>
      <c r="D5" t="s">
        <v>14</v>
      </c>
      <c r="E5" s="2">
        <v>0.75936446497690002</v>
      </c>
      <c r="F5" s="2">
        <v>0.77865526282931696</v>
      </c>
      <c r="G5" s="2">
        <v>0.80977650143588398</v>
      </c>
      <c r="H5" s="2">
        <v>0.76176801098763802</v>
      </c>
      <c r="I5" s="1">
        <v>0.76298539143463595</v>
      </c>
      <c r="J5" s="1">
        <v>1</v>
      </c>
      <c r="K5" s="1">
        <v>0.79482457235609905</v>
      </c>
      <c r="L5" s="1">
        <v>0.96753652141340996</v>
      </c>
    </row>
    <row r="6" spans="1:21" x14ac:dyDescent="0.3">
      <c r="A6" t="s">
        <v>10</v>
      </c>
      <c r="B6" t="s">
        <v>15</v>
      </c>
      <c r="C6" t="s">
        <v>574</v>
      </c>
      <c r="D6" t="s">
        <v>575</v>
      </c>
      <c r="E6" s="2">
        <v>0.84816004254709798</v>
      </c>
      <c r="F6" s="2">
        <v>0.81427373330333197</v>
      </c>
      <c r="G6" s="2">
        <v>0.89179536482091304</v>
      </c>
      <c r="H6" s="2">
        <v>0.853795487552928</v>
      </c>
      <c r="I6" s="1">
        <v>0.87631681224047198</v>
      </c>
      <c r="J6" s="1">
        <v>0.85550350809008502</v>
      </c>
      <c r="K6" s="1">
        <v>0.87738662630147002</v>
      </c>
      <c r="L6" s="1">
        <v>0.859003416041074</v>
      </c>
    </row>
    <row r="7" spans="1:21" x14ac:dyDescent="0.3">
      <c r="A7" t="s">
        <v>10</v>
      </c>
      <c r="B7" t="s">
        <v>16</v>
      </c>
      <c r="C7" t="s">
        <v>574</v>
      </c>
      <c r="D7" t="s">
        <v>575</v>
      </c>
      <c r="E7" s="2">
        <v>0.644303466225988</v>
      </c>
      <c r="F7" s="2">
        <v>0.66310677105589499</v>
      </c>
      <c r="G7" s="2">
        <v>0.77210175459750796</v>
      </c>
      <c r="H7" s="2">
        <v>0.77581541505426399</v>
      </c>
      <c r="I7" s="1">
        <v>0.87297676854123496</v>
      </c>
      <c r="J7" s="1">
        <v>0.87899986601252</v>
      </c>
      <c r="K7" s="1">
        <v>0.93352766230339301</v>
      </c>
      <c r="L7" s="1">
        <v>0.90122099168794201</v>
      </c>
    </row>
    <row r="8" spans="1:21" x14ac:dyDescent="0.3">
      <c r="A8" t="s">
        <v>10</v>
      </c>
      <c r="B8" t="s">
        <v>17</v>
      </c>
      <c r="C8" t="s">
        <v>576</v>
      </c>
      <c r="D8" t="s">
        <v>14</v>
      </c>
      <c r="E8" s="2">
        <v>0.88337412745897903</v>
      </c>
      <c r="F8" s="2">
        <v>0.93491070619164096</v>
      </c>
      <c r="G8" s="2">
        <v>0.97479829571208398</v>
      </c>
      <c r="H8" s="2">
        <v>0.985359441573746</v>
      </c>
      <c r="I8" s="1">
        <v>0.97860574743903495</v>
      </c>
      <c r="J8" s="1">
        <v>0.985359441573746</v>
      </c>
      <c r="K8" s="1">
        <v>0.97189738011059701</v>
      </c>
      <c r="L8" s="1">
        <v>0.985359441573746</v>
      </c>
    </row>
    <row r="9" spans="1:21" x14ac:dyDescent="0.3">
      <c r="A9" t="s">
        <v>10</v>
      </c>
      <c r="B9" t="s">
        <v>578</v>
      </c>
      <c r="C9" t="s">
        <v>574</v>
      </c>
      <c r="D9" t="s">
        <v>575</v>
      </c>
      <c r="E9" s="2">
        <v>0.768040419866728</v>
      </c>
      <c r="F9" s="2">
        <v>0.85243577727105202</v>
      </c>
      <c r="G9" s="2">
        <v>0.84708019156069703</v>
      </c>
      <c r="H9" s="2">
        <v>0.86445495199324696</v>
      </c>
      <c r="I9" s="1">
        <v>0.86070580884032999</v>
      </c>
      <c r="J9" s="1">
        <v>0.86450857779705104</v>
      </c>
      <c r="K9" s="1">
        <v>0.888975933671875</v>
      </c>
      <c r="L9" s="1">
        <v>0.86570932949092705</v>
      </c>
    </row>
    <row r="10" spans="1:21" x14ac:dyDescent="0.3">
      <c r="A10" t="s">
        <v>10</v>
      </c>
      <c r="B10" t="s">
        <v>579</v>
      </c>
      <c r="C10" t="s">
        <v>576</v>
      </c>
      <c r="D10" t="s">
        <v>14</v>
      </c>
      <c r="E10" s="2">
        <v>0.95594549187978295</v>
      </c>
      <c r="F10" s="2">
        <v>0.93195818555161403</v>
      </c>
      <c r="G10" s="2">
        <v>0.979839462385663</v>
      </c>
      <c r="H10" s="2">
        <v>0.98305954825462005</v>
      </c>
      <c r="I10" s="1">
        <v>0.98441291767780403</v>
      </c>
      <c r="J10" s="1">
        <v>0.98445958558894897</v>
      </c>
      <c r="K10" s="1">
        <v>0.985859622923277</v>
      </c>
      <c r="L10" s="1">
        <v>0.98445958558894897</v>
      </c>
    </row>
    <row r="11" spans="1:21" x14ac:dyDescent="0.3">
      <c r="A11" t="s">
        <v>10</v>
      </c>
      <c r="B11" t="s">
        <v>18</v>
      </c>
      <c r="C11" t="s">
        <v>574</v>
      </c>
      <c r="D11" t="s">
        <v>575</v>
      </c>
      <c r="E11" s="2">
        <v>0.86906237370335404</v>
      </c>
      <c r="F11" s="2">
        <v>0.86814630203421705</v>
      </c>
      <c r="G11" s="2">
        <v>0.98101845614980399</v>
      </c>
      <c r="H11" s="2">
        <v>0.97027482150073996</v>
      </c>
      <c r="I11" s="1">
        <v>0.97494274552067794</v>
      </c>
      <c r="J11" s="1">
        <v>0.98577394584399802</v>
      </c>
      <c r="K11" s="1">
        <v>0.97812205307827005</v>
      </c>
      <c r="L11" s="1">
        <v>0.98579415330728803</v>
      </c>
    </row>
    <row r="12" spans="1:21" x14ac:dyDescent="0.3">
      <c r="A12" t="s">
        <v>10</v>
      </c>
      <c r="B12" t="s">
        <v>19</v>
      </c>
      <c r="C12" t="s">
        <v>580</v>
      </c>
      <c r="D12" t="s">
        <v>581</v>
      </c>
      <c r="E12" s="2">
        <v>0.88998927784861404</v>
      </c>
      <c r="F12" s="2">
        <v>0.88193800471388195</v>
      </c>
      <c r="G12" s="2">
        <v>0.962008809551408</v>
      </c>
      <c r="H12" s="2">
        <v>0.94935715389668096</v>
      </c>
      <c r="I12" s="1">
        <v>0.99042613307059202</v>
      </c>
      <c r="J12" s="1">
        <v>0.98316815424442605</v>
      </c>
      <c r="K12" s="1">
        <v>0.98559633514933698</v>
      </c>
      <c r="L12" s="1">
        <v>0.98981274873459302</v>
      </c>
    </row>
    <row r="13" spans="1:21" x14ac:dyDescent="0.3">
      <c r="A13" t="s">
        <v>10</v>
      </c>
      <c r="B13" t="s">
        <v>20</v>
      </c>
      <c r="C13" t="s">
        <v>576</v>
      </c>
      <c r="D13" t="s">
        <v>577</v>
      </c>
      <c r="E13" s="2">
        <v>0.78841900274077903</v>
      </c>
      <c r="F13" s="2">
        <v>0.91141751214117395</v>
      </c>
      <c r="G13" s="2">
        <v>0.92073375967687598</v>
      </c>
      <c r="H13" s="2">
        <v>0.93228590662114696</v>
      </c>
      <c r="I13" s="1">
        <v>0.93252031543011005</v>
      </c>
      <c r="J13" s="1">
        <v>0.93238808481992597</v>
      </c>
      <c r="K13" s="1">
        <v>0.93241813723133105</v>
      </c>
      <c r="L13" s="1">
        <v>0.93243616867817403</v>
      </c>
    </row>
    <row r="14" spans="1:21" x14ac:dyDescent="0.3">
      <c r="A14" t="s">
        <v>10</v>
      </c>
      <c r="B14" t="s">
        <v>582</v>
      </c>
      <c r="C14" t="s">
        <v>574</v>
      </c>
      <c r="D14" t="s">
        <v>575</v>
      </c>
      <c r="E14" s="2">
        <v>0.80899056517358203</v>
      </c>
      <c r="F14" s="2">
        <v>0.80068929193001703</v>
      </c>
      <c r="G14" s="2">
        <v>0.96766510946230599</v>
      </c>
      <c r="H14" s="2">
        <v>0.96719565814784203</v>
      </c>
      <c r="I14" s="1">
        <v>0.96836356141797197</v>
      </c>
      <c r="J14" s="1">
        <v>0.96623385545479501</v>
      </c>
      <c r="K14" s="1">
        <v>0.96720710817990296</v>
      </c>
      <c r="L14" s="1">
        <v>0.96297059631766901</v>
      </c>
    </row>
    <row r="15" spans="1:21" x14ac:dyDescent="0.3">
      <c r="A15" t="s">
        <v>10</v>
      </c>
      <c r="B15" t="s">
        <v>21</v>
      </c>
      <c r="C15" t="s">
        <v>576</v>
      </c>
      <c r="D15" t="s">
        <v>583</v>
      </c>
      <c r="E15" s="2">
        <v>0.88699754901960703</v>
      </c>
      <c r="F15" s="2">
        <v>0.90952205882352899</v>
      </c>
      <c r="G15" s="2">
        <v>0.97844362745098001</v>
      </c>
      <c r="H15" s="2">
        <v>0.99007352941176396</v>
      </c>
      <c r="I15" s="1">
        <v>0.99431372549019603</v>
      </c>
      <c r="J15" s="1">
        <v>0.99599264705882296</v>
      </c>
      <c r="K15" s="1">
        <v>0.99803921568627396</v>
      </c>
      <c r="L15" s="1">
        <v>1</v>
      </c>
    </row>
    <row r="16" spans="1:21" x14ac:dyDescent="0.3">
      <c r="A16" t="s">
        <v>10</v>
      </c>
      <c r="B16" t="s">
        <v>22</v>
      </c>
      <c r="C16" t="s">
        <v>574</v>
      </c>
      <c r="D16" t="s">
        <v>575</v>
      </c>
      <c r="E16" s="2">
        <v>0.81795421901419896</v>
      </c>
      <c r="F16" s="2">
        <v>0.74799412737950199</v>
      </c>
      <c r="G16" s="2">
        <v>0.90448400938164697</v>
      </c>
      <c r="H16" s="2">
        <v>0.86989372920492303</v>
      </c>
      <c r="I16" s="1">
        <v>0.92378820385083904</v>
      </c>
      <c r="J16" s="1">
        <v>0.91100934528463096</v>
      </c>
      <c r="K16" s="1">
        <v>0.99175105907165295</v>
      </c>
      <c r="L16" s="1">
        <v>0.91631243068307799</v>
      </c>
    </row>
    <row r="17" spans="1:12" x14ac:dyDescent="0.3">
      <c r="A17" t="s">
        <v>10</v>
      </c>
      <c r="B17" t="s">
        <v>23</v>
      </c>
      <c r="C17" t="s">
        <v>574</v>
      </c>
      <c r="D17" t="s">
        <v>575</v>
      </c>
      <c r="E17" s="2">
        <v>0.74112239330993601</v>
      </c>
      <c r="F17" s="2">
        <v>0.91739611917693298</v>
      </c>
      <c r="G17" s="2">
        <v>0.92834401387520404</v>
      </c>
      <c r="H17" s="2">
        <v>0.97532550545969698</v>
      </c>
      <c r="I17" s="1">
        <v>0.98479345976272004</v>
      </c>
      <c r="J17" s="1">
        <v>0.97963911439715301</v>
      </c>
      <c r="K17" s="1">
        <v>0.98636704150347199</v>
      </c>
      <c r="L17" s="1">
        <v>0.98100912799550499</v>
      </c>
    </row>
    <row r="18" spans="1:12" x14ac:dyDescent="0.3">
      <c r="A18" t="s">
        <v>10</v>
      </c>
      <c r="B18" t="s">
        <v>24</v>
      </c>
      <c r="C18" t="s">
        <v>576</v>
      </c>
      <c r="D18" t="s">
        <v>583</v>
      </c>
      <c r="E18" s="2">
        <v>0.89832128898011898</v>
      </c>
      <c r="F18" s="2">
        <v>0.88691898883671205</v>
      </c>
      <c r="G18" s="2">
        <v>0.938405083935551</v>
      </c>
      <c r="H18" s="2">
        <v>0.95981778815060503</v>
      </c>
      <c r="I18" s="1">
        <v>0.98213030396760603</v>
      </c>
      <c r="J18" s="1">
        <v>0.99031296572280103</v>
      </c>
      <c r="K18" s="1">
        <v>0.99273120940303095</v>
      </c>
      <c r="L18" s="1">
        <v>0.99841127014031406</v>
      </c>
    </row>
    <row r="19" spans="1:12" x14ac:dyDescent="0.3">
      <c r="A19" t="s">
        <v>10</v>
      </c>
      <c r="B19" t="s">
        <v>25</v>
      </c>
      <c r="C19" t="s">
        <v>576</v>
      </c>
      <c r="D19" t="s">
        <v>583</v>
      </c>
      <c r="E19" s="2">
        <v>0.93491892225168005</v>
      </c>
      <c r="F19" s="2">
        <v>0.98872310253406404</v>
      </c>
      <c r="G19" s="2">
        <v>0.99620815093408899</v>
      </c>
      <c r="H19" s="2">
        <v>0.99814106911646805</v>
      </c>
      <c r="I19" s="1">
        <v>0.99906899315617403</v>
      </c>
      <c r="J19" s="1">
        <v>1</v>
      </c>
      <c r="K19" s="1">
        <v>1</v>
      </c>
      <c r="L19" s="1">
        <v>1</v>
      </c>
    </row>
    <row r="20" spans="1:12" x14ac:dyDescent="0.3">
      <c r="A20" t="s">
        <v>10</v>
      </c>
      <c r="B20" t="s">
        <v>26</v>
      </c>
      <c r="C20" t="s">
        <v>576</v>
      </c>
      <c r="D20" t="s">
        <v>583</v>
      </c>
      <c r="E20" s="2">
        <v>0.92156639061719503</v>
      </c>
      <c r="F20" s="2">
        <v>0.97882764276772904</v>
      </c>
      <c r="G20" s="2">
        <v>0.99701854238479504</v>
      </c>
      <c r="H20" s="2">
        <v>0.99805758190529603</v>
      </c>
      <c r="I20" s="1">
        <v>1</v>
      </c>
      <c r="J20" s="1">
        <v>0.99969167966750705</v>
      </c>
      <c r="K20" s="1">
        <v>1</v>
      </c>
      <c r="L20" s="1">
        <v>0.99969167966750705</v>
      </c>
    </row>
    <row r="21" spans="1:12" x14ac:dyDescent="0.3">
      <c r="A21" t="s">
        <v>10</v>
      </c>
      <c r="B21" t="s">
        <v>27</v>
      </c>
      <c r="C21" t="s">
        <v>576</v>
      </c>
      <c r="D21" t="s">
        <v>577</v>
      </c>
      <c r="E21" s="2">
        <v>0.72275575103629397</v>
      </c>
      <c r="F21" s="2">
        <v>0.92478562161819999</v>
      </c>
      <c r="G21" s="2">
        <v>0.78625842483308495</v>
      </c>
      <c r="H21" s="2">
        <v>0.98549583900262605</v>
      </c>
      <c r="I21" s="1">
        <v>0.89755719393728395</v>
      </c>
      <c r="J21" s="1">
        <v>0.99341043571812804</v>
      </c>
      <c r="K21" s="1">
        <v>0.979602411163497</v>
      </c>
      <c r="L21" s="1">
        <v>0.99563332595006804</v>
      </c>
    </row>
    <row r="22" spans="1:12" x14ac:dyDescent="0.3">
      <c r="A22" t="s">
        <v>10</v>
      </c>
      <c r="B22" t="s">
        <v>28</v>
      </c>
      <c r="C22" t="s">
        <v>576</v>
      </c>
      <c r="D22" t="s">
        <v>577</v>
      </c>
      <c r="E22" s="2">
        <v>0.831732384737494</v>
      </c>
      <c r="F22" s="2">
        <v>0.84971553711921899</v>
      </c>
      <c r="G22" s="2">
        <v>0.86429208718120998</v>
      </c>
      <c r="H22" s="2">
        <v>0.87130806576828101</v>
      </c>
      <c r="I22" s="1">
        <v>0.86990023521777904</v>
      </c>
      <c r="J22" s="1">
        <v>0.87104156286571699</v>
      </c>
      <c r="K22" s="1">
        <v>0.87020149936850399</v>
      </c>
      <c r="L22" s="1">
        <v>0.86937881649537097</v>
      </c>
    </row>
    <row r="23" spans="1:12" x14ac:dyDescent="0.3">
      <c r="A23" t="s">
        <v>10</v>
      </c>
      <c r="B23" t="s">
        <v>584</v>
      </c>
      <c r="C23" t="s">
        <v>576</v>
      </c>
      <c r="D23" t="s">
        <v>577</v>
      </c>
      <c r="E23" s="2">
        <v>0.83300242204286701</v>
      </c>
      <c r="F23" s="2">
        <v>0.88456384246850905</v>
      </c>
      <c r="G23" s="2">
        <v>0.86998982590143203</v>
      </c>
      <c r="H23" s="2">
        <v>0.95779077801483603</v>
      </c>
      <c r="I23" s="1">
        <v>0.94928895199192098</v>
      </c>
      <c r="J23" s="1">
        <v>0.96824580318434095</v>
      </c>
      <c r="K23" s="1">
        <v>0.95476702073541997</v>
      </c>
      <c r="L23" s="1">
        <v>0.97299687943693203</v>
      </c>
    </row>
    <row r="24" spans="1:12" x14ac:dyDescent="0.3">
      <c r="A24" t="s">
        <v>10</v>
      </c>
      <c r="B24" t="s">
        <v>29</v>
      </c>
      <c r="C24" t="s">
        <v>576</v>
      </c>
      <c r="D24" t="s">
        <v>577</v>
      </c>
      <c r="E24" s="2">
        <v>0.85002773005803001</v>
      </c>
      <c r="F24" s="2">
        <v>0.97476564719250003</v>
      </c>
      <c r="G24" s="2">
        <v>0.97862756503036696</v>
      </c>
      <c r="H24" s="2">
        <v>0.99528589013486202</v>
      </c>
      <c r="I24" s="1">
        <v>0.99147807972729796</v>
      </c>
      <c r="J24" s="1">
        <v>0.99548879299849802</v>
      </c>
      <c r="K24" s="1">
        <v>0.98984132996063601</v>
      </c>
      <c r="L24" s="1">
        <v>0.99548202956970999</v>
      </c>
    </row>
    <row r="25" spans="1:12" x14ac:dyDescent="0.3">
      <c r="A25" t="s">
        <v>10</v>
      </c>
      <c r="B25" t="s">
        <v>585</v>
      </c>
      <c r="C25" t="s">
        <v>576</v>
      </c>
      <c r="D25" t="s">
        <v>577</v>
      </c>
      <c r="E25" s="2">
        <v>0.81402059533264004</v>
      </c>
      <c r="F25" s="2">
        <v>0.95344668275398603</v>
      </c>
      <c r="G25" s="2">
        <v>0.87089735170138605</v>
      </c>
      <c r="H25" s="2">
        <v>0.99200279491722099</v>
      </c>
      <c r="I25" s="1">
        <v>0.93440344553729604</v>
      </c>
      <c r="J25" s="1">
        <v>0.99600139745861005</v>
      </c>
      <c r="K25" s="1">
        <v>0.96883686388905799</v>
      </c>
      <c r="L25" s="1">
        <v>0.99777303897611302</v>
      </c>
    </row>
    <row r="26" spans="1:12" x14ac:dyDescent="0.3">
      <c r="A26" t="s">
        <v>10</v>
      </c>
      <c r="B26" t="s">
        <v>586</v>
      </c>
      <c r="C26" t="s">
        <v>576</v>
      </c>
      <c r="D26" t="s">
        <v>577</v>
      </c>
      <c r="E26" s="2">
        <v>0.82075643568937495</v>
      </c>
      <c r="F26" s="2">
        <v>0.82401693435047396</v>
      </c>
      <c r="G26" s="2">
        <v>0.91579961018605804</v>
      </c>
      <c r="H26" s="2">
        <v>0.98612516844704801</v>
      </c>
      <c r="I26" s="1">
        <v>0.96668507776036205</v>
      </c>
      <c r="J26" s="1">
        <v>0.98612516844704801</v>
      </c>
      <c r="K26" s="1">
        <v>0.97475896890163805</v>
      </c>
      <c r="L26" s="1">
        <v>0.98612516844704801</v>
      </c>
    </row>
    <row r="27" spans="1:12" x14ac:dyDescent="0.3">
      <c r="A27" t="s">
        <v>10</v>
      </c>
      <c r="B27" t="s">
        <v>587</v>
      </c>
      <c r="C27" t="s">
        <v>576</v>
      </c>
      <c r="D27" t="s">
        <v>577</v>
      </c>
      <c r="E27" s="2">
        <v>0.76584258934374805</v>
      </c>
      <c r="F27" s="2">
        <v>0.80893696326164299</v>
      </c>
      <c r="G27" s="2">
        <v>0.95287918965090701</v>
      </c>
      <c r="H27" s="2">
        <v>0.98065584897412095</v>
      </c>
      <c r="I27" s="1">
        <v>0.96144399514526802</v>
      </c>
      <c r="J27" s="1">
        <v>0.98256265422689504</v>
      </c>
      <c r="K27" s="1">
        <v>0.98506479686628201</v>
      </c>
      <c r="L27" s="1">
        <v>0.98256265422689504</v>
      </c>
    </row>
    <row r="28" spans="1:12" x14ac:dyDescent="0.3">
      <c r="A28" t="s">
        <v>10</v>
      </c>
      <c r="B28" t="s">
        <v>588</v>
      </c>
      <c r="C28" t="s">
        <v>576</v>
      </c>
      <c r="D28" t="s">
        <v>577</v>
      </c>
      <c r="E28" s="2">
        <v>0.73873759404689499</v>
      </c>
      <c r="F28" s="2">
        <v>0.85371446898226899</v>
      </c>
      <c r="G28" s="2">
        <v>0.78376793966978198</v>
      </c>
      <c r="H28" s="2">
        <v>0.975973241872928</v>
      </c>
      <c r="I28" s="1">
        <v>0.82249081219012499</v>
      </c>
      <c r="J28" s="1">
        <v>0.98601542605675097</v>
      </c>
      <c r="K28" s="1">
        <v>0.82292982914266299</v>
      </c>
      <c r="L28" s="1">
        <v>0.98891241217470205</v>
      </c>
    </row>
    <row r="29" spans="1:12" x14ac:dyDescent="0.3">
      <c r="A29" t="s">
        <v>10</v>
      </c>
      <c r="B29" t="s">
        <v>30</v>
      </c>
      <c r="C29" t="s">
        <v>576</v>
      </c>
      <c r="D29" t="s">
        <v>583</v>
      </c>
      <c r="E29" s="2">
        <v>0.82492312307807603</v>
      </c>
      <c r="F29" s="2">
        <v>0.70597014925373103</v>
      </c>
      <c r="G29" s="2">
        <v>0.86914422860571505</v>
      </c>
      <c r="H29" s="2">
        <v>0.76589664741618502</v>
      </c>
      <c r="I29" s="1">
        <v>0.90134253356333904</v>
      </c>
      <c r="J29" s="1">
        <v>0.83510837770944202</v>
      </c>
      <c r="K29" s="1">
        <v>0.96077401935048301</v>
      </c>
      <c r="L29" s="1">
        <v>0.96132903322582997</v>
      </c>
    </row>
    <row r="30" spans="1:12" x14ac:dyDescent="0.3">
      <c r="A30" t="s">
        <v>10</v>
      </c>
      <c r="B30" t="s">
        <v>31</v>
      </c>
      <c r="C30" t="s">
        <v>576</v>
      </c>
      <c r="D30" t="s">
        <v>583</v>
      </c>
      <c r="E30" s="2">
        <v>0.96234398138354105</v>
      </c>
      <c r="F30" s="2">
        <v>0.92430011987871097</v>
      </c>
      <c r="G30" s="2">
        <v>0.99457019956279502</v>
      </c>
      <c r="H30" s="2">
        <v>0.99457019956279502</v>
      </c>
      <c r="I30" s="1">
        <v>0.995363514561737</v>
      </c>
      <c r="J30" s="1">
        <v>0.99783160566955698</v>
      </c>
      <c r="K30" s="1">
        <v>0.998536774557506</v>
      </c>
      <c r="L30" s="1">
        <v>0.999999999999999</v>
      </c>
    </row>
    <row r="31" spans="1:12" x14ac:dyDescent="0.3">
      <c r="A31" t="s">
        <v>10</v>
      </c>
      <c r="B31" t="s">
        <v>32</v>
      </c>
      <c r="C31" t="s">
        <v>576</v>
      </c>
      <c r="D31" t="s">
        <v>589</v>
      </c>
      <c r="E31" s="2">
        <v>0.90276013995075799</v>
      </c>
      <c r="F31" s="2">
        <v>0.90610340806012701</v>
      </c>
      <c r="G31" s="2">
        <v>0.97484773875858399</v>
      </c>
      <c r="H31" s="2">
        <v>0.99543864195930998</v>
      </c>
      <c r="I31" s="1">
        <v>0.99460930413373005</v>
      </c>
      <c r="J31" s="1">
        <v>1</v>
      </c>
      <c r="K31" s="1">
        <v>0.99909291175327097</v>
      </c>
      <c r="L31" s="1">
        <v>1</v>
      </c>
    </row>
    <row r="32" spans="1:12" x14ac:dyDescent="0.3">
      <c r="A32" t="s">
        <v>10</v>
      </c>
      <c r="B32" t="s">
        <v>590</v>
      </c>
      <c r="C32" t="s">
        <v>576</v>
      </c>
      <c r="D32" t="s">
        <v>583</v>
      </c>
      <c r="E32" s="2">
        <v>1</v>
      </c>
      <c r="F32" s="2">
        <v>1</v>
      </c>
      <c r="G32" s="2">
        <v>1</v>
      </c>
      <c r="H32" s="2">
        <v>1</v>
      </c>
      <c r="I32" s="1">
        <v>1</v>
      </c>
      <c r="J32" s="1">
        <v>1</v>
      </c>
      <c r="K32" s="1">
        <v>1</v>
      </c>
      <c r="L32" s="1">
        <v>1</v>
      </c>
    </row>
    <row r="33" spans="1:12" x14ac:dyDescent="0.3">
      <c r="A33" t="s">
        <v>10</v>
      </c>
      <c r="B33" t="s">
        <v>33</v>
      </c>
      <c r="C33" t="s">
        <v>34</v>
      </c>
      <c r="D33" t="s">
        <v>35</v>
      </c>
      <c r="E33" s="2">
        <v>0.65181853133410195</v>
      </c>
      <c r="F33" s="2">
        <v>0.64880430603613903</v>
      </c>
      <c r="G33" s="2">
        <v>0.750222991157247</v>
      </c>
      <c r="H33" s="2">
        <v>0.75329873125720803</v>
      </c>
      <c r="I33" s="1">
        <v>0.920392156862745</v>
      </c>
      <c r="J33" s="1">
        <v>0.914986543637062</v>
      </c>
      <c r="K33" s="1">
        <v>0.98149942329873097</v>
      </c>
      <c r="L33" s="1">
        <v>0.99207612456747396</v>
      </c>
    </row>
    <row r="34" spans="1:12" x14ac:dyDescent="0.3">
      <c r="A34" t="s">
        <v>10</v>
      </c>
      <c r="B34" t="s">
        <v>36</v>
      </c>
      <c r="C34" t="s">
        <v>34</v>
      </c>
      <c r="D34" t="s">
        <v>35</v>
      </c>
      <c r="E34" s="2">
        <v>0.68852461801102405</v>
      </c>
      <c r="F34" s="2">
        <v>0.757892457044819</v>
      </c>
      <c r="G34" s="2">
        <v>0.74655721553605803</v>
      </c>
      <c r="H34" s="2">
        <v>0.84512863197411203</v>
      </c>
      <c r="I34" s="1">
        <v>0.91217608439004905</v>
      </c>
      <c r="J34" s="1">
        <v>0.925517458106489</v>
      </c>
      <c r="K34" s="1">
        <v>0.994985518817044</v>
      </c>
      <c r="L34" s="1">
        <v>0.98919219629859201</v>
      </c>
    </row>
    <row r="35" spans="1:12" x14ac:dyDescent="0.3">
      <c r="A35" t="s">
        <v>10</v>
      </c>
      <c r="B35" t="s">
        <v>37</v>
      </c>
      <c r="C35" t="s">
        <v>576</v>
      </c>
      <c r="D35" t="s">
        <v>591</v>
      </c>
      <c r="E35" s="2">
        <v>0.99925686471221997</v>
      </c>
      <c r="F35" s="2">
        <v>0.99925686471221997</v>
      </c>
      <c r="G35" s="2">
        <v>0.99925686471221997</v>
      </c>
      <c r="H35" s="2">
        <v>0.99925686471221997</v>
      </c>
      <c r="I35" s="1">
        <v>0.99925686471221997</v>
      </c>
      <c r="J35" s="1">
        <v>0.99925686471221997</v>
      </c>
      <c r="K35" s="1">
        <v>0.99925686471221997</v>
      </c>
      <c r="L35" s="1">
        <v>0.99925686471221997</v>
      </c>
    </row>
    <row r="36" spans="1:12" x14ac:dyDescent="0.3">
      <c r="A36" t="s">
        <v>10</v>
      </c>
      <c r="B36" t="s">
        <v>38</v>
      </c>
      <c r="C36" t="s">
        <v>34</v>
      </c>
      <c r="D36" t="s">
        <v>35</v>
      </c>
      <c r="E36" s="2">
        <v>0.66813043986611198</v>
      </c>
      <c r="F36" s="2">
        <v>0.733986638424454</v>
      </c>
      <c r="G36" s="2">
        <v>0.749006854809106</v>
      </c>
      <c r="H36" s="2">
        <v>0.81148459231423897</v>
      </c>
      <c r="I36" s="1">
        <v>0.93476375244377596</v>
      </c>
      <c r="J36" s="1">
        <v>0.91379282216379198</v>
      </c>
      <c r="K36" s="1">
        <v>0.99936645358116805</v>
      </c>
      <c r="L36" s="1">
        <v>0.99050632050922904</v>
      </c>
    </row>
    <row r="37" spans="1:12" x14ac:dyDescent="0.3">
      <c r="A37" t="s">
        <v>10</v>
      </c>
      <c r="B37" t="s">
        <v>39</v>
      </c>
      <c r="C37" t="s">
        <v>34</v>
      </c>
      <c r="D37" t="s">
        <v>35</v>
      </c>
      <c r="E37" s="2">
        <v>0.66620595135775496</v>
      </c>
      <c r="F37" s="2">
        <v>0.66028537248251995</v>
      </c>
      <c r="G37" s="2">
        <v>0.79233838184394501</v>
      </c>
      <c r="H37" s="2">
        <v>0.78455945550419304</v>
      </c>
      <c r="I37" s="1">
        <v>0.94738553741085696</v>
      </c>
      <c r="J37" s="1">
        <v>0.92962089711723805</v>
      </c>
      <c r="K37" s="1">
        <v>0.99560675044716496</v>
      </c>
      <c r="L37" s="1">
        <v>0.99574322283909</v>
      </c>
    </row>
    <row r="38" spans="1:12" x14ac:dyDescent="0.3">
      <c r="A38" t="s">
        <v>10</v>
      </c>
      <c r="B38" t="s">
        <v>40</v>
      </c>
      <c r="C38" t="s">
        <v>34</v>
      </c>
      <c r="D38" t="s">
        <v>35</v>
      </c>
      <c r="E38" s="2">
        <v>0.73692192497080999</v>
      </c>
      <c r="F38" s="2">
        <v>0.69232575257627205</v>
      </c>
      <c r="G38" s="2">
        <v>0.78401822427534396</v>
      </c>
      <c r="H38" s="2">
        <v>0.77726661251840201</v>
      </c>
      <c r="I38" s="1">
        <v>0.92222320929996404</v>
      </c>
      <c r="J38" s="1">
        <v>0.91986268338494304</v>
      </c>
      <c r="K38" s="1">
        <v>0.99577389715213904</v>
      </c>
      <c r="L38" s="1">
        <v>1</v>
      </c>
    </row>
    <row r="39" spans="1:12" x14ac:dyDescent="0.3">
      <c r="A39" t="s">
        <v>10</v>
      </c>
      <c r="B39" t="s">
        <v>41</v>
      </c>
      <c r="C39" t="s">
        <v>34</v>
      </c>
      <c r="D39" t="s">
        <v>35</v>
      </c>
      <c r="E39" s="2">
        <v>0.99683150524509201</v>
      </c>
      <c r="F39" s="2">
        <v>0.99622926499755904</v>
      </c>
      <c r="G39" s="2">
        <v>0.99789754589792501</v>
      </c>
      <c r="H39" s="2">
        <v>0.99622926499755904</v>
      </c>
      <c r="I39" s="1">
        <v>0.99989226471421599</v>
      </c>
      <c r="J39" s="1">
        <v>0.99622926499755904</v>
      </c>
      <c r="K39" s="1">
        <v>1</v>
      </c>
      <c r="L39" s="1">
        <v>0.99829993719032795</v>
      </c>
    </row>
    <row r="40" spans="1:12" x14ac:dyDescent="0.3">
      <c r="A40" t="s">
        <v>10</v>
      </c>
      <c r="B40" t="s">
        <v>42</v>
      </c>
      <c r="C40" t="s">
        <v>576</v>
      </c>
      <c r="D40" t="s">
        <v>591</v>
      </c>
      <c r="E40" s="2">
        <v>1</v>
      </c>
      <c r="F40" s="2">
        <v>1</v>
      </c>
      <c r="G40" s="2">
        <v>1</v>
      </c>
      <c r="H40" s="2">
        <v>1</v>
      </c>
      <c r="I40" s="1">
        <v>1</v>
      </c>
      <c r="J40" s="1">
        <v>1</v>
      </c>
      <c r="K40" s="1">
        <v>1</v>
      </c>
      <c r="L40" s="1">
        <v>1</v>
      </c>
    </row>
    <row r="41" spans="1:12" x14ac:dyDescent="0.3">
      <c r="A41" t="s">
        <v>10</v>
      </c>
      <c r="B41" t="s">
        <v>43</v>
      </c>
      <c r="C41" t="s">
        <v>34</v>
      </c>
      <c r="D41" t="s">
        <v>35</v>
      </c>
      <c r="E41" s="2">
        <v>0.65209816322936298</v>
      </c>
      <c r="F41" s="2">
        <v>0.746227363624406</v>
      </c>
      <c r="G41" s="2">
        <v>0.74454419596976096</v>
      </c>
      <c r="H41" s="2">
        <v>0.83021185618837201</v>
      </c>
      <c r="I41" s="1">
        <v>0.93048350384230305</v>
      </c>
      <c r="J41" s="1">
        <v>0.93082403875521302</v>
      </c>
      <c r="K41" s="1">
        <v>0.99842662838110396</v>
      </c>
      <c r="L41" s="1">
        <v>0.99519684144114795</v>
      </c>
    </row>
    <row r="42" spans="1:12" x14ac:dyDescent="0.3">
      <c r="A42" t="s">
        <v>10</v>
      </c>
      <c r="B42" t="s">
        <v>44</v>
      </c>
      <c r="C42" t="s">
        <v>34</v>
      </c>
      <c r="D42" t="s">
        <v>35</v>
      </c>
      <c r="E42" s="2">
        <v>0.62691335633978995</v>
      </c>
      <c r="F42" s="2">
        <v>0.61734972333476001</v>
      </c>
      <c r="G42" s="2">
        <v>0.73969957261727803</v>
      </c>
      <c r="H42" s="2">
        <v>0.72037498845478898</v>
      </c>
      <c r="I42" s="1">
        <v>0.92818458903246903</v>
      </c>
      <c r="J42" s="1">
        <v>0.89798651519349704</v>
      </c>
      <c r="K42" s="1">
        <v>0.99835008438499695</v>
      </c>
      <c r="L42" s="1">
        <v>0.99474797853850205</v>
      </c>
    </row>
    <row r="43" spans="1:12" x14ac:dyDescent="0.3">
      <c r="A43" t="s">
        <v>10</v>
      </c>
      <c r="B43" t="s">
        <v>45</v>
      </c>
      <c r="C43" t="s">
        <v>34</v>
      </c>
      <c r="D43" t="s">
        <v>35</v>
      </c>
      <c r="E43" s="2">
        <v>0.71840008760642804</v>
      </c>
      <c r="F43" s="2">
        <v>0.70845538916417905</v>
      </c>
      <c r="G43" s="2">
        <v>0.83618966791688298</v>
      </c>
      <c r="H43" s="2">
        <v>0.80790237358666095</v>
      </c>
      <c r="I43" s="1">
        <v>0.92040134694883202</v>
      </c>
      <c r="J43" s="1">
        <v>0.91468639636433302</v>
      </c>
      <c r="K43" s="1">
        <v>0.99767979850521504</v>
      </c>
      <c r="L43" s="1">
        <v>1</v>
      </c>
    </row>
    <row r="44" spans="1:12" x14ac:dyDescent="0.3">
      <c r="A44" t="s">
        <v>10</v>
      </c>
      <c r="B44" t="s">
        <v>46</v>
      </c>
      <c r="C44" t="s">
        <v>34</v>
      </c>
      <c r="D44" t="s">
        <v>35</v>
      </c>
      <c r="E44" s="2">
        <v>0.86099999999999999</v>
      </c>
      <c r="F44" s="2">
        <v>0.875</v>
      </c>
      <c r="G44" s="2">
        <v>0.9375</v>
      </c>
      <c r="H44" s="2">
        <v>1</v>
      </c>
      <c r="I44" s="1">
        <v>1</v>
      </c>
      <c r="J44" s="1">
        <v>1</v>
      </c>
      <c r="K44" s="1">
        <v>1</v>
      </c>
      <c r="L44" s="1">
        <v>1</v>
      </c>
    </row>
    <row r="45" spans="1:12" x14ac:dyDescent="0.3">
      <c r="A45" t="s">
        <v>10</v>
      </c>
      <c r="B45" t="s">
        <v>47</v>
      </c>
      <c r="C45" t="s">
        <v>574</v>
      </c>
      <c r="D45" t="s">
        <v>575</v>
      </c>
      <c r="E45" s="2">
        <v>0.92353012048192695</v>
      </c>
      <c r="F45" s="2">
        <v>0.91750602409638504</v>
      </c>
      <c r="G45" s="2">
        <v>0.92353012048192695</v>
      </c>
      <c r="H45" s="2">
        <v>0.92353012048192695</v>
      </c>
      <c r="I45" s="1">
        <v>0.91750602409638504</v>
      </c>
      <c r="J45" s="1">
        <v>0.92353012048192695</v>
      </c>
      <c r="K45" s="1">
        <v>0.92353012048192695</v>
      </c>
      <c r="L45" s="1">
        <v>0.92955421686746897</v>
      </c>
    </row>
    <row r="46" spans="1:12" x14ac:dyDescent="0.3">
      <c r="A46" t="s">
        <v>10</v>
      </c>
      <c r="B46" t="s">
        <v>48</v>
      </c>
      <c r="C46" t="s">
        <v>576</v>
      </c>
      <c r="D46" t="s">
        <v>591</v>
      </c>
      <c r="E46" s="2">
        <v>0.93467741935483795</v>
      </c>
      <c r="F46" s="2">
        <v>0.99958064516128997</v>
      </c>
      <c r="G46" s="2">
        <v>0.98345161290322503</v>
      </c>
      <c r="H46" s="2">
        <v>0.99958064516128997</v>
      </c>
      <c r="I46" s="1">
        <v>0.98345161290322503</v>
      </c>
      <c r="J46" s="1">
        <v>0.99151612903225805</v>
      </c>
      <c r="K46" s="1">
        <v>0.98345161290322503</v>
      </c>
      <c r="L46" s="1">
        <v>0.98345161290322503</v>
      </c>
    </row>
    <row r="47" spans="1:12" x14ac:dyDescent="0.3">
      <c r="A47" t="s">
        <v>10</v>
      </c>
      <c r="B47" t="s">
        <v>49</v>
      </c>
      <c r="C47" t="s">
        <v>576</v>
      </c>
      <c r="D47" t="s">
        <v>592</v>
      </c>
      <c r="E47" s="2">
        <v>0.95970833333333305</v>
      </c>
      <c r="F47" s="2">
        <v>0.96329166666666599</v>
      </c>
      <c r="G47" s="2">
        <v>0.98399999999999999</v>
      </c>
      <c r="H47" s="2">
        <v>1</v>
      </c>
      <c r="I47" s="1">
        <v>1</v>
      </c>
      <c r="J47" s="1">
        <v>1</v>
      </c>
      <c r="K47" s="1">
        <v>1</v>
      </c>
      <c r="L47" s="1">
        <v>1</v>
      </c>
    </row>
    <row r="48" spans="1:12" x14ac:dyDescent="0.3">
      <c r="A48" t="s">
        <v>10</v>
      </c>
      <c r="B48" t="s">
        <v>593</v>
      </c>
      <c r="C48" t="s">
        <v>576</v>
      </c>
      <c r="D48" t="s">
        <v>577</v>
      </c>
      <c r="E48" s="2">
        <v>0.940381346930104</v>
      </c>
      <c r="F48" s="2">
        <v>0.95760746406061803</v>
      </c>
      <c r="G48" s="2">
        <v>0.99571560087812405</v>
      </c>
      <c r="H48" s="2">
        <v>0.99571560087812405</v>
      </c>
      <c r="I48" s="1">
        <v>0.99571560087812405</v>
      </c>
      <c r="J48" s="1">
        <v>0.99571560087812405</v>
      </c>
      <c r="K48" s="1">
        <v>0.99571560087812405</v>
      </c>
      <c r="L48" s="1">
        <v>0.99726471213086798</v>
      </c>
    </row>
    <row r="49" spans="1:12" x14ac:dyDescent="0.3">
      <c r="A49" t="s">
        <v>10</v>
      </c>
      <c r="B49" t="s">
        <v>594</v>
      </c>
      <c r="C49" t="s">
        <v>576</v>
      </c>
      <c r="D49" t="s">
        <v>577</v>
      </c>
      <c r="E49" s="2">
        <v>0.710425567551903</v>
      </c>
      <c r="F49" s="2">
        <v>0.96198817971302697</v>
      </c>
      <c r="G49" s="2">
        <v>0.85155649730281502</v>
      </c>
      <c r="H49" s="2">
        <v>0.99892458252798799</v>
      </c>
      <c r="I49" s="1">
        <v>0.90218087750875298</v>
      </c>
      <c r="J49" s="1">
        <v>0.99892458252798799</v>
      </c>
      <c r="K49" s="1">
        <v>0.99292138684986397</v>
      </c>
      <c r="L49" s="1">
        <v>0.99892458252798799</v>
      </c>
    </row>
    <row r="50" spans="1:12" x14ac:dyDescent="0.3">
      <c r="A50" t="s">
        <v>10</v>
      </c>
      <c r="B50" t="s">
        <v>50</v>
      </c>
      <c r="C50" t="s">
        <v>576</v>
      </c>
      <c r="D50" t="s">
        <v>14</v>
      </c>
      <c r="E50" s="2">
        <v>0.90894194756554303</v>
      </c>
      <c r="F50" s="2">
        <v>0.95795880149812696</v>
      </c>
      <c r="G50" s="2">
        <v>0.98787453183520602</v>
      </c>
      <c r="H50" s="2">
        <v>0.98707865168539299</v>
      </c>
      <c r="I50" s="1">
        <v>0.99049625468164704</v>
      </c>
      <c r="J50" s="1">
        <v>0.98707865168539299</v>
      </c>
      <c r="K50" s="1">
        <v>0.992041198501872</v>
      </c>
      <c r="L50" s="1">
        <v>0.98721910112359501</v>
      </c>
    </row>
    <row r="51" spans="1:12" x14ac:dyDescent="0.3">
      <c r="A51" t="s">
        <v>10</v>
      </c>
      <c r="B51" t="s">
        <v>51</v>
      </c>
      <c r="C51" t="s">
        <v>574</v>
      </c>
      <c r="D51" t="s">
        <v>575</v>
      </c>
      <c r="E51" s="2">
        <v>0.72003474983575899</v>
      </c>
      <c r="F51" s="2">
        <v>0.988025569655267</v>
      </c>
      <c r="G51" s="2">
        <v>0.86416012586010105</v>
      </c>
      <c r="H51" s="2">
        <v>0.99845484250198802</v>
      </c>
      <c r="I51" s="1">
        <v>0.92203978078213</v>
      </c>
      <c r="J51" s="1">
        <v>0.99873578022889897</v>
      </c>
      <c r="K51" s="1">
        <v>0.99892811451886099</v>
      </c>
      <c r="L51" s="1">
        <v>0.99894972511323898</v>
      </c>
    </row>
    <row r="52" spans="1:12" x14ac:dyDescent="0.3">
      <c r="A52" t="s">
        <v>10</v>
      </c>
      <c r="B52" t="s">
        <v>52</v>
      </c>
      <c r="C52" t="s">
        <v>576</v>
      </c>
      <c r="D52" t="s">
        <v>577</v>
      </c>
      <c r="E52" s="2">
        <v>0.89280441531562604</v>
      </c>
      <c r="F52" s="2">
        <v>0.91207312866505597</v>
      </c>
      <c r="G52" s="2">
        <v>0.94129699896515995</v>
      </c>
      <c r="H52" s="2">
        <v>0.94451190065539803</v>
      </c>
      <c r="I52" s="1">
        <v>0.94467057606071003</v>
      </c>
      <c r="J52" s="1">
        <v>0.94476026215936504</v>
      </c>
      <c r="K52" s="1">
        <v>0.94449810279406698</v>
      </c>
      <c r="L52" s="1">
        <v>0.94456709210072398</v>
      </c>
    </row>
    <row r="53" spans="1:12" x14ac:dyDescent="0.3">
      <c r="A53" t="s">
        <v>10</v>
      </c>
      <c r="B53" t="s">
        <v>53</v>
      </c>
      <c r="C53" t="s">
        <v>576</v>
      </c>
      <c r="D53" t="s">
        <v>595</v>
      </c>
      <c r="E53" s="2">
        <v>0.74580372575379295</v>
      </c>
      <c r="F53" s="2">
        <v>0.97243545776290097</v>
      </c>
      <c r="G53" s="2">
        <v>0.89824000658454195</v>
      </c>
      <c r="H53" s="2">
        <v>0.99124255809487205</v>
      </c>
      <c r="I53" s="1">
        <v>0.99583939202721605</v>
      </c>
      <c r="J53" s="1">
        <v>0.997696781804713</v>
      </c>
      <c r="K53" s="1">
        <v>0.99603967187028397</v>
      </c>
      <c r="L53" s="1">
        <v>0.99820571209086595</v>
      </c>
    </row>
    <row r="54" spans="1:12" x14ac:dyDescent="0.3">
      <c r="A54" t="s">
        <v>10</v>
      </c>
      <c r="B54" t="s">
        <v>54</v>
      </c>
      <c r="C54" t="s">
        <v>576</v>
      </c>
      <c r="D54" t="s">
        <v>14</v>
      </c>
      <c r="E54" s="2">
        <v>0.91655826054636602</v>
      </c>
      <c r="F54" s="2">
        <v>0.92129715666233003</v>
      </c>
      <c r="G54" s="2">
        <v>0.98332094406244097</v>
      </c>
      <c r="H54" s="2">
        <v>0.987316483924921</v>
      </c>
      <c r="I54" s="1">
        <v>0.98805984017840498</v>
      </c>
      <c r="J54" s="1">
        <v>0.987316483924921</v>
      </c>
      <c r="K54" s="1">
        <v>0.98917487455863196</v>
      </c>
      <c r="L54" s="1">
        <v>0.987316483924921</v>
      </c>
    </row>
    <row r="55" spans="1:12" x14ac:dyDescent="0.3">
      <c r="A55" t="s">
        <v>10</v>
      </c>
      <c r="B55" t="s">
        <v>55</v>
      </c>
      <c r="C55" t="s">
        <v>576</v>
      </c>
      <c r="D55" t="s">
        <v>583</v>
      </c>
      <c r="E55" s="2">
        <v>0</v>
      </c>
      <c r="F55" s="2">
        <v>0</v>
      </c>
      <c r="G55" s="2">
        <v>0</v>
      </c>
      <c r="H55" s="2">
        <v>0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3">
      <c r="A56" t="s">
        <v>10</v>
      </c>
      <c r="B56" t="s">
        <v>596</v>
      </c>
      <c r="C56" t="s">
        <v>574</v>
      </c>
      <c r="D56" t="s">
        <v>575</v>
      </c>
      <c r="E56" s="2">
        <v>0.97975134886444404</v>
      </c>
      <c r="F56" s="2">
        <v>0.96911858505165405</v>
      </c>
      <c r="G56" s="2">
        <v>0.979770954452298</v>
      </c>
      <c r="H56" s="2">
        <v>0.98482919611861597</v>
      </c>
      <c r="I56" s="1">
        <v>0.98639502906855103</v>
      </c>
      <c r="J56" s="1">
        <v>0.98518078966079703</v>
      </c>
      <c r="K56" s="1">
        <v>0.98572190388556602</v>
      </c>
      <c r="L56" s="1">
        <v>0.985889204901919</v>
      </c>
    </row>
    <row r="57" spans="1:12" x14ac:dyDescent="0.3">
      <c r="A57" t="s">
        <v>10</v>
      </c>
      <c r="B57" t="s">
        <v>597</v>
      </c>
      <c r="C57" t="s">
        <v>576</v>
      </c>
      <c r="D57" t="s">
        <v>598</v>
      </c>
      <c r="E57" s="2">
        <v>0.71453528121369203</v>
      </c>
      <c r="F57" s="2">
        <v>0.92563744426688099</v>
      </c>
      <c r="G57" s="2">
        <v>0.75316782222445899</v>
      </c>
      <c r="H57" s="2">
        <v>0.95799515965991699</v>
      </c>
      <c r="I57" s="1">
        <v>0.94471148804805005</v>
      </c>
      <c r="J57" s="1">
        <v>0.97429250921719801</v>
      </c>
      <c r="K57" s="1">
        <v>0.98859751775280702</v>
      </c>
      <c r="L57" s="1">
        <v>0.97125366485887898</v>
      </c>
    </row>
    <row r="58" spans="1:12" x14ac:dyDescent="0.3">
      <c r="A58" t="s">
        <v>10</v>
      </c>
      <c r="B58" t="s">
        <v>56</v>
      </c>
      <c r="C58" t="s">
        <v>576</v>
      </c>
      <c r="D58" t="s">
        <v>577</v>
      </c>
      <c r="E58" s="2">
        <v>0.75518400543895603</v>
      </c>
      <c r="F58" s="2">
        <v>0.87448222896496097</v>
      </c>
      <c r="G58" s="2">
        <v>0.89092500031475397</v>
      </c>
      <c r="H58" s="2">
        <v>0.89835320482959102</v>
      </c>
      <c r="I58" s="1">
        <v>0.90218691376987603</v>
      </c>
      <c r="J58" s="1">
        <v>0.89911491054679105</v>
      </c>
      <c r="K58" s="1">
        <v>0.90387399750714403</v>
      </c>
      <c r="L58" s="1">
        <v>0.89911491054679105</v>
      </c>
    </row>
    <row r="59" spans="1:12" x14ac:dyDescent="0.3">
      <c r="A59" t="s">
        <v>10</v>
      </c>
      <c r="B59" t="s">
        <v>599</v>
      </c>
      <c r="C59" t="s">
        <v>574</v>
      </c>
      <c r="D59" t="s">
        <v>575</v>
      </c>
      <c r="E59" s="2">
        <v>0.56268905620592102</v>
      </c>
      <c r="F59" s="2">
        <v>0.62998786880684099</v>
      </c>
      <c r="G59" s="2">
        <v>0.64016724805116498</v>
      </c>
      <c r="H59" s="2">
        <v>0.69194730732965704</v>
      </c>
      <c r="I59" s="1">
        <v>0.71592276612267902</v>
      </c>
      <c r="J59" s="1">
        <v>0.74265670635749903</v>
      </c>
      <c r="K59" s="1">
        <v>0.74479345375651196</v>
      </c>
      <c r="L59" s="1">
        <v>0.74292146126416003</v>
      </c>
    </row>
    <row r="60" spans="1:12" x14ac:dyDescent="0.3">
      <c r="A60" t="s">
        <v>57</v>
      </c>
      <c r="B60" t="s">
        <v>58</v>
      </c>
      <c r="C60" t="s">
        <v>580</v>
      </c>
      <c r="D60" t="s">
        <v>581</v>
      </c>
      <c r="E60" s="2">
        <v>0.80397032702956805</v>
      </c>
      <c r="F60" s="2">
        <v>0.78486051614251295</v>
      </c>
      <c r="G60" s="2">
        <v>0.89045031867098501</v>
      </c>
      <c r="H60" s="2">
        <v>0.84913802110542203</v>
      </c>
      <c r="I60" s="1">
        <v>0.94020478528889295</v>
      </c>
      <c r="J60" s="1">
        <v>0.89055480096123696</v>
      </c>
      <c r="K60" s="1">
        <v>0.95057987671089705</v>
      </c>
      <c r="L60" s="1">
        <v>0.933883606728659</v>
      </c>
    </row>
    <row r="61" spans="1:12" x14ac:dyDescent="0.3">
      <c r="A61" t="s">
        <v>57</v>
      </c>
      <c r="B61" t="s">
        <v>59</v>
      </c>
      <c r="C61" t="s">
        <v>580</v>
      </c>
      <c r="D61" t="s">
        <v>581</v>
      </c>
      <c r="E61" s="2">
        <v>0.80804471989306104</v>
      </c>
      <c r="F61" s="2">
        <v>0.81554866934013803</v>
      </c>
      <c r="G61" s="2">
        <v>0.93075707862437695</v>
      </c>
      <c r="H61" s="2">
        <v>0.87156398104265398</v>
      </c>
      <c r="I61" s="1">
        <v>0.98307206221898102</v>
      </c>
      <c r="J61" s="1">
        <v>0.89956252278527105</v>
      </c>
      <c r="K61" s="1">
        <v>0.99526673957953504</v>
      </c>
      <c r="L61" s="1">
        <v>0.92094422165512202</v>
      </c>
    </row>
    <row r="62" spans="1:12" x14ac:dyDescent="0.3">
      <c r="A62" t="s">
        <v>57</v>
      </c>
      <c r="B62" t="s">
        <v>60</v>
      </c>
      <c r="C62" t="s">
        <v>576</v>
      </c>
      <c r="D62" t="s">
        <v>589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3">
      <c r="A63" t="s">
        <v>57</v>
      </c>
      <c r="B63" t="s">
        <v>61</v>
      </c>
      <c r="C63" t="s">
        <v>576</v>
      </c>
      <c r="D63" t="s">
        <v>583</v>
      </c>
      <c r="E63" s="2">
        <v>0</v>
      </c>
      <c r="F63" s="2">
        <v>0</v>
      </c>
      <c r="G63" s="2">
        <v>0</v>
      </c>
      <c r="H63" s="2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3">
      <c r="A64" t="s">
        <v>57</v>
      </c>
      <c r="B64" t="s">
        <v>600</v>
      </c>
      <c r="C64" t="s">
        <v>574</v>
      </c>
      <c r="D64" t="s">
        <v>575</v>
      </c>
      <c r="E64" s="2">
        <v>0.88405990173106896</v>
      </c>
      <c r="F64" s="2">
        <v>0.83801103370451901</v>
      </c>
      <c r="G64" s="2">
        <v>0.98474049635997396</v>
      </c>
      <c r="H64" s="2">
        <v>0.91241409304986298</v>
      </c>
      <c r="I64" s="1">
        <v>1</v>
      </c>
      <c r="J64" s="1">
        <v>0.98705224553127102</v>
      </c>
      <c r="K64" s="1">
        <v>1</v>
      </c>
      <c r="L64" s="1">
        <v>1</v>
      </c>
    </row>
    <row r="65" spans="1:12" x14ac:dyDescent="0.3">
      <c r="A65" t="s">
        <v>57</v>
      </c>
      <c r="B65" t="s">
        <v>601</v>
      </c>
      <c r="C65" t="s">
        <v>34</v>
      </c>
      <c r="D65" t="s">
        <v>35</v>
      </c>
      <c r="E65" s="2">
        <v>0.86808376207238902</v>
      </c>
      <c r="F65" s="2">
        <v>0.87726028221560304</v>
      </c>
      <c r="G65" s="2">
        <v>0.94163131449890103</v>
      </c>
      <c r="H65" s="2">
        <v>0.95795348557330595</v>
      </c>
      <c r="I65" s="1">
        <v>0.98376808977946195</v>
      </c>
      <c r="J65" s="1">
        <v>0.98743869783674798</v>
      </c>
      <c r="K65" s="1">
        <v>0.99165087101723903</v>
      </c>
      <c r="L65" s="1">
        <v>1</v>
      </c>
    </row>
    <row r="66" spans="1:12" x14ac:dyDescent="0.3">
      <c r="A66" t="s">
        <v>57</v>
      </c>
      <c r="B66" t="s">
        <v>602</v>
      </c>
      <c r="C66" t="s">
        <v>580</v>
      </c>
      <c r="D66" t="s">
        <v>581</v>
      </c>
      <c r="E66" s="2">
        <v>0.80609279048930205</v>
      </c>
      <c r="F66" s="2">
        <v>0.83221879848772895</v>
      </c>
      <c r="G66" s="2">
        <v>0.88362944994427295</v>
      </c>
      <c r="H66" s="2">
        <v>0.83221879848772895</v>
      </c>
      <c r="I66" s="1">
        <v>0.940197556764789</v>
      </c>
      <c r="J66" s="1">
        <v>0.85503398238597805</v>
      </c>
      <c r="K66" s="1">
        <v>0.95026115081186202</v>
      </c>
      <c r="L66" s="1">
        <v>0.89410826285539402</v>
      </c>
    </row>
    <row r="67" spans="1:12" x14ac:dyDescent="0.3">
      <c r="A67" t="s">
        <v>57</v>
      </c>
      <c r="B67" t="s">
        <v>603</v>
      </c>
      <c r="C67" t="s">
        <v>576</v>
      </c>
      <c r="D67" t="s">
        <v>589</v>
      </c>
      <c r="E67" s="2">
        <v>0</v>
      </c>
      <c r="F67" s="2">
        <v>0</v>
      </c>
      <c r="G67" s="2">
        <v>0</v>
      </c>
      <c r="H67" s="2">
        <v>0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3">
      <c r="A68" t="s">
        <v>57</v>
      </c>
      <c r="B68" t="s">
        <v>604</v>
      </c>
      <c r="C68" t="s">
        <v>574</v>
      </c>
      <c r="D68" t="s">
        <v>575</v>
      </c>
      <c r="E68" s="2">
        <v>0.53912699955213395</v>
      </c>
      <c r="F68" s="2">
        <v>0.53360261621274396</v>
      </c>
      <c r="G68" s="2">
        <v>0.59192447122250402</v>
      </c>
      <c r="H68" s="2">
        <v>0.57942436559375998</v>
      </c>
      <c r="I68" s="1">
        <v>0.59194559697141202</v>
      </c>
      <c r="J68" s="1">
        <v>0.59142167839849902</v>
      </c>
      <c r="K68" s="1">
        <v>0.592120940687347</v>
      </c>
      <c r="L68" s="1">
        <v>0.59121887120898398</v>
      </c>
    </row>
    <row r="69" spans="1:12" x14ac:dyDescent="0.3">
      <c r="A69" t="s">
        <v>57</v>
      </c>
      <c r="B69" t="s">
        <v>62</v>
      </c>
      <c r="C69" t="s">
        <v>576</v>
      </c>
      <c r="D69" t="s">
        <v>598</v>
      </c>
      <c r="E69" s="2">
        <v>0.87385381384300198</v>
      </c>
      <c r="F69" s="2">
        <v>0.79454938580787204</v>
      </c>
      <c r="G69" s="2">
        <v>0.88208850119267801</v>
      </c>
      <c r="H69" s="2">
        <v>0.88208850119267801</v>
      </c>
      <c r="I69" s="1">
        <v>0.88225959225775696</v>
      </c>
      <c r="J69" s="1">
        <v>0.88225959225775696</v>
      </c>
      <c r="K69" s="1">
        <v>0.88225959225775696</v>
      </c>
      <c r="L69" s="1">
        <v>0.88309025177661904</v>
      </c>
    </row>
    <row r="70" spans="1:12" x14ac:dyDescent="0.3">
      <c r="A70" t="s">
        <v>57</v>
      </c>
      <c r="B70" t="s">
        <v>605</v>
      </c>
      <c r="C70" t="s">
        <v>576</v>
      </c>
      <c r="D70" t="s">
        <v>583</v>
      </c>
      <c r="E70" s="2">
        <v>0.93489321564793504</v>
      </c>
      <c r="F70" s="2">
        <v>0.78787367638351402</v>
      </c>
      <c r="G70" s="2">
        <v>0.99420982333420505</v>
      </c>
      <c r="H70" s="2">
        <v>0.99985197526954195</v>
      </c>
      <c r="I70" s="1">
        <v>1</v>
      </c>
      <c r="J70" s="1">
        <v>0.99985197526954195</v>
      </c>
      <c r="K70" s="1">
        <v>1</v>
      </c>
      <c r="L70" s="1">
        <v>1</v>
      </c>
    </row>
    <row r="71" spans="1:12" x14ac:dyDescent="0.3">
      <c r="A71" t="s">
        <v>57</v>
      </c>
      <c r="B71" t="s">
        <v>63</v>
      </c>
      <c r="C71" t="s">
        <v>576</v>
      </c>
      <c r="D71" t="s">
        <v>583</v>
      </c>
      <c r="E71" s="2">
        <v>0.87852968942317999</v>
      </c>
      <c r="F71" s="2">
        <v>0.86699210114360103</v>
      </c>
      <c r="G71" s="2">
        <v>0.95781998733314999</v>
      </c>
      <c r="H71" s="2">
        <v>0.99813880955510603</v>
      </c>
      <c r="I71" s="1">
        <v>1</v>
      </c>
      <c r="J71" s="1">
        <v>0.99925910877956103</v>
      </c>
      <c r="K71" s="1">
        <v>1</v>
      </c>
      <c r="L71" s="1">
        <v>0.99969527861094798</v>
      </c>
    </row>
    <row r="72" spans="1:12" x14ac:dyDescent="0.3">
      <c r="A72" t="s">
        <v>57</v>
      </c>
      <c r="B72" t="s">
        <v>64</v>
      </c>
      <c r="C72" t="s">
        <v>576</v>
      </c>
      <c r="D72" t="s">
        <v>589</v>
      </c>
      <c r="E72" s="2">
        <v>0</v>
      </c>
      <c r="F72" s="2">
        <v>0</v>
      </c>
      <c r="G72" s="2">
        <v>0</v>
      </c>
      <c r="H72" s="2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3">
      <c r="A73" t="s">
        <v>57</v>
      </c>
      <c r="B73" t="s">
        <v>606</v>
      </c>
      <c r="C73" t="s">
        <v>580</v>
      </c>
      <c r="D73" t="s">
        <v>581</v>
      </c>
      <c r="E73" s="2">
        <v>0.86351233786776305</v>
      </c>
      <c r="F73" s="2">
        <v>0.89627491300221396</v>
      </c>
      <c r="G73" s="2">
        <v>0.92197880417589295</v>
      </c>
      <c r="H73" s="2">
        <v>0.90916640303701302</v>
      </c>
      <c r="I73" s="1">
        <v>0.92711958241062897</v>
      </c>
      <c r="J73" s="1">
        <v>0.84741774754824395</v>
      </c>
      <c r="K73" s="1">
        <v>0.91930955393862701</v>
      </c>
      <c r="L73" s="1">
        <v>0.82189180639038195</v>
      </c>
    </row>
    <row r="74" spans="1:12" x14ac:dyDescent="0.3">
      <c r="A74" t="s">
        <v>57</v>
      </c>
      <c r="B74" t="s">
        <v>65</v>
      </c>
      <c r="C74" t="s">
        <v>576</v>
      </c>
      <c r="D74" t="s">
        <v>589</v>
      </c>
      <c r="E74" s="2">
        <v>0</v>
      </c>
      <c r="F74" s="2">
        <v>0</v>
      </c>
      <c r="G74" s="2">
        <v>0</v>
      </c>
      <c r="H74" s="2">
        <v>0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3">
      <c r="A75" t="s">
        <v>57</v>
      </c>
      <c r="B75" t="s">
        <v>66</v>
      </c>
      <c r="C75" t="s">
        <v>34</v>
      </c>
      <c r="D75" t="s">
        <v>35</v>
      </c>
      <c r="E75" s="2">
        <v>0.86155873517106596</v>
      </c>
      <c r="F75" s="2">
        <v>0.91356367456519205</v>
      </c>
      <c r="G75" s="2">
        <v>0.96993358849440603</v>
      </c>
      <c r="H75" s="2">
        <v>0.98517874586080001</v>
      </c>
      <c r="I75" s="1">
        <v>0.99908154300774599</v>
      </c>
      <c r="J75" s="1">
        <v>0.999616029685513</v>
      </c>
      <c r="K75" s="1">
        <v>0.999382575734304</v>
      </c>
      <c r="L75" s="1">
        <v>1</v>
      </c>
    </row>
    <row r="76" spans="1:12" x14ac:dyDescent="0.3">
      <c r="A76" t="s">
        <v>57</v>
      </c>
      <c r="B76" t="s">
        <v>67</v>
      </c>
      <c r="C76" t="s">
        <v>580</v>
      </c>
      <c r="D76" t="s">
        <v>581</v>
      </c>
      <c r="E76" s="2">
        <v>0.828741607706314</v>
      </c>
      <c r="F76" s="2">
        <v>0.86502828706857005</v>
      </c>
      <c r="G76" s="2">
        <v>0.91486078870185294</v>
      </c>
      <c r="H76" s="2">
        <v>0.90883501758385299</v>
      </c>
      <c r="I76" s="1">
        <v>0.95886907326837201</v>
      </c>
      <c r="J76" s="1">
        <v>0.939575485467257</v>
      </c>
      <c r="K76" s="1">
        <v>0.93872061828442699</v>
      </c>
      <c r="L76" s="1">
        <v>0.939575485467257</v>
      </c>
    </row>
    <row r="77" spans="1:12" x14ac:dyDescent="0.3">
      <c r="A77" t="s">
        <v>57</v>
      </c>
      <c r="B77" t="s">
        <v>68</v>
      </c>
      <c r="C77" t="s">
        <v>580</v>
      </c>
      <c r="D77" t="s">
        <v>581</v>
      </c>
      <c r="E77" s="2">
        <v>0.85879975397592401</v>
      </c>
      <c r="F77" s="2">
        <v>0.89331634595671106</v>
      </c>
      <c r="G77" s="2">
        <v>0.972498023020824</v>
      </c>
      <c r="H77" s="2">
        <v>0.984081656562106</v>
      </c>
      <c r="I77" s="1">
        <v>0.98014234250065901</v>
      </c>
      <c r="J77" s="1">
        <v>0.98009840963008499</v>
      </c>
      <c r="K77" s="1">
        <v>0.98014234250065901</v>
      </c>
      <c r="L77" s="1">
        <v>0.98014234250065901</v>
      </c>
    </row>
    <row r="78" spans="1:12" x14ac:dyDescent="0.3">
      <c r="A78" t="s">
        <v>57</v>
      </c>
      <c r="B78" t="s">
        <v>607</v>
      </c>
      <c r="C78" t="s">
        <v>580</v>
      </c>
      <c r="D78" t="s">
        <v>581</v>
      </c>
      <c r="E78" s="2">
        <v>0.95552407513981696</v>
      </c>
      <c r="F78" s="2">
        <v>0.83168798972951397</v>
      </c>
      <c r="G78" s="2">
        <v>0.98411468708958605</v>
      </c>
      <c r="H78" s="2">
        <v>0.93718919237977105</v>
      </c>
      <c r="I78" s="1">
        <v>0.99279147667743906</v>
      </c>
      <c r="J78" s="1">
        <v>0.93600867678958699</v>
      </c>
      <c r="K78" s="1">
        <v>0.99257013000427896</v>
      </c>
      <c r="L78" s="1">
        <v>0.95217436215267004</v>
      </c>
    </row>
    <row r="79" spans="1:12" x14ac:dyDescent="0.3">
      <c r="A79" t="s">
        <v>57</v>
      </c>
      <c r="B79" t="s">
        <v>608</v>
      </c>
      <c r="C79" t="s">
        <v>580</v>
      </c>
      <c r="D79" t="s">
        <v>581</v>
      </c>
      <c r="E79" s="2">
        <v>0.75176834873482001</v>
      </c>
      <c r="F79" s="2">
        <v>0.75136678116986799</v>
      </c>
      <c r="G79" s="2">
        <v>0.88872224103730202</v>
      </c>
      <c r="H79" s="2">
        <v>0.86236876481687497</v>
      </c>
      <c r="I79" s="1">
        <v>0.93098359862596103</v>
      </c>
      <c r="J79" s="1">
        <v>0.933310755237312</v>
      </c>
      <c r="K79" s="1">
        <v>0.94329188639992201</v>
      </c>
      <c r="L79" s="1">
        <v>0.93638782718080205</v>
      </c>
    </row>
    <row r="80" spans="1:12" x14ac:dyDescent="0.3">
      <c r="A80" t="s">
        <v>57</v>
      </c>
      <c r="B80" t="s">
        <v>69</v>
      </c>
      <c r="C80" t="s">
        <v>580</v>
      </c>
      <c r="D80" t="s">
        <v>581</v>
      </c>
      <c r="E80" s="2">
        <v>0.86796338226108605</v>
      </c>
      <c r="F80" s="2">
        <v>0.93106196647928297</v>
      </c>
      <c r="G80" s="2">
        <v>0.97717247033104304</v>
      </c>
      <c r="H80" s="2">
        <v>0.97345734436810305</v>
      </c>
      <c r="I80" s="1">
        <v>0.97707162190297703</v>
      </c>
      <c r="J80" s="1">
        <v>0.97632664480533005</v>
      </c>
      <c r="K80" s="1">
        <v>0.98836664584634604</v>
      </c>
      <c r="L80" s="1">
        <v>0.97691872267332902</v>
      </c>
    </row>
    <row r="81" spans="1:12" x14ac:dyDescent="0.3">
      <c r="A81" t="s">
        <v>57</v>
      </c>
      <c r="B81" t="s">
        <v>70</v>
      </c>
      <c r="C81" t="s">
        <v>34</v>
      </c>
      <c r="D81" t="s">
        <v>35</v>
      </c>
      <c r="E81" s="2">
        <v>0.87565609853227599</v>
      </c>
      <c r="F81" s="2">
        <v>0.92766143701274695</v>
      </c>
      <c r="G81" s="2">
        <v>0.97275329977648695</v>
      </c>
      <c r="H81" s="2">
        <v>0.97418658132751601</v>
      </c>
      <c r="I81" s="1">
        <v>0.99921429622108704</v>
      </c>
      <c r="J81" s="1">
        <v>0.99888602272441895</v>
      </c>
      <c r="K81" s="1">
        <v>1</v>
      </c>
      <c r="L81" s="1">
        <v>0.99888602272441895</v>
      </c>
    </row>
    <row r="82" spans="1:12" x14ac:dyDescent="0.3">
      <c r="A82" t="s">
        <v>57</v>
      </c>
      <c r="B82" t="s">
        <v>71</v>
      </c>
      <c r="C82" t="s">
        <v>580</v>
      </c>
      <c r="D82" t="s">
        <v>581</v>
      </c>
      <c r="E82" s="2">
        <v>0.88666900338824595</v>
      </c>
      <c r="F82" s="2">
        <v>0.87581785255286804</v>
      </c>
      <c r="G82" s="2">
        <v>0.95919917213292605</v>
      </c>
      <c r="H82" s="2">
        <v>0.92658521522874804</v>
      </c>
      <c r="I82" s="1">
        <v>0.97024852703086095</v>
      </c>
      <c r="J82" s="1">
        <v>0.97787834026004306</v>
      </c>
      <c r="K82" s="1">
        <v>0.97198020463004697</v>
      </c>
      <c r="L82" s="1">
        <v>0.97740265050990605</v>
      </c>
    </row>
    <row r="83" spans="1:12" x14ac:dyDescent="0.3">
      <c r="A83" t="s">
        <v>57</v>
      </c>
      <c r="B83" t="s">
        <v>72</v>
      </c>
      <c r="C83" t="s">
        <v>580</v>
      </c>
      <c r="D83" t="s">
        <v>581</v>
      </c>
      <c r="E83" s="2">
        <v>0.93963582953220204</v>
      </c>
      <c r="F83" s="2">
        <v>0.89193717432059405</v>
      </c>
      <c r="G83" s="2">
        <v>0.93963582953220204</v>
      </c>
      <c r="H83" s="2">
        <v>0.89193717432059405</v>
      </c>
      <c r="I83" s="1">
        <v>0.95908064301846696</v>
      </c>
      <c r="J83" s="1">
        <v>0.92288502133061701</v>
      </c>
      <c r="K83" s="1">
        <v>0.964841385825841</v>
      </c>
      <c r="L83" s="1">
        <v>0.93044668821870902</v>
      </c>
    </row>
    <row r="84" spans="1:12" x14ac:dyDescent="0.3">
      <c r="A84" t="s">
        <v>57</v>
      </c>
      <c r="B84" t="s">
        <v>73</v>
      </c>
      <c r="C84" t="s">
        <v>580</v>
      </c>
      <c r="D84" t="s">
        <v>581</v>
      </c>
      <c r="E84" s="2">
        <v>0.778950480977885</v>
      </c>
      <c r="F84" s="2">
        <v>0.74531541370775001</v>
      </c>
      <c r="G84" s="2">
        <v>0.82778273248854195</v>
      </c>
      <c r="H84" s="2">
        <v>0.82749180882977103</v>
      </c>
      <c r="I84" s="1">
        <v>0.90267411304053302</v>
      </c>
      <c r="J84" s="1">
        <v>0.82778273248854195</v>
      </c>
      <c r="K84" s="1">
        <v>0.93205978719649696</v>
      </c>
      <c r="L84" s="1">
        <v>0.97814734091006605</v>
      </c>
    </row>
    <row r="85" spans="1:12" x14ac:dyDescent="0.3">
      <c r="A85" t="s">
        <v>57</v>
      </c>
      <c r="B85" t="s">
        <v>74</v>
      </c>
      <c r="C85" t="s">
        <v>580</v>
      </c>
      <c r="D85" t="s">
        <v>581</v>
      </c>
      <c r="E85" s="2">
        <v>0.86700364973354205</v>
      </c>
      <c r="F85" s="2">
        <v>0.77831842350704294</v>
      </c>
      <c r="G85" s="2">
        <v>0.94298528410641502</v>
      </c>
      <c r="H85" s="2">
        <v>0.92207204100177198</v>
      </c>
      <c r="I85" s="1">
        <v>0.96436636487138905</v>
      </c>
      <c r="J85" s="1">
        <v>0.93980788666332704</v>
      </c>
      <c r="K85" s="1">
        <v>0.99171537476495597</v>
      </c>
      <c r="L85" s="1">
        <v>0.91739216491877296</v>
      </c>
    </row>
    <row r="86" spans="1:12" x14ac:dyDescent="0.3">
      <c r="A86" t="s">
        <v>57</v>
      </c>
      <c r="B86" t="s">
        <v>609</v>
      </c>
      <c r="C86" t="s">
        <v>580</v>
      </c>
      <c r="D86" t="s">
        <v>581</v>
      </c>
      <c r="E86" s="2">
        <v>0.920208750553694</v>
      </c>
      <c r="F86" s="2">
        <v>0.90339204052730404</v>
      </c>
      <c r="G86" s="2">
        <v>0.99218277215245099</v>
      </c>
      <c r="H86" s="2">
        <v>1</v>
      </c>
      <c r="I86" s="1">
        <v>0.99377990729129595</v>
      </c>
      <c r="J86" s="1">
        <v>1</v>
      </c>
      <c r="K86" s="1">
        <v>1</v>
      </c>
      <c r="L86" s="1">
        <v>1</v>
      </c>
    </row>
    <row r="87" spans="1:12" x14ac:dyDescent="0.3">
      <c r="A87" t="s">
        <v>57</v>
      </c>
      <c r="B87" t="s">
        <v>75</v>
      </c>
      <c r="C87" t="s">
        <v>580</v>
      </c>
      <c r="D87" t="s">
        <v>581</v>
      </c>
      <c r="E87" s="2">
        <v>0.84214035159695499</v>
      </c>
      <c r="F87" s="2">
        <v>0.820816837268456</v>
      </c>
      <c r="G87" s="2">
        <v>0.91960860735604799</v>
      </c>
      <c r="H87" s="2">
        <v>0.92052144659377599</v>
      </c>
      <c r="I87" s="1">
        <v>0.98315862889495098</v>
      </c>
      <c r="J87" s="1">
        <v>0.92052144659377599</v>
      </c>
      <c r="K87" s="1">
        <v>0.99178444686044798</v>
      </c>
      <c r="L87" s="1">
        <v>0.92052144659377599</v>
      </c>
    </row>
    <row r="88" spans="1:12" x14ac:dyDescent="0.3">
      <c r="A88" t="s">
        <v>57</v>
      </c>
      <c r="B88" t="s">
        <v>76</v>
      </c>
      <c r="C88" t="s">
        <v>580</v>
      </c>
      <c r="D88" t="s">
        <v>581</v>
      </c>
      <c r="E88" s="2">
        <v>0.85313205915572499</v>
      </c>
      <c r="F88" s="2">
        <v>0.88005612028801306</v>
      </c>
      <c r="G88" s="2">
        <v>0.85795434491034805</v>
      </c>
      <c r="H88" s="2">
        <v>0.91381653254270701</v>
      </c>
      <c r="I88" s="1">
        <v>0.87498897006917897</v>
      </c>
      <c r="J88" s="1">
        <v>0.97633859240434795</v>
      </c>
      <c r="K88" s="1">
        <v>0.95307426231822601</v>
      </c>
      <c r="L88" s="1">
        <v>0.97064273612875895</v>
      </c>
    </row>
    <row r="89" spans="1:12" x14ac:dyDescent="0.3">
      <c r="A89" t="s">
        <v>57</v>
      </c>
      <c r="B89" t="s">
        <v>77</v>
      </c>
      <c r="C89" t="s">
        <v>580</v>
      </c>
      <c r="D89" t="s">
        <v>581</v>
      </c>
      <c r="E89" s="2">
        <v>0.75848942118075302</v>
      </c>
      <c r="F89" s="2">
        <v>0.75294177134725504</v>
      </c>
      <c r="G89" s="2">
        <v>0.84902880010401804</v>
      </c>
      <c r="H89" s="2">
        <v>0.91182992985979106</v>
      </c>
      <c r="I89" s="1">
        <v>0.88420003322811003</v>
      </c>
      <c r="J89" s="1">
        <v>0.94220836914986605</v>
      </c>
      <c r="K89" s="1">
        <v>0.91862724560630404</v>
      </c>
      <c r="L89" s="1">
        <v>0.93231578263036596</v>
      </c>
    </row>
    <row r="90" spans="1:12" x14ac:dyDescent="0.3">
      <c r="A90" t="s">
        <v>57</v>
      </c>
      <c r="B90" t="s">
        <v>78</v>
      </c>
      <c r="C90" t="s">
        <v>34</v>
      </c>
      <c r="D90" t="s">
        <v>35</v>
      </c>
      <c r="E90" s="2">
        <v>0.75699605627201805</v>
      </c>
      <c r="F90" s="2">
        <v>0.82552132568908698</v>
      </c>
      <c r="G90" s="2">
        <v>0.94491429514849501</v>
      </c>
      <c r="H90" s="2">
        <v>0.93497775162235996</v>
      </c>
      <c r="I90" s="1">
        <v>0.988010374587586</v>
      </c>
      <c r="J90" s="1">
        <v>0.99476610577499103</v>
      </c>
      <c r="K90" s="1">
        <v>0.988010374587586</v>
      </c>
      <c r="L90" s="1">
        <v>1</v>
      </c>
    </row>
    <row r="91" spans="1:12" x14ac:dyDescent="0.3">
      <c r="A91" t="s">
        <v>57</v>
      </c>
      <c r="B91" t="s">
        <v>79</v>
      </c>
      <c r="C91" t="s">
        <v>580</v>
      </c>
      <c r="D91" t="s">
        <v>581</v>
      </c>
      <c r="E91" s="2">
        <v>0.84528181228017396</v>
      </c>
      <c r="F91" s="2">
        <v>0.82364083831523005</v>
      </c>
      <c r="G91" s="2">
        <v>0.93157440871258701</v>
      </c>
      <c r="H91" s="2">
        <v>0.98982627147383395</v>
      </c>
      <c r="I91" s="1">
        <v>0.97443487360353398</v>
      </c>
      <c r="J91" s="1">
        <v>0.98982627147383395</v>
      </c>
      <c r="K91" s="1">
        <v>0.96871336246572404</v>
      </c>
      <c r="L91" s="1">
        <v>0.98982627147383395</v>
      </c>
    </row>
    <row r="92" spans="1:12" x14ac:dyDescent="0.3">
      <c r="A92" t="s">
        <v>57</v>
      </c>
      <c r="B92" t="s">
        <v>610</v>
      </c>
      <c r="C92" t="s">
        <v>34</v>
      </c>
      <c r="D92" t="s">
        <v>35</v>
      </c>
      <c r="E92" s="2">
        <v>0.89441089356464198</v>
      </c>
      <c r="F92" s="2">
        <v>0.84840784796435698</v>
      </c>
      <c r="G92" s="2">
        <v>0.96041285306675594</v>
      </c>
      <c r="H92" s="2">
        <v>0.93549368818574097</v>
      </c>
      <c r="I92" s="1">
        <v>0.997371868699782</v>
      </c>
      <c r="J92" s="1">
        <v>0.99055999674170503</v>
      </c>
      <c r="K92" s="1">
        <v>1</v>
      </c>
      <c r="L92" s="1">
        <v>0.99787871451230803</v>
      </c>
    </row>
    <row r="93" spans="1:12" x14ac:dyDescent="0.3">
      <c r="A93" t="s">
        <v>57</v>
      </c>
      <c r="B93" t="s">
        <v>80</v>
      </c>
      <c r="C93" t="s">
        <v>34</v>
      </c>
      <c r="D93" t="s">
        <v>35</v>
      </c>
      <c r="E93" s="2">
        <v>0.90633125489107103</v>
      </c>
      <c r="F93" s="2">
        <v>0.92744805998030899</v>
      </c>
      <c r="G93" s="2">
        <v>0.98463888117537102</v>
      </c>
      <c r="H93" s="2">
        <v>0.97243329210107798</v>
      </c>
      <c r="I93" s="1">
        <v>0.99115189458006203</v>
      </c>
      <c r="J93" s="1">
        <v>0.99060914346300399</v>
      </c>
      <c r="K93" s="1">
        <v>0.99762704162774796</v>
      </c>
      <c r="L93" s="1">
        <v>0.99659202786963796</v>
      </c>
    </row>
    <row r="94" spans="1:12" x14ac:dyDescent="0.3">
      <c r="A94" t="s">
        <v>57</v>
      </c>
      <c r="B94" t="s">
        <v>611</v>
      </c>
      <c r="C94" t="s">
        <v>580</v>
      </c>
      <c r="D94" t="s">
        <v>581</v>
      </c>
      <c r="E94" s="2">
        <v>0.91318541664237596</v>
      </c>
      <c r="F94" s="2">
        <v>0.95095547342279796</v>
      </c>
      <c r="G94" s="2">
        <v>0.98410847742191199</v>
      </c>
      <c r="H94" s="2">
        <v>0.99980179318868101</v>
      </c>
      <c r="I94" s="1">
        <v>0.98850400494351098</v>
      </c>
      <c r="J94" s="1">
        <v>1</v>
      </c>
      <c r="K94" s="1">
        <v>0.98864391563385301</v>
      </c>
      <c r="L94" s="1">
        <v>0.99960358637736202</v>
      </c>
    </row>
    <row r="95" spans="1:12" x14ac:dyDescent="0.3">
      <c r="A95" t="s">
        <v>57</v>
      </c>
      <c r="B95" t="s">
        <v>612</v>
      </c>
      <c r="C95" t="s">
        <v>580</v>
      </c>
      <c r="D95" t="s">
        <v>581</v>
      </c>
      <c r="E95" s="2">
        <v>0.896846767496288</v>
      </c>
      <c r="F95" s="2">
        <v>0.94164129149155695</v>
      </c>
      <c r="G95" s="2">
        <v>0.97282759141354402</v>
      </c>
      <c r="H95" s="2">
        <v>0.999005964214711</v>
      </c>
      <c r="I95" s="1">
        <v>0.97918816216624205</v>
      </c>
      <c r="J95" s="1">
        <v>1</v>
      </c>
      <c r="K95" s="1">
        <v>0.98714044844854898</v>
      </c>
      <c r="L95" s="1">
        <v>0.99763444648564303</v>
      </c>
    </row>
    <row r="96" spans="1:12" x14ac:dyDescent="0.3">
      <c r="A96" t="s">
        <v>57</v>
      </c>
      <c r="B96" t="s">
        <v>613</v>
      </c>
      <c r="C96" t="s">
        <v>580</v>
      </c>
      <c r="D96" t="s">
        <v>581</v>
      </c>
      <c r="E96" s="2">
        <v>0.87952412989850304</v>
      </c>
      <c r="F96" s="2">
        <v>0.88779651453002495</v>
      </c>
      <c r="G96" s="2">
        <v>0.96423739971496902</v>
      </c>
      <c r="H96" s="2">
        <v>0.98053620389058904</v>
      </c>
      <c r="I96" s="1">
        <v>0.991434627543749</v>
      </c>
      <c r="J96" s="1">
        <v>0.98613552676317195</v>
      </c>
      <c r="K96" s="1">
        <v>0.99131164500003599</v>
      </c>
      <c r="L96" s="1">
        <v>0.990291613313945</v>
      </c>
    </row>
    <row r="97" spans="1:12" x14ac:dyDescent="0.3">
      <c r="A97" t="s">
        <v>57</v>
      </c>
      <c r="B97" t="s">
        <v>614</v>
      </c>
      <c r="C97" t="s">
        <v>580</v>
      </c>
      <c r="D97" t="s">
        <v>581</v>
      </c>
      <c r="E97" s="2">
        <v>0.81182205331907398</v>
      </c>
      <c r="F97" s="2">
        <v>0.74419090405622101</v>
      </c>
      <c r="G97" s="2">
        <v>0.89567976090443802</v>
      </c>
      <c r="H97" s="2">
        <v>0.80154543197616601</v>
      </c>
      <c r="I97" s="1">
        <v>0.95279199450003804</v>
      </c>
      <c r="J97" s="1">
        <v>0.82851887747307296</v>
      </c>
      <c r="K97" s="1">
        <v>0.88781772782827895</v>
      </c>
      <c r="L97" s="1">
        <v>0.86147329272018902</v>
      </c>
    </row>
    <row r="98" spans="1:12" x14ac:dyDescent="0.3">
      <c r="A98" t="s">
        <v>57</v>
      </c>
      <c r="B98" t="s">
        <v>615</v>
      </c>
      <c r="C98" t="s">
        <v>580</v>
      </c>
      <c r="D98" t="s">
        <v>581</v>
      </c>
      <c r="E98" s="2">
        <v>0.88230883922671499</v>
      </c>
      <c r="F98" s="2">
        <v>0.95749394283390599</v>
      </c>
      <c r="G98" s="2">
        <v>0.92490102392933504</v>
      </c>
      <c r="H98" s="2">
        <v>0.96048158000259698</v>
      </c>
      <c r="I98" s="1">
        <v>0.93528433382468301</v>
      </c>
      <c r="J98" s="1">
        <v>0.99691070409966998</v>
      </c>
      <c r="K98" s="1">
        <v>0.973036433359877</v>
      </c>
      <c r="L98" s="1">
        <v>0.99691070409966998</v>
      </c>
    </row>
    <row r="99" spans="1:12" x14ac:dyDescent="0.3">
      <c r="A99" t="s">
        <v>57</v>
      </c>
      <c r="B99" t="s">
        <v>616</v>
      </c>
      <c r="C99" t="s">
        <v>580</v>
      </c>
      <c r="D99" t="s">
        <v>581</v>
      </c>
      <c r="E99" s="2">
        <v>0.76858880863370904</v>
      </c>
      <c r="F99" s="2">
        <v>0.74207390224354897</v>
      </c>
      <c r="G99" s="2">
        <v>0.81675270176766002</v>
      </c>
      <c r="H99" s="2">
        <v>0.83819261574915205</v>
      </c>
      <c r="I99" s="1">
        <v>0.86269146335999802</v>
      </c>
      <c r="J99" s="1">
        <v>0.92015909441626398</v>
      </c>
      <c r="K99" s="1">
        <v>0.87672920597151605</v>
      </c>
      <c r="L99" s="1">
        <v>0.86935441317755702</v>
      </c>
    </row>
    <row r="100" spans="1:12" x14ac:dyDescent="0.3">
      <c r="A100" t="s">
        <v>57</v>
      </c>
      <c r="B100" t="s">
        <v>81</v>
      </c>
      <c r="C100" t="s">
        <v>34</v>
      </c>
      <c r="D100" t="s">
        <v>35</v>
      </c>
      <c r="E100" s="2">
        <v>0.93621354166666604</v>
      </c>
      <c r="F100" s="2">
        <v>0.81528472222222204</v>
      </c>
      <c r="G100" s="2">
        <v>0.97010069444444402</v>
      </c>
      <c r="H100" s="2">
        <v>1</v>
      </c>
      <c r="I100" s="1">
        <v>0.99797222222222204</v>
      </c>
      <c r="J100" s="1">
        <v>1</v>
      </c>
      <c r="K100" s="1">
        <v>0.99797222222222204</v>
      </c>
      <c r="L100" s="1">
        <v>1</v>
      </c>
    </row>
    <row r="101" spans="1:12" x14ac:dyDescent="0.3">
      <c r="A101" t="s">
        <v>57</v>
      </c>
      <c r="B101" t="s">
        <v>617</v>
      </c>
      <c r="C101" t="s">
        <v>34</v>
      </c>
      <c r="D101" t="s">
        <v>35</v>
      </c>
      <c r="E101" s="2">
        <v>0.84684003426307597</v>
      </c>
      <c r="F101" s="2">
        <v>0.81977978835412302</v>
      </c>
      <c r="G101" s="2">
        <v>0.96041231686207296</v>
      </c>
      <c r="H101" s="2">
        <v>0.96200724521298397</v>
      </c>
      <c r="I101" s="1">
        <v>0.99682575798133299</v>
      </c>
      <c r="J101" s="1">
        <v>0.99939771936399102</v>
      </c>
      <c r="K101" s="1">
        <v>0.99960294091403801</v>
      </c>
      <c r="L101" s="1">
        <v>0.999999999999999</v>
      </c>
    </row>
    <row r="102" spans="1:12" x14ac:dyDescent="0.3">
      <c r="A102" t="s">
        <v>57</v>
      </c>
      <c r="B102" t="s">
        <v>82</v>
      </c>
      <c r="C102" t="s">
        <v>574</v>
      </c>
      <c r="D102" t="s">
        <v>575</v>
      </c>
      <c r="E102" s="2">
        <v>0</v>
      </c>
      <c r="F102" s="2">
        <v>0</v>
      </c>
      <c r="G102" s="2">
        <v>0</v>
      </c>
      <c r="H102" s="2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3">
      <c r="A103" t="s">
        <v>57</v>
      </c>
      <c r="B103" t="s">
        <v>83</v>
      </c>
      <c r="C103" t="s">
        <v>34</v>
      </c>
      <c r="D103" t="s">
        <v>35</v>
      </c>
      <c r="E103" s="2">
        <v>0.90522743571355402</v>
      </c>
      <c r="F103" s="2">
        <v>0.79849784858108797</v>
      </c>
      <c r="G103" s="2">
        <v>0.94322431103370497</v>
      </c>
      <c r="H103" s="2">
        <v>0.88687634463681997</v>
      </c>
      <c r="I103" s="1">
        <v>0.945374449339207</v>
      </c>
      <c r="J103" s="1">
        <v>0.94528480688453997</v>
      </c>
      <c r="K103" s="1">
        <v>1</v>
      </c>
      <c r="L103" s="1">
        <v>0.99677543284499504</v>
      </c>
    </row>
    <row r="104" spans="1:12" x14ac:dyDescent="0.3">
      <c r="A104" t="s">
        <v>57</v>
      </c>
      <c r="B104" t="s">
        <v>84</v>
      </c>
      <c r="C104" t="s">
        <v>34</v>
      </c>
      <c r="D104" t="s">
        <v>35</v>
      </c>
      <c r="E104" s="2">
        <v>0.87353544133205097</v>
      </c>
      <c r="F104" s="2">
        <v>0.85932883814239702</v>
      </c>
      <c r="G104" s="2">
        <v>0.96292455190760196</v>
      </c>
      <c r="H104" s="2">
        <v>0.95229566416007005</v>
      </c>
      <c r="I104" s="1">
        <v>0.99887949464220605</v>
      </c>
      <c r="J104" s="1">
        <v>0.99368741741623001</v>
      </c>
      <c r="K104" s="1">
        <v>1</v>
      </c>
      <c r="L104" s="1">
        <v>0.99949187661051997</v>
      </c>
    </row>
    <row r="105" spans="1:12" x14ac:dyDescent="0.3">
      <c r="A105" t="s">
        <v>57</v>
      </c>
      <c r="B105" t="s">
        <v>85</v>
      </c>
      <c r="C105" t="s">
        <v>580</v>
      </c>
      <c r="D105" t="s">
        <v>581</v>
      </c>
      <c r="E105" s="2">
        <v>0.770989068618811</v>
      </c>
      <c r="F105" s="2">
        <v>0.676681726152351</v>
      </c>
      <c r="G105" s="2">
        <v>0.79868075466507304</v>
      </c>
      <c r="H105" s="2">
        <v>0.84982569111003103</v>
      </c>
      <c r="I105" s="1">
        <v>0.78978476828308897</v>
      </c>
      <c r="J105" s="1">
        <v>0.93678239974552102</v>
      </c>
      <c r="K105" s="1">
        <v>0.77648270021879895</v>
      </c>
      <c r="L105" s="1">
        <v>1</v>
      </c>
    </row>
    <row r="106" spans="1:12" x14ac:dyDescent="0.3">
      <c r="A106" t="s">
        <v>57</v>
      </c>
      <c r="B106" t="s">
        <v>86</v>
      </c>
      <c r="C106" t="s">
        <v>34</v>
      </c>
      <c r="D106" t="s">
        <v>35</v>
      </c>
      <c r="E106" s="2">
        <v>0.91907879432388395</v>
      </c>
      <c r="F106" s="2">
        <v>0.92976305207537102</v>
      </c>
      <c r="G106" s="2">
        <v>0.99318733176032603</v>
      </c>
      <c r="H106" s="2">
        <v>0.97160280482536299</v>
      </c>
      <c r="I106" s="1">
        <v>0.99827190854408299</v>
      </c>
      <c r="J106" s="1">
        <v>0.99017147984447096</v>
      </c>
      <c r="K106" s="1">
        <v>0.999867069888006</v>
      </c>
      <c r="L106" s="1">
        <v>0.99420923199627798</v>
      </c>
    </row>
    <row r="107" spans="1:12" x14ac:dyDescent="0.3">
      <c r="A107" t="s">
        <v>57</v>
      </c>
      <c r="B107" t="s">
        <v>87</v>
      </c>
      <c r="C107" t="s">
        <v>34</v>
      </c>
      <c r="D107" t="s">
        <v>35</v>
      </c>
      <c r="E107" s="2">
        <v>0.86096192788056303</v>
      </c>
      <c r="F107" s="2">
        <v>0.95029997358723095</v>
      </c>
      <c r="G107" s="2">
        <v>0.96750600576049905</v>
      </c>
      <c r="H107" s="2">
        <v>0.97393940156212599</v>
      </c>
      <c r="I107" s="1">
        <v>0.994352698504534</v>
      </c>
      <c r="J107" s="1">
        <v>0.98080672142075498</v>
      </c>
      <c r="K107" s="1">
        <v>1</v>
      </c>
      <c r="L107" s="1">
        <v>0.98080672142075498</v>
      </c>
    </row>
    <row r="108" spans="1:12" x14ac:dyDescent="0.3">
      <c r="A108" t="s">
        <v>57</v>
      </c>
      <c r="B108" t="s">
        <v>88</v>
      </c>
      <c r="C108" t="s">
        <v>580</v>
      </c>
      <c r="D108" t="s">
        <v>581</v>
      </c>
      <c r="E108" s="2">
        <v>0.82662478944413198</v>
      </c>
      <c r="F108" s="2">
        <v>0.75745016844469404</v>
      </c>
      <c r="G108" s="2">
        <v>0.87766002245929198</v>
      </c>
      <c r="H108" s="2">
        <v>0.84173568220101003</v>
      </c>
      <c r="I108" s="1">
        <v>0.91545480067377805</v>
      </c>
      <c r="J108" s="1">
        <v>0.91263335204940998</v>
      </c>
      <c r="K108" s="1">
        <v>0.90592363840539003</v>
      </c>
      <c r="L108" s="1">
        <v>0.91658478382930897</v>
      </c>
    </row>
    <row r="109" spans="1:12" x14ac:dyDescent="0.3">
      <c r="A109" t="s">
        <v>57</v>
      </c>
      <c r="B109" t="s">
        <v>618</v>
      </c>
      <c r="C109" t="s">
        <v>580</v>
      </c>
      <c r="D109" t="s">
        <v>581</v>
      </c>
      <c r="E109" s="2">
        <v>0.958596805381979</v>
      </c>
      <c r="F109" s="2">
        <v>0.97151082178408599</v>
      </c>
      <c r="G109" s="2">
        <v>0.99456579184619998</v>
      </c>
      <c r="H109" s="2">
        <v>0.99250464767802604</v>
      </c>
      <c r="I109" s="1">
        <v>0.99456579184619998</v>
      </c>
      <c r="J109" s="1">
        <v>0.99421449578133803</v>
      </c>
      <c r="K109" s="1">
        <v>0.992420709680227</v>
      </c>
      <c r="L109" s="1">
        <v>0.99476475598913106</v>
      </c>
    </row>
    <row r="110" spans="1:12" x14ac:dyDescent="0.3">
      <c r="A110" t="s">
        <v>57</v>
      </c>
      <c r="B110" t="s">
        <v>619</v>
      </c>
      <c r="C110" t="s">
        <v>34</v>
      </c>
      <c r="D110" t="s">
        <v>35</v>
      </c>
      <c r="E110" s="2">
        <v>0.88879374999999905</v>
      </c>
      <c r="F110" s="2">
        <v>0.97187500000000004</v>
      </c>
      <c r="G110" s="2">
        <v>1</v>
      </c>
      <c r="H110" s="2">
        <v>0.98124999999999996</v>
      </c>
      <c r="I110" s="1">
        <v>1</v>
      </c>
      <c r="J110" s="1">
        <v>0.99583750000000004</v>
      </c>
      <c r="K110" s="1">
        <v>1</v>
      </c>
      <c r="L110" s="1">
        <v>1</v>
      </c>
    </row>
    <row r="111" spans="1:12" x14ac:dyDescent="0.3">
      <c r="A111" t="s">
        <v>57</v>
      </c>
      <c r="B111" t="s">
        <v>620</v>
      </c>
      <c r="C111" t="s">
        <v>580</v>
      </c>
      <c r="D111" t="s">
        <v>581</v>
      </c>
      <c r="E111" s="2">
        <v>0.82587153858287998</v>
      </c>
      <c r="F111" s="2">
        <v>0.77391622330890597</v>
      </c>
      <c r="G111" s="2">
        <v>0.97732780749429904</v>
      </c>
      <c r="H111" s="2">
        <v>0.86505671633229597</v>
      </c>
      <c r="I111" s="1">
        <v>0.97068461130311301</v>
      </c>
      <c r="J111" s="1">
        <v>0.94409031591929204</v>
      </c>
      <c r="K111" s="1">
        <v>0.95433654080564401</v>
      </c>
      <c r="L111" s="1">
        <v>0.91912365737885904</v>
      </c>
    </row>
    <row r="112" spans="1:12" x14ac:dyDescent="0.3">
      <c r="A112" t="s">
        <v>57</v>
      </c>
      <c r="B112" t="s">
        <v>89</v>
      </c>
      <c r="C112" t="s">
        <v>580</v>
      </c>
      <c r="D112" t="s">
        <v>581</v>
      </c>
      <c r="E112" s="2">
        <v>0.90636040356303005</v>
      </c>
      <c r="F112" s="2">
        <v>0.96529056769874</v>
      </c>
      <c r="G112" s="2">
        <v>0.92554238917654097</v>
      </c>
      <c r="H112" s="2">
        <v>0.98555559416663696</v>
      </c>
      <c r="I112" s="1">
        <v>0.95611078291691198</v>
      </c>
      <c r="J112" s="1">
        <v>0.99913125065156105</v>
      </c>
      <c r="K112" s="1">
        <v>0.98384126211905298</v>
      </c>
      <c r="L112" s="1">
        <v>1</v>
      </c>
    </row>
    <row r="113" spans="1:12" x14ac:dyDescent="0.3">
      <c r="A113" t="s">
        <v>57</v>
      </c>
      <c r="B113" t="s">
        <v>621</v>
      </c>
      <c r="C113" t="s">
        <v>580</v>
      </c>
      <c r="D113" t="s">
        <v>581</v>
      </c>
      <c r="E113" s="2">
        <v>0.94536821294923301</v>
      </c>
      <c r="F113" s="2">
        <v>0.96106933559274099</v>
      </c>
      <c r="G113" s="2">
        <v>0.99141248323095299</v>
      </c>
      <c r="H113" s="2">
        <v>0.99202146437901495</v>
      </c>
      <c r="I113" s="1">
        <v>0.99385723363694101</v>
      </c>
      <c r="J113" s="1">
        <v>0.99526936383534503</v>
      </c>
      <c r="K113" s="1">
        <v>0.99460742780484301</v>
      </c>
      <c r="L113" s="1">
        <v>0.99554296406128595</v>
      </c>
    </row>
    <row r="114" spans="1:12" x14ac:dyDescent="0.3">
      <c r="A114" t="s">
        <v>57</v>
      </c>
      <c r="B114" t="s">
        <v>622</v>
      </c>
      <c r="C114" t="s">
        <v>580</v>
      </c>
      <c r="D114" t="s">
        <v>581</v>
      </c>
      <c r="E114" s="2">
        <v>0.89494654893270098</v>
      </c>
      <c r="F114" s="2">
        <v>0.94312714579338297</v>
      </c>
      <c r="G114" s="2">
        <v>0.96345118212403402</v>
      </c>
      <c r="H114" s="2">
        <v>0.98047973911745401</v>
      </c>
      <c r="I114" s="1">
        <v>0.966637577650449</v>
      </c>
      <c r="J114" s="1">
        <v>1</v>
      </c>
      <c r="K114" s="1">
        <v>0.98773094190999999</v>
      </c>
      <c r="L114" s="1">
        <v>0.99187612672094005</v>
      </c>
    </row>
    <row r="115" spans="1:12" x14ac:dyDescent="0.3">
      <c r="A115" t="s">
        <v>57</v>
      </c>
      <c r="B115" t="s">
        <v>623</v>
      </c>
      <c r="C115" t="s">
        <v>580</v>
      </c>
      <c r="D115" t="s">
        <v>581</v>
      </c>
      <c r="E115" s="2">
        <v>0.93588114258048904</v>
      </c>
      <c r="F115" s="2">
        <v>0.93828169127733396</v>
      </c>
      <c r="G115" s="2">
        <v>0.97792100379246305</v>
      </c>
      <c r="H115" s="2">
        <v>0.99936456063906998</v>
      </c>
      <c r="I115" s="1">
        <v>0.97807229887839897</v>
      </c>
      <c r="J115" s="1">
        <v>1</v>
      </c>
      <c r="K115" s="1">
        <v>0.98012991204712296</v>
      </c>
      <c r="L115" s="1">
        <v>1</v>
      </c>
    </row>
    <row r="116" spans="1:12" x14ac:dyDescent="0.3">
      <c r="A116" t="s">
        <v>57</v>
      </c>
      <c r="B116" t="s">
        <v>624</v>
      </c>
      <c r="C116" t="s">
        <v>580</v>
      </c>
      <c r="D116" t="s">
        <v>581</v>
      </c>
      <c r="E116" s="2">
        <v>0.93505135730007305</v>
      </c>
      <c r="F116" s="2">
        <v>0.928196729902525</v>
      </c>
      <c r="G116" s="2">
        <v>0.97291426475212195</v>
      </c>
      <c r="H116" s="2">
        <v>0.98676763441987203</v>
      </c>
      <c r="I116" s="1">
        <v>0.99674824441882404</v>
      </c>
      <c r="J116" s="1">
        <v>0.98687506550675996</v>
      </c>
      <c r="K116" s="1">
        <v>0.99091028194109598</v>
      </c>
      <c r="L116" s="1">
        <v>0.99947856618802999</v>
      </c>
    </row>
    <row r="117" spans="1:12" x14ac:dyDescent="0.3">
      <c r="A117" t="s">
        <v>57</v>
      </c>
      <c r="B117" t="s">
        <v>625</v>
      </c>
      <c r="C117" t="s">
        <v>580</v>
      </c>
      <c r="D117" t="s">
        <v>581</v>
      </c>
      <c r="E117" s="2">
        <v>0.89771642558190701</v>
      </c>
      <c r="F117" s="2">
        <v>0.91236225409072103</v>
      </c>
      <c r="G117" s="2">
        <v>0.97285748981908704</v>
      </c>
      <c r="H117" s="2">
        <v>0.95601732873191803</v>
      </c>
      <c r="I117" s="1">
        <v>0.98513671510954703</v>
      </c>
      <c r="J117" s="1">
        <v>0.97455760334826302</v>
      </c>
      <c r="K117" s="1">
        <v>0.98513671510954703</v>
      </c>
      <c r="L117" s="1">
        <v>0.97747773190169795</v>
      </c>
    </row>
    <row r="118" spans="1:12" x14ac:dyDescent="0.3">
      <c r="A118" t="s">
        <v>57</v>
      </c>
      <c r="B118" t="s">
        <v>90</v>
      </c>
      <c r="C118" t="s">
        <v>580</v>
      </c>
      <c r="D118" t="s">
        <v>581</v>
      </c>
      <c r="E118" s="2">
        <v>0.76704200493572094</v>
      </c>
      <c r="F118" s="2">
        <v>0.76534460260262605</v>
      </c>
      <c r="G118" s="2">
        <v>0.89861078094189095</v>
      </c>
      <c r="H118" s="2">
        <v>0.84202357721769605</v>
      </c>
      <c r="I118" s="1">
        <v>0.90033383671074996</v>
      </c>
      <c r="J118" s="1">
        <v>0.882828787259477</v>
      </c>
      <c r="K118" s="1">
        <v>0.91483914440660996</v>
      </c>
      <c r="L118" s="1">
        <v>0.93576636218888798</v>
      </c>
    </row>
    <row r="119" spans="1:12" x14ac:dyDescent="0.3">
      <c r="A119" t="s">
        <v>57</v>
      </c>
      <c r="B119" t="s">
        <v>91</v>
      </c>
      <c r="C119" t="s">
        <v>580</v>
      </c>
      <c r="D119" t="s">
        <v>581</v>
      </c>
      <c r="E119" s="2">
        <v>0.82837860637759397</v>
      </c>
      <c r="F119" s="2">
        <v>0.90787076092458197</v>
      </c>
      <c r="G119" s="2">
        <v>0.94519149654125101</v>
      </c>
      <c r="H119" s="2">
        <v>0.97865699341994195</v>
      </c>
      <c r="I119" s="1">
        <v>0.94519149654125101</v>
      </c>
      <c r="J119" s="1">
        <v>0.97865699341994195</v>
      </c>
      <c r="K119" s="1">
        <v>0.94289691243462104</v>
      </c>
      <c r="L119" s="1">
        <v>0.99243293403070598</v>
      </c>
    </row>
    <row r="120" spans="1:12" x14ac:dyDescent="0.3">
      <c r="A120" t="s">
        <v>57</v>
      </c>
      <c r="B120" t="s">
        <v>92</v>
      </c>
      <c r="C120" t="s">
        <v>580</v>
      </c>
      <c r="D120" t="s">
        <v>581</v>
      </c>
      <c r="E120" s="2">
        <v>0.76651775897786001</v>
      </c>
      <c r="F120" s="2">
        <v>0.85528371543972104</v>
      </c>
      <c r="G120" s="2">
        <v>0.88243429351788605</v>
      </c>
      <c r="H120" s="2">
        <v>0.90271042855324202</v>
      </c>
      <c r="I120" s="1">
        <v>0.89979399817144401</v>
      </c>
      <c r="J120" s="1">
        <v>0.930179267883389</v>
      </c>
      <c r="K120" s="1">
        <v>0.91262860647864097</v>
      </c>
      <c r="L120" s="1">
        <v>0.93294524749152197</v>
      </c>
    </row>
    <row r="121" spans="1:12" x14ac:dyDescent="0.3">
      <c r="A121" t="s">
        <v>57</v>
      </c>
      <c r="B121" t="s">
        <v>93</v>
      </c>
      <c r="C121" t="s">
        <v>580</v>
      </c>
      <c r="D121" t="s">
        <v>581</v>
      </c>
      <c r="E121" s="2">
        <v>0.83827354433313495</v>
      </c>
      <c r="F121" s="2">
        <v>0.87611058175169299</v>
      </c>
      <c r="G121" s="2">
        <v>0.93991269861708404</v>
      </c>
      <c r="H121" s="2">
        <v>0.94528855811078705</v>
      </c>
      <c r="I121" s="1">
        <v>0.965588061085215</v>
      </c>
      <c r="J121" s="1">
        <v>0.94617058535706</v>
      </c>
      <c r="K121" s="1">
        <v>0.96721047616594902</v>
      </c>
      <c r="L121" s="1">
        <v>0.946260719528211</v>
      </c>
    </row>
    <row r="122" spans="1:12" x14ac:dyDescent="0.3">
      <c r="A122" t="s">
        <v>57</v>
      </c>
      <c r="B122" t="s">
        <v>626</v>
      </c>
      <c r="C122" t="s">
        <v>34</v>
      </c>
      <c r="D122" t="s">
        <v>35</v>
      </c>
      <c r="E122" s="2">
        <v>0.79164753730899895</v>
      </c>
      <c r="F122" s="2">
        <v>0.78217107857169799</v>
      </c>
      <c r="G122" s="2">
        <v>0.81868879730802602</v>
      </c>
      <c r="H122" s="2">
        <v>0.87914746979361902</v>
      </c>
      <c r="I122" s="1">
        <v>0.83370961905121899</v>
      </c>
      <c r="J122" s="1">
        <v>0.99628935471500402</v>
      </c>
      <c r="K122" s="1">
        <v>0.92472305191122495</v>
      </c>
      <c r="L122" s="1">
        <v>1</v>
      </c>
    </row>
    <row r="123" spans="1:12" x14ac:dyDescent="0.3">
      <c r="A123" t="s">
        <v>57</v>
      </c>
      <c r="B123" t="s">
        <v>94</v>
      </c>
      <c r="C123" t="s">
        <v>580</v>
      </c>
      <c r="D123" t="s">
        <v>581</v>
      </c>
      <c r="E123" s="2">
        <v>0.83557505289279299</v>
      </c>
      <c r="F123" s="2">
        <v>0.880974446835882</v>
      </c>
      <c r="G123" s="2">
        <v>0.91170104444214095</v>
      </c>
      <c r="H123" s="2">
        <v>0.92068519794404002</v>
      </c>
      <c r="I123" s="1">
        <v>0.93472693904677095</v>
      </c>
      <c r="J123" s="1">
        <v>0.95844790898171395</v>
      </c>
      <c r="K123" s="1">
        <v>0.96843199541494096</v>
      </c>
      <c r="L123" s="1">
        <v>0.99719835864667605</v>
      </c>
    </row>
    <row r="124" spans="1:12" x14ac:dyDescent="0.3">
      <c r="A124" t="s">
        <v>57</v>
      </c>
      <c r="B124" t="s">
        <v>95</v>
      </c>
      <c r="C124" t="s">
        <v>580</v>
      </c>
      <c r="D124" t="s">
        <v>581</v>
      </c>
      <c r="E124" s="2">
        <v>0.74722038834951399</v>
      </c>
      <c r="F124" s="2">
        <v>0.89902912621359199</v>
      </c>
      <c r="G124" s="2">
        <v>0.74323300970873696</v>
      </c>
      <c r="H124" s="2">
        <v>0.89902912621359199</v>
      </c>
      <c r="I124" s="1">
        <v>0.81650485436893205</v>
      </c>
      <c r="J124" s="1">
        <v>0.92912621359223302</v>
      </c>
      <c r="K124" s="1">
        <v>0.87864077669902896</v>
      </c>
      <c r="L124" s="1">
        <v>0.92912621359223302</v>
      </c>
    </row>
    <row r="125" spans="1:12" x14ac:dyDescent="0.3">
      <c r="A125" t="s">
        <v>57</v>
      </c>
      <c r="B125" t="s">
        <v>96</v>
      </c>
      <c r="C125" t="s">
        <v>580</v>
      </c>
      <c r="D125" t="s">
        <v>581</v>
      </c>
      <c r="E125" s="2">
        <v>0.93775221371581396</v>
      </c>
      <c r="F125" s="2">
        <v>0.93775221371581396</v>
      </c>
      <c r="G125" s="2">
        <v>0.92593996448830795</v>
      </c>
      <c r="H125" s="2">
        <v>0.96530692247382699</v>
      </c>
      <c r="I125" s="1">
        <v>0.95363447170594395</v>
      </c>
      <c r="J125" s="1">
        <v>0.97944674399298903</v>
      </c>
      <c r="K125" s="1">
        <v>0.98573911589724605</v>
      </c>
      <c r="L125" s="1">
        <v>0.98520009915602003</v>
      </c>
    </row>
    <row r="126" spans="1:12" x14ac:dyDescent="0.3">
      <c r="A126" t="s">
        <v>57</v>
      </c>
      <c r="B126" t="s">
        <v>97</v>
      </c>
      <c r="C126" t="s">
        <v>580</v>
      </c>
      <c r="D126" t="s">
        <v>581</v>
      </c>
      <c r="E126" s="2">
        <v>0.70852600908878305</v>
      </c>
      <c r="F126" s="2">
        <v>0.64959431181256799</v>
      </c>
      <c r="G126" s="2">
        <v>0.75189729788289394</v>
      </c>
      <c r="H126" s="2">
        <v>0.71248310820442295</v>
      </c>
      <c r="I126" s="1">
        <v>0.73400767471961004</v>
      </c>
      <c r="J126" s="1">
        <v>0.74096395846756402</v>
      </c>
      <c r="K126" s="1">
        <v>0.78996869672313397</v>
      </c>
      <c r="L126" s="1">
        <v>0.73638820624811097</v>
      </c>
    </row>
    <row r="127" spans="1:12" x14ac:dyDescent="0.3">
      <c r="A127" t="s">
        <v>57</v>
      </c>
      <c r="B127" t="s">
        <v>98</v>
      </c>
      <c r="C127" t="s">
        <v>580</v>
      </c>
      <c r="D127" t="s">
        <v>581</v>
      </c>
      <c r="E127" s="2">
        <v>0.91891836693012996</v>
      </c>
      <c r="F127" s="2">
        <v>0.96411065498437498</v>
      </c>
      <c r="G127" s="2">
        <v>0.96309968751914699</v>
      </c>
      <c r="H127" s="2">
        <v>0.99625227212384804</v>
      </c>
      <c r="I127" s="1">
        <v>0.99827420705430603</v>
      </c>
      <c r="J127" s="1">
        <v>0.999382186549026</v>
      </c>
      <c r="K127" s="1">
        <v>0.99827420705430603</v>
      </c>
      <c r="L127" s="1">
        <v>0.999382186549026</v>
      </c>
    </row>
    <row r="128" spans="1:12" x14ac:dyDescent="0.3">
      <c r="A128" t="s">
        <v>57</v>
      </c>
      <c r="B128" t="s">
        <v>627</v>
      </c>
      <c r="C128" t="s">
        <v>580</v>
      </c>
      <c r="D128" t="s">
        <v>581</v>
      </c>
      <c r="E128" s="2">
        <v>0.93570169947369597</v>
      </c>
      <c r="F128" s="2">
        <v>0.90138183672996197</v>
      </c>
      <c r="G128" s="2">
        <v>0.97787554195358295</v>
      </c>
      <c r="H128" s="2">
        <v>1</v>
      </c>
      <c r="I128" s="1">
        <v>0.98942176160997897</v>
      </c>
      <c r="J128" s="1">
        <v>1</v>
      </c>
      <c r="K128" s="1">
        <v>0.99114326122742302</v>
      </c>
      <c r="L128" s="1">
        <v>1</v>
      </c>
    </row>
    <row r="129" spans="1:12" x14ac:dyDescent="0.3">
      <c r="A129" t="s">
        <v>57</v>
      </c>
      <c r="B129" t="s">
        <v>628</v>
      </c>
      <c r="C129" t="s">
        <v>580</v>
      </c>
      <c r="D129" t="s">
        <v>581</v>
      </c>
      <c r="E129" s="2">
        <v>0.75883113961075399</v>
      </c>
      <c r="F129" s="2">
        <v>0.82044286946413103</v>
      </c>
      <c r="G129" s="2">
        <v>0.85624085948925599</v>
      </c>
      <c r="H129" s="2">
        <v>0.84046761915475998</v>
      </c>
      <c r="I129" s="1">
        <v>0.88311864851689303</v>
      </c>
      <c r="J129" s="1">
        <v>0.88924982187722601</v>
      </c>
      <c r="K129" s="1">
        <v>0.91970412869839102</v>
      </c>
      <c r="L129" s="1">
        <v>0.93817264784190202</v>
      </c>
    </row>
    <row r="130" spans="1:12" x14ac:dyDescent="0.3">
      <c r="A130" t="s">
        <v>57</v>
      </c>
      <c r="B130" t="s">
        <v>99</v>
      </c>
      <c r="C130" t="s">
        <v>580</v>
      </c>
      <c r="D130" t="s">
        <v>581</v>
      </c>
      <c r="E130" s="2">
        <v>0.82097355844220599</v>
      </c>
      <c r="F130" s="2">
        <v>0.89719113041091103</v>
      </c>
      <c r="G130" s="2">
        <v>0.892037584696589</v>
      </c>
      <c r="H130" s="2">
        <v>0.89719113041091103</v>
      </c>
      <c r="I130" s="1">
        <v>0.95386765494952497</v>
      </c>
      <c r="J130" s="1">
        <v>0.90412283657145698</v>
      </c>
      <c r="K130" s="1">
        <v>0.93985450280138205</v>
      </c>
      <c r="L130" s="1">
        <v>0.955433683974095</v>
      </c>
    </row>
    <row r="131" spans="1:12" x14ac:dyDescent="0.3">
      <c r="A131" t="s">
        <v>57</v>
      </c>
      <c r="B131" t="s">
        <v>100</v>
      </c>
      <c r="C131" t="s">
        <v>580</v>
      </c>
      <c r="D131" t="s">
        <v>581</v>
      </c>
      <c r="E131" s="2">
        <v>0.81312109951116995</v>
      </c>
      <c r="F131" s="2">
        <v>0.856845217010478</v>
      </c>
      <c r="G131" s="2">
        <v>0.89721708776381603</v>
      </c>
      <c r="H131" s="2">
        <v>0.89524953467852497</v>
      </c>
      <c r="I131" s="1">
        <v>0.92522976254113798</v>
      </c>
      <c r="J131" s="1">
        <v>0.92058942866895499</v>
      </c>
      <c r="K131" s="1">
        <v>0.95246636482491598</v>
      </c>
      <c r="L131" s="1">
        <v>0.95836902408078795</v>
      </c>
    </row>
    <row r="132" spans="1:12" x14ac:dyDescent="0.3">
      <c r="A132" t="s">
        <v>57</v>
      </c>
      <c r="B132" t="s">
        <v>101</v>
      </c>
      <c r="C132" t="s">
        <v>580</v>
      </c>
      <c r="D132" t="s">
        <v>581</v>
      </c>
      <c r="E132" s="2">
        <v>0.86243033943692504</v>
      </c>
      <c r="F132" s="2">
        <v>0.82665195049576601</v>
      </c>
      <c r="G132" s="2">
        <v>0.89726423970471103</v>
      </c>
      <c r="H132" s="2">
        <v>0.92449880581891797</v>
      </c>
      <c r="I132" s="1">
        <v>0.93676268365057502</v>
      </c>
      <c r="J132" s="1">
        <v>0.92812477382934</v>
      </c>
      <c r="K132" s="1">
        <v>0.950774408337555</v>
      </c>
      <c r="L132" s="1">
        <v>0.94785409278425103</v>
      </c>
    </row>
    <row r="133" spans="1:12" x14ac:dyDescent="0.3">
      <c r="A133" t="s">
        <v>57</v>
      </c>
      <c r="B133" t="s">
        <v>102</v>
      </c>
      <c r="C133" t="s">
        <v>580</v>
      </c>
      <c r="D133" t="s">
        <v>581</v>
      </c>
      <c r="E133" s="2">
        <v>0.81455621301775105</v>
      </c>
      <c r="F133" s="2">
        <v>0.85228106508875701</v>
      </c>
      <c r="G133" s="2">
        <v>0.849837278106508</v>
      </c>
      <c r="H133" s="2">
        <v>0.95148224852070995</v>
      </c>
      <c r="I133" s="1">
        <v>0.89235798816568002</v>
      </c>
      <c r="J133" s="1">
        <v>0.98180473372780996</v>
      </c>
      <c r="K133" s="1">
        <v>0.93287278106508797</v>
      </c>
      <c r="L133" s="1">
        <v>0.99189053254437798</v>
      </c>
    </row>
    <row r="134" spans="1:12" x14ac:dyDescent="0.3">
      <c r="A134" t="s">
        <v>57</v>
      </c>
      <c r="B134" t="s">
        <v>103</v>
      </c>
      <c r="C134" t="s">
        <v>580</v>
      </c>
      <c r="D134" t="s">
        <v>581</v>
      </c>
      <c r="E134" s="2">
        <v>0.81603611327204995</v>
      </c>
      <c r="F134" s="2">
        <v>0.81778515143336405</v>
      </c>
      <c r="G134" s="2">
        <v>0.86490598589126799</v>
      </c>
      <c r="H134" s="2">
        <v>0.876866125814321</v>
      </c>
      <c r="I134" s="1">
        <v>0.91680293817242697</v>
      </c>
      <c r="J134" s="1">
        <v>0.91642455321468397</v>
      </c>
      <c r="K134" s="1">
        <v>0.96507480379549204</v>
      </c>
      <c r="L134" s="1">
        <v>0.93883129322981895</v>
      </c>
    </row>
    <row r="135" spans="1:12" x14ac:dyDescent="0.3">
      <c r="A135" t="s">
        <v>57</v>
      </c>
      <c r="B135" t="s">
        <v>104</v>
      </c>
      <c r="C135" t="s">
        <v>580</v>
      </c>
      <c r="D135" t="s">
        <v>581</v>
      </c>
      <c r="E135" s="2">
        <v>0.80115881519666798</v>
      </c>
      <c r="F135" s="2">
        <v>0.75198106274430399</v>
      </c>
      <c r="G135" s="2">
        <v>0.87710221644708097</v>
      </c>
      <c r="H135" s="2">
        <v>0.88739096166750098</v>
      </c>
      <c r="I135" s="1">
        <v>0.97496511838447497</v>
      </c>
      <c r="J135" s="1">
        <v>0.95428378191268404</v>
      </c>
      <c r="K135" s="1">
        <v>0.981965405958099</v>
      </c>
      <c r="L135" s="1">
        <v>0.95418259860047505</v>
      </c>
    </row>
    <row r="136" spans="1:12" x14ac:dyDescent="0.3">
      <c r="A136" t="s">
        <v>57</v>
      </c>
      <c r="B136" t="s">
        <v>105</v>
      </c>
      <c r="C136" t="s">
        <v>580</v>
      </c>
      <c r="D136" t="s">
        <v>581</v>
      </c>
      <c r="E136" s="2">
        <v>0.82385522051760796</v>
      </c>
      <c r="F136" s="2">
        <v>0.897100011669973</v>
      </c>
      <c r="G136" s="2">
        <v>0.88178541612431205</v>
      </c>
      <c r="H136" s="2">
        <v>0.957388888390172</v>
      </c>
      <c r="I136" s="1">
        <v>0.94773871827787104</v>
      </c>
      <c r="J136" s="1">
        <v>0.979721177410522</v>
      </c>
      <c r="K136" s="1">
        <v>0.96307800030521395</v>
      </c>
      <c r="L136" s="1">
        <v>0.97963140838622198</v>
      </c>
    </row>
    <row r="137" spans="1:12" x14ac:dyDescent="0.3">
      <c r="A137" t="s">
        <v>57</v>
      </c>
      <c r="B137" t="s">
        <v>106</v>
      </c>
      <c r="C137" t="s">
        <v>580</v>
      </c>
      <c r="D137" t="s">
        <v>581</v>
      </c>
      <c r="E137" s="2">
        <v>0.89472549548004598</v>
      </c>
      <c r="F137" s="2">
        <v>0.87795879369901197</v>
      </c>
      <c r="G137" s="2">
        <v>0.91804306817903403</v>
      </c>
      <c r="H137" s="2">
        <v>0.87795879369901197</v>
      </c>
      <c r="I137" s="1">
        <v>0.96047183909453904</v>
      </c>
      <c r="J137" s="1">
        <v>0.91336877434527997</v>
      </c>
      <c r="K137" s="1">
        <v>0.99415223302873601</v>
      </c>
      <c r="L137" s="1">
        <v>0.95048384330826297</v>
      </c>
    </row>
    <row r="138" spans="1:12" x14ac:dyDescent="0.3">
      <c r="A138" t="s">
        <v>57</v>
      </c>
      <c r="B138" t="s">
        <v>107</v>
      </c>
      <c r="C138" t="s">
        <v>34</v>
      </c>
      <c r="D138" t="s">
        <v>35</v>
      </c>
      <c r="E138" s="2">
        <v>0.90942146183674599</v>
      </c>
      <c r="F138" s="2">
        <v>0.89520255655799896</v>
      </c>
      <c r="G138" s="2">
        <v>0.94502620861669095</v>
      </c>
      <c r="H138" s="2">
        <v>0.96337613749293605</v>
      </c>
      <c r="I138" s="1">
        <v>0.96659132095325295</v>
      </c>
      <c r="J138" s="1">
        <v>0.96525458407217601</v>
      </c>
      <c r="K138" s="1">
        <v>0.96750131530232397</v>
      </c>
      <c r="L138" s="1">
        <v>1</v>
      </c>
    </row>
    <row r="139" spans="1:12" x14ac:dyDescent="0.3">
      <c r="A139" t="s">
        <v>57</v>
      </c>
      <c r="B139" t="s">
        <v>108</v>
      </c>
      <c r="C139" t="s">
        <v>580</v>
      </c>
      <c r="D139" t="s">
        <v>581</v>
      </c>
      <c r="E139" s="2">
        <v>0.91898804527822497</v>
      </c>
      <c r="F139" s="2">
        <v>0.94185967379715496</v>
      </c>
      <c r="G139" s="2">
        <v>0.94203547852913805</v>
      </c>
      <c r="H139" s="2">
        <v>0.99407935031644801</v>
      </c>
      <c r="I139" s="1">
        <v>0.99414740376108701</v>
      </c>
      <c r="J139" s="1">
        <v>0.99903023841390104</v>
      </c>
      <c r="K139" s="1">
        <v>0.99414740376108701</v>
      </c>
      <c r="L139" s="1">
        <v>0.99917201642356401</v>
      </c>
    </row>
    <row r="140" spans="1:12" x14ac:dyDescent="0.3">
      <c r="A140" t="s">
        <v>57</v>
      </c>
      <c r="B140" t="s">
        <v>629</v>
      </c>
      <c r="C140" t="s">
        <v>580</v>
      </c>
      <c r="D140" t="s">
        <v>581</v>
      </c>
      <c r="E140" s="2">
        <v>0.96372787808366001</v>
      </c>
      <c r="F140" s="2">
        <v>0.95245463889881998</v>
      </c>
      <c r="G140" s="2">
        <v>0.99340252949588803</v>
      </c>
      <c r="H140" s="2">
        <v>0.97749821237039602</v>
      </c>
      <c r="I140" s="1">
        <v>0.99866486414014999</v>
      </c>
      <c r="J140" s="1">
        <v>0.96444292992491898</v>
      </c>
      <c r="K140" s="1">
        <v>0.99866486414014999</v>
      </c>
      <c r="L140" s="1">
        <v>0.97514636217375705</v>
      </c>
    </row>
    <row r="141" spans="1:12" x14ac:dyDescent="0.3">
      <c r="A141" t="s">
        <v>57</v>
      </c>
      <c r="B141" t="s">
        <v>109</v>
      </c>
      <c r="C141" t="s">
        <v>580</v>
      </c>
      <c r="D141" t="s">
        <v>581</v>
      </c>
      <c r="E141" s="2">
        <v>0.84182086847281001</v>
      </c>
      <c r="F141" s="2">
        <v>0.83989785095713199</v>
      </c>
      <c r="G141" s="2">
        <v>0.925494012130198</v>
      </c>
      <c r="H141" s="2">
        <v>0.93534851152780696</v>
      </c>
      <c r="I141" s="1">
        <v>0.93781728501848305</v>
      </c>
      <c r="J141" s="1">
        <v>0.92759723209045097</v>
      </c>
      <c r="K141" s="1">
        <v>0.950240956411603</v>
      </c>
      <c r="L141" s="1">
        <v>0.91489553406855895</v>
      </c>
    </row>
    <row r="142" spans="1:12" x14ac:dyDescent="0.3">
      <c r="A142" t="s">
        <v>57</v>
      </c>
      <c r="B142" t="s">
        <v>110</v>
      </c>
      <c r="C142" t="s">
        <v>580</v>
      </c>
      <c r="D142" t="s">
        <v>581</v>
      </c>
      <c r="E142" s="2">
        <v>0.78158974891864796</v>
      </c>
      <c r="F142" s="2">
        <v>0.83771286061283001</v>
      </c>
      <c r="G142" s="2">
        <v>0.89915829945315395</v>
      </c>
      <c r="H142" s="2">
        <v>0.92294694775308395</v>
      </c>
      <c r="I142" s="1">
        <v>0.90169660678642705</v>
      </c>
      <c r="J142" s="1">
        <v>0.95626750836721297</v>
      </c>
      <c r="K142" s="1">
        <v>0.92491156515602202</v>
      </c>
      <c r="L142" s="1">
        <v>0.94729196704205398</v>
      </c>
    </row>
    <row r="143" spans="1:12" x14ac:dyDescent="0.3">
      <c r="A143" t="s">
        <v>57</v>
      </c>
      <c r="B143" t="s">
        <v>111</v>
      </c>
      <c r="C143" t="s">
        <v>580</v>
      </c>
      <c r="D143" t="s">
        <v>581</v>
      </c>
      <c r="E143" s="2">
        <v>0.93503411733313002</v>
      </c>
      <c r="F143" s="2">
        <v>0.97148629588685997</v>
      </c>
      <c r="G143" s="2">
        <v>0.99557808866694597</v>
      </c>
      <c r="H143" s="2">
        <v>0.99717912552891297</v>
      </c>
      <c r="I143" s="1">
        <v>0.99959974078450797</v>
      </c>
      <c r="J143" s="1">
        <v>0.99919948156901595</v>
      </c>
      <c r="K143" s="1">
        <v>0.99957115084054404</v>
      </c>
      <c r="L143" s="1">
        <v>0.99959974078450797</v>
      </c>
    </row>
    <row r="144" spans="1:12" x14ac:dyDescent="0.3">
      <c r="A144" t="s">
        <v>57</v>
      </c>
      <c r="B144" t="s">
        <v>112</v>
      </c>
      <c r="C144" t="s">
        <v>580</v>
      </c>
      <c r="D144" t="s">
        <v>581</v>
      </c>
      <c r="E144" s="2">
        <v>0.75433217234766903</v>
      </c>
      <c r="F144" s="2">
        <v>0.76229796892732704</v>
      </c>
      <c r="G144" s="2">
        <v>0.849673228192384</v>
      </c>
      <c r="H144" s="2">
        <v>0.85996947520838996</v>
      </c>
      <c r="I144" s="1">
        <v>0.877188588424059</v>
      </c>
      <c r="J144" s="1">
        <v>0.98112746057214395</v>
      </c>
      <c r="K144" s="1">
        <v>0.90902242398152799</v>
      </c>
      <c r="L144" s="1">
        <v>0.93603490783860999</v>
      </c>
    </row>
    <row r="145" spans="1:12" x14ac:dyDescent="0.3">
      <c r="A145" t="s">
        <v>57</v>
      </c>
      <c r="B145" t="s">
        <v>113</v>
      </c>
      <c r="C145" t="s">
        <v>580</v>
      </c>
      <c r="D145" t="s">
        <v>581</v>
      </c>
      <c r="E145" s="2">
        <v>0.83819270088902098</v>
      </c>
      <c r="F145" s="2">
        <v>0.81081579531975001</v>
      </c>
      <c r="G145" s="2">
        <v>0.89376595396873904</v>
      </c>
      <c r="H145" s="2">
        <v>0.901080154415555</v>
      </c>
      <c r="I145" s="1">
        <v>0.90230407792871903</v>
      </c>
      <c r="J145" s="1">
        <v>0.90733809210443495</v>
      </c>
      <c r="K145" s="1">
        <v>0.90931020173780297</v>
      </c>
      <c r="L145" s="1">
        <v>0.91113979972922698</v>
      </c>
    </row>
    <row r="146" spans="1:12" x14ac:dyDescent="0.3">
      <c r="A146" t="s">
        <v>57</v>
      </c>
      <c r="B146" t="s">
        <v>114</v>
      </c>
      <c r="C146" t="s">
        <v>580</v>
      </c>
      <c r="D146" t="s">
        <v>581</v>
      </c>
      <c r="E146" s="2">
        <v>0.75294515459871603</v>
      </c>
      <c r="F146" s="2">
        <v>0.88980987020996205</v>
      </c>
      <c r="G146" s="2">
        <v>0.81354420710341102</v>
      </c>
      <c r="H146" s="2">
        <v>0.92924182855380799</v>
      </c>
      <c r="I146" s="1">
        <v>0.93768483867350605</v>
      </c>
      <c r="J146" s="1">
        <v>0.93566300142965197</v>
      </c>
      <c r="K146" s="1">
        <v>0.94733587026602695</v>
      </c>
      <c r="L146" s="1">
        <v>0.94791403862865398</v>
      </c>
    </row>
    <row r="147" spans="1:12" x14ac:dyDescent="0.3">
      <c r="A147" t="s">
        <v>57</v>
      </c>
      <c r="B147" t="s">
        <v>630</v>
      </c>
      <c r="C147" t="s">
        <v>580</v>
      </c>
      <c r="D147" t="s">
        <v>581</v>
      </c>
      <c r="E147" s="2">
        <v>0.82182639237330601</v>
      </c>
      <c r="F147" s="2">
        <v>0.73826567589738601</v>
      </c>
      <c r="G147" s="2">
        <v>0.86797123264760001</v>
      </c>
      <c r="H147" s="2">
        <v>0.89669478093963695</v>
      </c>
      <c r="I147" s="1">
        <v>0.90340795960464804</v>
      </c>
      <c r="J147" s="1">
        <v>0.94822274787151795</v>
      </c>
      <c r="K147" s="1">
        <v>0.92562858895021405</v>
      </c>
      <c r="L147" s="1">
        <v>0.93899362052899404</v>
      </c>
    </row>
    <row r="148" spans="1:12" x14ac:dyDescent="0.3">
      <c r="A148" t="s">
        <v>57</v>
      </c>
      <c r="B148" t="s">
        <v>631</v>
      </c>
      <c r="C148" t="s">
        <v>580</v>
      </c>
      <c r="D148" t="s">
        <v>581</v>
      </c>
      <c r="E148" s="2">
        <v>0.79034686694967504</v>
      </c>
      <c r="F148" s="2">
        <v>0.90114957125406603</v>
      </c>
      <c r="G148" s="2">
        <v>0.86928993868146998</v>
      </c>
      <c r="H148" s="2">
        <v>0.93828537909848397</v>
      </c>
      <c r="I148" s="1">
        <v>0.94056819418743798</v>
      </c>
      <c r="J148" s="1">
        <v>0.97938209789194797</v>
      </c>
      <c r="K148" s="1">
        <v>0.96436087224701506</v>
      </c>
      <c r="L148" s="1">
        <v>0.97935790912279397</v>
      </c>
    </row>
    <row r="149" spans="1:12" x14ac:dyDescent="0.3">
      <c r="A149" t="s">
        <v>57</v>
      </c>
      <c r="B149" t="s">
        <v>632</v>
      </c>
      <c r="C149" t="s">
        <v>580</v>
      </c>
      <c r="D149" t="s">
        <v>581</v>
      </c>
      <c r="E149" s="2">
        <v>0.76918303220738404</v>
      </c>
      <c r="F149" s="2">
        <v>0.79316836868290097</v>
      </c>
      <c r="G149" s="2">
        <v>0.85338439382037101</v>
      </c>
      <c r="H149" s="2">
        <v>0.84372741555380903</v>
      </c>
      <c r="I149" s="1">
        <v>0.94946190102120898</v>
      </c>
      <c r="J149" s="1">
        <v>0.86764336213668403</v>
      </c>
      <c r="K149" s="1">
        <v>0.96061927206074804</v>
      </c>
      <c r="L149" s="1">
        <v>0.90493584708038699</v>
      </c>
    </row>
    <row r="150" spans="1:12" x14ac:dyDescent="0.3">
      <c r="A150" t="s">
        <v>57</v>
      </c>
      <c r="B150" t="s">
        <v>633</v>
      </c>
      <c r="C150" t="s">
        <v>580</v>
      </c>
      <c r="D150" t="s">
        <v>581</v>
      </c>
      <c r="E150" s="2">
        <v>0.76700051435836203</v>
      </c>
      <c r="F150" s="2">
        <v>0.89501266486155995</v>
      </c>
      <c r="G150" s="2">
        <v>0.82663696974990497</v>
      </c>
      <c r="H150" s="2">
        <v>0.95272270261352199</v>
      </c>
      <c r="I150" s="1">
        <v>0.90769693617103797</v>
      </c>
      <c r="J150" s="1">
        <v>0.96274298580176798</v>
      </c>
      <c r="K150" s="1">
        <v>0.94662804126512701</v>
      </c>
      <c r="L150" s="1">
        <v>0.96371832571500604</v>
      </c>
    </row>
    <row r="151" spans="1:12" x14ac:dyDescent="0.3">
      <c r="A151" t="s">
        <v>57</v>
      </c>
      <c r="B151" t="s">
        <v>634</v>
      </c>
      <c r="C151" t="s">
        <v>580</v>
      </c>
      <c r="D151" t="s">
        <v>581</v>
      </c>
      <c r="E151" s="2">
        <v>0.72798059417724403</v>
      </c>
      <c r="F151" s="2">
        <v>0.79538153521844102</v>
      </c>
      <c r="G151" s="2">
        <v>0.80081042508232803</v>
      </c>
      <c r="H151" s="2">
        <v>0.81994644234987901</v>
      </c>
      <c r="I151" s="1">
        <v>0.86349859549853403</v>
      </c>
      <c r="J151" s="1">
        <v>0.87583147999656996</v>
      </c>
      <c r="K151" s="1">
        <v>0.917005814686496</v>
      </c>
      <c r="L151" s="1">
        <v>0.94016874189953104</v>
      </c>
    </row>
    <row r="152" spans="1:12" x14ac:dyDescent="0.3">
      <c r="A152" t="s">
        <v>57</v>
      </c>
      <c r="B152" t="s">
        <v>115</v>
      </c>
      <c r="C152" t="s">
        <v>34</v>
      </c>
      <c r="D152" t="s">
        <v>35</v>
      </c>
      <c r="E152" s="2">
        <v>0.84953659973107198</v>
      </c>
      <c r="F152" s="2">
        <v>0.87543200684543299</v>
      </c>
      <c r="G152" s="2">
        <v>0.95977474524097905</v>
      </c>
      <c r="H152" s="2">
        <v>0.91317356951559603</v>
      </c>
      <c r="I152" s="1">
        <v>0.98812328447442399</v>
      </c>
      <c r="J152" s="1">
        <v>0.98591741029259705</v>
      </c>
      <c r="K152" s="1">
        <v>0.99847200151132898</v>
      </c>
      <c r="L152" s="1">
        <v>0.99933045884405503</v>
      </c>
    </row>
    <row r="153" spans="1:12" x14ac:dyDescent="0.3">
      <c r="A153" t="s">
        <v>57</v>
      </c>
      <c r="B153" t="s">
        <v>635</v>
      </c>
      <c r="C153" t="s">
        <v>580</v>
      </c>
      <c r="D153" t="s">
        <v>581</v>
      </c>
      <c r="E153" s="2">
        <v>0.94166205015103799</v>
      </c>
      <c r="F153" s="2">
        <v>0.75308609714542496</v>
      </c>
      <c r="G153" s="2">
        <v>0.96039029590994096</v>
      </c>
      <c r="H153" s="2">
        <v>0.83293265461843102</v>
      </c>
      <c r="I153" s="1">
        <v>0.97032015971401897</v>
      </c>
      <c r="J153" s="1">
        <v>0.93689048928097296</v>
      </c>
      <c r="K153" s="1">
        <v>0.95009982126245096</v>
      </c>
      <c r="L153" s="1">
        <v>0.99038371084236598</v>
      </c>
    </row>
    <row r="154" spans="1:12" x14ac:dyDescent="0.3">
      <c r="A154" t="s">
        <v>57</v>
      </c>
      <c r="B154" t="s">
        <v>116</v>
      </c>
      <c r="C154" t="s">
        <v>580</v>
      </c>
      <c r="D154" t="s">
        <v>581</v>
      </c>
      <c r="E154" s="2">
        <v>0.90791642936362804</v>
      </c>
      <c r="F154" s="2">
        <v>0.91853511585384096</v>
      </c>
      <c r="G154" s="2">
        <v>0.99497167351098503</v>
      </c>
      <c r="H154" s="2">
        <v>0.98689337849584802</v>
      </c>
      <c r="I154" s="1">
        <v>0.99553370702317001</v>
      </c>
      <c r="J154" s="1">
        <v>0.99903330235904197</v>
      </c>
      <c r="K154" s="1">
        <v>0.99766194058931101</v>
      </c>
      <c r="L154" s="1">
        <v>0.99903330235904197</v>
      </c>
    </row>
    <row r="155" spans="1:12" x14ac:dyDescent="0.3">
      <c r="A155" t="s">
        <v>57</v>
      </c>
      <c r="B155" t="s">
        <v>117</v>
      </c>
      <c r="C155" t="s">
        <v>34</v>
      </c>
      <c r="D155" t="s">
        <v>35</v>
      </c>
      <c r="E155" s="2">
        <v>0.89017640738612203</v>
      </c>
      <c r="F155" s="2">
        <v>0.913026910871792</v>
      </c>
      <c r="G155" s="2">
        <v>0.97891107168736402</v>
      </c>
      <c r="H155" s="2">
        <v>0.93608980285350196</v>
      </c>
      <c r="I155" s="1">
        <v>0.96933484920416702</v>
      </c>
      <c r="J155" s="1">
        <v>0.96689238149971202</v>
      </c>
      <c r="K155" s="1">
        <v>0.99366582544164295</v>
      </c>
      <c r="L155" s="1">
        <v>1</v>
      </c>
    </row>
    <row r="156" spans="1:12" x14ac:dyDescent="0.3">
      <c r="A156" t="s">
        <v>57</v>
      </c>
      <c r="B156" t="s">
        <v>118</v>
      </c>
      <c r="C156" t="s">
        <v>580</v>
      </c>
      <c r="D156" t="s">
        <v>35</v>
      </c>
      <c r="E156" s="2">
        <v>0.82073814224603903</v>
      </c>
      <c r="F156" s="2">
        <v>0.83307625863770896</v>
      </c>
      <c r="G156" s="2">
        <v>0.91341577351572401</v>
      </c>
      <c r="H156" s="2">
        <v>0.96886164386781304</v>
      </c>
      <c r="I156" s="1">
        <v>0.96976654679640795</v>
      </c>
      <c r="J156" s="1">
        <v>0.96886164386781304</v>
      </c>
      <c r="K156" s="1">
        <v>0.98562144502420901</v>
      </c>
      <c r="L156" s="1">
        <v>0.96886164386781304</v>
      </c>
    </row>
    <row r="157" spans="1:12" x14ac:dyDescent="0.3">
      <c r="A157" t="s">
        <v>57</v>
      </c>
      <c r="B157" t="s">
        <v>119</v>
      </c>
      <c r="C157" t="s">
        <v>580</v>
      </c>
      <c r="D157" t="s">
        <v>581</v>
      </c>
      <c r="E157" s="2">
        <v>0.931864826490993</v>
      </c>
      <c r="F157" s="2">
        <v>0.91646871992947898</v>
      </c>
      <c r="G157" s="2">
        <v>0.931864826490993</v>
      </c>
      <c r="H157" s="2">
        <v>0.93426373907367599</v>
      </c>
      <c r="I157" s="1">
        <v>0.97243101023491096</v>
      </c>
      <c r="J157" s="1">
        <v>0.95881474204119499</v>
      </c>
      <c r="K157" s="1">
        <v>0.97243101023491096</v>
      </c>
      <c r="L157" s="1">
        <v>0.96990088083494197</v>
      </c>
    </row>
    <row r="158" spans="1:12" x14ac:dyDescent="0.3">
      <c r="A158" t="s">
        <v>57</v>
      </c>
      <c r="B158" t="s">
        <v>120</v>
      </c>
      <c r="C158" t="s">
        <v>580</v>
      </c>
      <c r="D158" t="s">
        <v>581</v>
      </c>
      <c r="E158" s="2">
        <v>0.81759245616620002</v>
      </c>
      <c r="F158" s="2">
        <v>0.89007170571189997</v>
      </c>
      <c r="G158" s="2">
        <v>0.950260301556898</v>
      </c>
      <c r="H158" s="2">
        <v>0.90920141446883695</v>
      </c>
      <c r="I158" s="1">
        <v>0.98800402730710601</v>
      </c>
      <c r="J158" s="1">
        <v>0.92120966553705597</v>
      </c>
      <c r="K158" s="1">
        <v>0.99532193900103105</v>
      </c>
      <c r="L158" s="1">
        <v>0.92035017926427898</v>
      </c>
    </row>
    <row r="159" spans="1:12" x14ac:dyDescent="0.3">
      <c r="A159" t="s">
        <v>57</v>
      </c>
      <c r="B159" t="s">
        <v>121</v>
      </c>
      <c r="C159" t="s">
        <v>34</v>
      </c>
      <c r="D159" t="s">
        <v>35</v>
      </c>
      <c r="E159" s="2">
        <v>0.90938497057021195</v>
      </c>
      <c r="F159" s="2">
        <v>0.98868145957276499</v>
      </c>
      <c r="G159" s="2">
        <v>0.96635529657040597</v>
      </c>
      <c r="H159" s="2">
        <v>0.99220444148978204</v>
      </c>
      <c r="I159" s="1">
        <v>0.99260920000271302</v>
      </c>
      <c r="J159" s="1">
        <v>0.99387887544969999</v>
      </c>
      <c r="K159" s="1">
        <v>0.999954775585147</v>
      </c>
      <c r="L159" s="1">
        <v>0.999686820927145</v>
      </c>
    </row>
    <row r="160" spans="1:12" x14ac:dyDescent="0.3">
      <c r="A160" t="s">
        <v>57</v>
      </c>
      <c r="B160" t="s">
        <v>122</v>
      </c>
      <c r="C160" t="s">
        <v>34</v>
      </c>
      <c r="D160" t="s">
        <v>35</v>
      </c>
      <c r="E160" s="2">
        <v>0.748487631437045</v>
      </c>
      <c r="F160" s="2">
        <v>0.77612732542464202</v>
      </c>
      <c r="G160" s="2">
        <v>0.95325559449986497</v>
      </c>
      <c r="H160" s="2">
        <v>0.96545775478565599</v>
      </c>
      <c r="I160" s="1">
        <v>1</v>
      </c>
      <c r="J160" s="1">
        <v>0.995254364383931</v>
      </c>
      <c r="K160" s="1">
        <v>0.999999999999999</v>
      </c>
      <c r="L160" s="1">
        <v>0.99709532555945002</v>
      </c>
    </row>
    <row r="161" spans="1:12" x14ac:dyDescent="0.3">
      <c r="A161" t="s">
        <v>57</v>
      </c>
      <c r="B161" t="s">
        <v>123</v>
      </c>
      <c r="C161" t="s">
        <v>34</v>
      </c>
      <c r="D161" t="s">
        <v>35</v>
      </c>
      <c r="E161" s="2">
        <v>0.74142661874145699</v>
      </c>
      <c r="F161" s="2">
        <v>0.78152179415784895</v>
      </c>
      <c r="G161" s="2">
        <v>0.90768997114362304</v>
      </c>
      <c r="H161" s="2">
        <v>0.91530400445501903</v>
      </c>
      <c r="I161" s="1">
        <v>0.91820482964612904</v>
      </c>
      <c r="J161" s="1">
        <v>0.94995696856173695</v>
      </c>
      <c r="K161" s="1">
        <v>0.99563104338581399</v>
      </c>
      <c r="L161" s="1">
        <v>0.98532374829139802</v>
      </c>
    </row>
    <row r="162" spans="1:12" x14ac:dyDescent="0.3">
      <c r="A162" t="s">
        <v>57</v>
      </c>
      <c r="B162" t="s">
        <v>124</v>
      </c>
      <c r="C162" t="s">
        <v>34</v>
      </c>
      <c r="D162" t="s">
        <v>35</v>
      </c>
      <c r="E162" s="2">
        <v>0.83978859327607402</v>
      </c>
      <c r="F162" s="2">
        <v>0.87565722691271997</v>
      </c>
      <c r="G162" s="2">
        <v>0.98020569302868299</v>
      </c>
      <c r="H162" s="2">
        <v>0.96961408243524905</v>
      </c>
      <c r="I162" s="1">
        <v>0.99427110876079605</v>
      </c>
      <c r="J162" s="1">
        <v>0.99840745941148901</v>
      </c>
      <c r="K162" s="1">
        <v>0.99544423980500396</v>
      </c>
      <c r="L162" s="1">
        <v>1</v>
      </c>
    </row>
    <row r="163" spans="1:12" x14ac:dyDescent="0.3">
      <c r="A163" t="s">
        <v>57</v>
      </c>
      <c r="B163" t="s">
        <v>125</v>
      </c>
      <c r="C163" t="s">
        <v>34</v>
      </c>
      <c r="D163" t="s">
        <v>35</v>
      </c>
      <c r="E163" s="2">
        <v>0.93356586147112597</v>
      </c>
      <c r="F163" s="2">
        <v>0.82979821340356297</v>
      </c>
      <c r="G163" s="2">
        <v>0.996656031414897</v>
      </c>
      <c r="H163" s="2">
        <v>0.92479256539263899</v>
      </c>
      <c r="I163" s="1">
        <v>0.99728926940854701</v>
      </c>
      <c r="J163" s="1">
        <v>0.99663085922136097</v>
      </c>
      <c r="K163" s="1">
        <v>0.99728926940854701</v>
      </c>
      <c r="L163" s="1">
        <v>1</v>
      </c>
    </row>
    <row r="164" spans="1:12" x14ac:dyDescent="0.3">
      <c r="A164" t="s">
        <v>57</v>
      </c>
      <c r="B164" t="s">
        <v>636</v>
      </c>
      <c r="C164" t="s">
        <v>34</v>
      </c>
      <c r="D164" t="s">
        <v>35</v>
      </c>
      <c r="E164" s="2">
        <v>0.959935726031792</v>
      </c>
      <c r="F164" s="2">
        <v>0.87448945144858703</v>
      </c>
      <c r="G164" s="2">
        <v>0.99328181611561905</v>
      </c>
      <c r="H164" s="2">
        <v>0.94682356912710397</v>
      </c>
      <c r="I164" s="1">
        <v>0.99932734601655104</v>
      </c>
      <c r="J164" s="1">
        <v>0.99535242055162598</v>
      </c>
      <c r="K164" s="1">
        <v>1</v>
      </c>
      <c r="L164" s="1">
        <v>0.99774556466168396</v>
      </c>
    </row>
    <row r="165" spans="1:12" x14ac:dyDescent="0.3">
      <c r="A165" t="s">
        <v>57</v>
      </c>
      <c r="B165" t="s">
        <v>126</v>
      </c>
      <c r="C165" t="s">
        <v>34</v>
      </c>
      <c r="D165" t="s">
        <v>35</v>
      </c>
      <c r="E165" s="2">
        <v>0.88104143038027805</v>
      </c>
      <c r="F165" s="2">
        <v>0.80330395880965599</v>
      </c>
      <c r="G165" s="2">
        <v>0.95279748081204496</v>
      </c>
      <c r="H165" s="2">
        <v>0.92361723705450605</v>
      </c>
      <c r="I165" s="1">
        <v>0.99610765057818895</v>
      </c>
      <c r="J165" s="1">
        <v>0.98633064491931699</v>
      </c>
      <c r="K165" s="1">
        <v>1</v>
      </c>
      <c r="L165" s="1">
        <v>0.99860703548346397</v>
      </c>
    </row>
    <row r="166" spans="1:12" x14ac:dyDescent="0.3">
      <c r="A166" t="s">
        <v>57</v>
      </c>
      <c r="B166" t="s">
        <v>127</v>
      </c>
      <c r="C166" t="s">
        <v>580</v>
      </c>
      <c r="D166" t="s">
        <v>581</v>
      </c>
      <c r="E166" s="2">
        <v>0.82212814228128095</v>
      </c>
      <c r="F166" s="2">
        <v>0.87591913626511597</v>
      </c>
      <c r="G166" s="2">
        <v>0.91774869852330498</v>
      </c>
      <c r="H166" s="2">
        <v>0.93475736153030597</v>
      </c>
      <c r="I166" s="1">
        <v>0.97208661656572104</v>
      </c>
      <c r="J166" s="1">
        <v>0.95577680096690698</v>
      </c>
      <c r="K166" s="1">
        <v>0.98885895436222504</v>
      </c>
      <c r="L166" s="1">
        <v>0.97659705201180202</v>
      </c>
    </row>
    <row r="167" spans="1:12" x14ac:dyDescent="0.3">
      <c r="A167" t="s">
        <v>57</v>
      </c>
      <c r="B167" t="s">
        <v>128</v>
      </c>
      <c r="C167" t="s">
        <v>580</v>
      </c>
      <c r="D167" t="s">
        <v>581</v>
      </c>
      <c r="E167" s="2">
        <v>0.90110070002026699</v>
      </c>
      <c r="F167" s="2">
        <v>0.80429834271370804</v>
      </c>
      <c r="G167" s="2">
        <v>0.91964578039007805</v>
      </c>
      <c r="H167" s="2">
        <v>0.87560998425344105</v>
      </c>
      <c r="I167" s="1">
        <v>0.93125302068879401</v>
      </c>
      <c r="J167" s="1">
        <v>0.93539233875368299</v>
      </c>
      <c r="K167" s="1">
        <v>0.90384465474501396</v>
      </c>
      <c r="L167" s="1">
        <v>0.89347687126798703</v>
      </c>
    </row>
    <row r="168" spans="1:12" x14ac:dyDescent="0.3">
      <c r="A168" t="s">
        <v>57</v>
      </c>
      <c r="B168" t="s">
        <v>129</v>
      </c>
      <c r="C168" t="s">
        <v>580</v>
      </c>
      <c r="D168" t="s">
        <v>581</v>
      </c>
      <c r="E168" s="2">
        <v>0.93449399645337194</v>
      </c>
      <c r="F168" s="2">
        <v>0.89032359590107302</v>
      </c>
      <c r="G168" s="2">
        <v>0.95472635468980505</v>
      </c>
      <c r="H168" s="2">
        <v>0.98580841444099998</v>
      </c>
      <c r="I168" s="1">
        <v>0.975968892558851</v>
      </c>
      <c r="J168" s="1">
        <v>0.98756649926224704</v>
      </c>
      <c r="K168" s="1">
        <v>0.991789963856889</v>
      </c>
      <c r="L168" s="1">
        <v>0.98921290593315503</v>
      </c>
    </row>
    <row r="169" spans="1:12" x14ac:dyDescent="0.3">
      <c r="A169" t="s">
        <v>57</v>
      </c>
      <c r="B169" t="s">
        <v>637</v>
      </c>
      <c r="C169" t="s">
        <v>34</v>
      </c>
      <c r="D169" t="s">
        <v>35</v>
      </c>
      <c r="E169" s="2">
        <v>0.91770465157416503</v>
      </c>
      <c r="F169" s="2">
        <v>0.83181306926463205</v>
      </c>
      <c r="G169" s="2">
        <v>0.97935377929971001</v>
      </c>
      <c r="H169" s="2">
        <v>0.97090721883458597</v>
      </c>
      <c r="I169" s="1">
        <v>0.99886439111004299</v>
      </c>
      <c r="J169" s="1">
        <v>0.99804084520674596</v>
      </c>
      <c r="K169" s="1">
        <v>0.99985147804378205</v>
      </c>
      <c r="L169" s="1">
        <v>1</v>
      </c>
    </row>
    <row r="170" spans="1:12" x14ac:dyDescent="0.3">
      <c r="A170" t="s">
        <v>57</v>
      </c>
      <c r="B170" t="s">
        <v>638</v>
      </c>
      <c r="C170" t="s">
        <v>580</v>
      </c>
      <c r="D170" t="s">
        <v>581</v>
      </c>
      <c r="E170" s="2">
        <v>0</v>
      </c>
      <c r="F170" s="2">
        <v>0</v>
      </c>
      <c r="G170" s="2">
        <v>0</v>
      </c>
      <c r="H170" s="2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3">
      <c r="A171" t="s">
        <v>57</v>
      </c>
      <c r="B171" t="s">
        <v>130</v>
      </c>
      <c r="C171" t="s">
        <v>34</v>
      </c>
      <c r="D171" t="s">
        <v>35</v>
      </c>
      <c r="E171" s="2">
        <v>0.96975881032824396</v>
      </c>
      <c r="F171" s="2">
        <v>0.97473427211521801</v>
      </c>
      <c r="G171" s="2">
        <v>0.98779871266862296</v>
      </c>
      <c r="H171" s="2">
        <v>0.98010431823226196</v>
      </c>
      <c r="I171" s="1">
        <v>0.993359885570544</v>
      </c>
      <c r="J171" s="1">
        <v>0.98718834003304601</v>
      </c>
      <c r="K171" s="1">
        <v>1</v>
      </c>
      <c r="L171" s="1">
        <v>0.99031418777281799</v>
      </c>
    </row>
    <row r="172" spans="1:12" x14ac:dyDescent="0.3">
      <c r="A172" t="s">
        <v>57</v>
      </c>
      <c r="B172" t="s">
        <v>639</v>
      </c>
      <c r="C172" t="s">
        <v>580</v>
      </c>
      <c r="D172" t="s">
        <v>581</v>
      </c>
      <c r="E172" s="2">
        <v>0.94866672457222201</v>
      </c>
      <c r="F172" s="2">
        <v>0.86231769620113197</v>
      </c>
      <c r="G172" s="2">
        <v>0.96169942278688902</v>
      </c>
      <c r="H172" s="2">
        <v>0.91256919055928798</v>
      </c>
      <c r="I172" s="1">
        <v>0.96540274630259804</v>
      </c>
      <c r="J172" s="1">
        <v>0.93280323428851097</v>
      </c>
      <c r="K172" s="1">
        <v>0.97419517857283799</v>
      </c>
      <c r="L172" s="1">
        <v>0.97394644788894702</v>
      </c>
    </row>
    <row r="173" spans="1:12" x14ac:dyDescent="0.3">
      <c r="A173" t="s">
        <v>57</v>
      </c>
      <c r="B173" t="s">
        <v>640</v>
      </c>
      <c r="C173" t="s">
        <v>580</v>
      </c>
      <c r="D173" t="s">
        <v>581</v>
      </c>
      <c r="E173" s="2">
        <v>0.88214164279245699</v>
      </c>
      <c r="F173" s="2">
        <v>0.95702137400982301</v>
      </c>
      <c r="G173" s="2">
        <v>0.98992570099278498</v>
      </c>
      <c r="H173" s="2">
        <v>0.99668734829637395</v>
      </c>
      <c r="I173" s="1">
        <v>0.99308685947825703</v>
      </c>
      <c r="J173" s="1">
        <v>0.99697686866884505</v>
      </c>
      <c r="K173" s="1">
        <v>0.99485764687267397</v>
      </c>
      <c r="L173" s="1">
        <v>0.996901122059769</v>
      </c>
    </row>
    <row r="174" spans="1:12" x14ac:dyDescent="0.3">
      <c r="A174" t="s">
        <v>57</v>
      </c>
      <c r="B174" t="s">
        <v>641</v>
      </c>
      <c r="C174" t="s">
        <v>580</v>
      </c>
      <c r="D174" t="s">
        <v>581</v>
      </c>
      <c r="E174" s="2">
        <v>0.90286298568507095</v>
      </c>
      <c r="F174" s="2">
        <v>0.89174978007791506</v>
      </c>
      <c r="G174" s="2">
        <v>0.94197484319840896</v>
      </c>
      <c r="H174" s="2">
        <v>0.94354857136328796</v>
      </c>
      <c r="I174" s="1">
        <v>0.96604345888885002</v>
      </c>
      <c r="J174" s="1">
        <v>0.97252973232340501</v>
      </c>
      <c r="K174" s="1">
        <v>0.98796140795832299</v>
      </c>
      <c r="L174" s="1">
        <v>0.97252687619243405</v>
      </c>
    </row>
    <row r="175" spans="1:12" x14ac:dyDescent="0.3">
      <c r="A175" t="s">
        <v>57</v>
      </c>
      <c r="B175" t="s">
        <v>131</v>
      </c>
      <c r="C175" t="s">
        <v>580</v>
      </c>
      <c r="D175" t="s">
        <v>581</v>
      </c>
      <c r="E175" s="2">
        <v>0.93442549419003496</v>
      </c>
      <c r="F175" s="2">
        <v>0.87062141824360695</v>
      </c>
      <c r="G175" s="2">
        <v>0.96214815674768595</v>
      </c>
      <c r="H175" s="2">
        <v>0.97487625460417204</v>
      </c>
      <c r="I175" s="1">
        <v>0.98574949077054597</v>
      </c>
      <c r="J175" s="1">
        <v>0.97487625460417204</v>
      </c>
      <c r="K175" s="1">
        <v>0.98576004474886703</v>
      </c>
      <c r="L175" s="1">
        <v>0.97487625460417204</v>
      </c>
    </row>
    <row r="176" spans="1:12" x14ac:dyDescent="0.3">
      <c r="A176" t="s">
        <v>57</v>
      </c>
      <c r="B176" t="s">
        <v>132</v>
      </c>
      <c r="C176" t="s">
        <v>34</v>
      </c>
      <c r="D176" t="s">
        <v>35</v>
      </c>
      <c r="E176" s="2">
        <v>0.90699556120373204</v>
      </c>
      <c r="F176" s="2">
        <v>0.997085754252513</v>
      </c>
      <c r="G176" s="2">
        <v>0.95218579859476205</v>
      </c>
      <c r="H176" s="2">
        <v>1</v>
      </c>
      <c r="I176" s="1">
        <v>0.95299950172111902</v>
      </c>
      <c r="J176" s="1">
        <v>1</v>
      </c>
      <c r="K176" s="1">
        <v>0.952702362939022</v>
      </c>
      <c r="L176" s="1">
        <v>1</v>
      </c>
    </row>
    <row r="177" spans="1:12" x14ac:dyDescent="0.3">
      <c r="A177" t="s">
        <v>57</v>
      </c>
      <c r="B177" t="s">
        <v>133</v>
      </c>
      <c r="C177" t="s">
        <v>580</v>
      </c>
      <c r="D177" t="s">
        <v>581</v>
      </c>
      <c r="E177" s="2">
        <v>0.94178334561532795</v>
      </c>
      <c r="F177" s="2">
        <v>0.86603619094407602</v>
      </c>
      <c r="G177" s="2">
        <v>0.958450012281994</v>
      </c>
      <c r="H177" s="2">
        <v>0.95083108163432395</v>
      </c>
      <c r="I177" s="1">
        <v>0.98119626627364198</v>
      </c>
      <c r="J177" s="1">
        <v>0.97875214934905397</v>
      </c>
      <c r="K177" s="1">
        <v>0.98104888233849097</v>
      </c>
      <c r="L177" s="1">
        <v>0.95602636534839902</v>
      </c>
    </row>
    <row r="178" spans="1:12" x14ac:dyDescent="0.3">
      <c r="A178" t="s">
        <v>57</v>
      </c>
      <c r="B178" t="s">
        <v>642</v>
      </c>
      <c r="C178" t="s">
        <v>580</v>
      </c>
      <c r="D178" t="s">
        <v>581</v>
      </c>
      <c r="E178" s="2">
        <v>0.83186033214001498</v>
      </c>
      <c r="F178" s="2">
        <v>0.76274114956244998</v>
      </c>
      <c r="G178" s="2">
        <v>0.93605185958631598</v>
      </c>
      <c r="H178" s="2">
        <v>0.86561505568814601</v>
      </c>
      <c r="I178" s="1">
        <v>0.94199980111376203</v>
      </c>
      <c r="J178" s="1">
        <v>0.93605807478122505</v>
      </c>
      <c r="K178" s="1">
        <v>0.95352898766905303</v>
      </c>
      <c r="L178" s="1">
        <v>0.91037688941925199</v>
      </c>
    </row>
    <row r="179" spans="1:12" x14ac:dyDescent="0.3">
      <c r="A179" t="s">
        <v>57</v>
      </c>
      <c r="B179" t="s">
        <v>643</v>
      </c>
      <c r="C179" t="s">
        <v>580</v>
      </c>
      <c r="D179" t="s">
        <v>581</v>
      </c>
      <c r="E179" s="2">
        <v>0.83392015869080005</v>
      </c>
      <c r="F179" s="2">
        <v>0.83826762542358801</v>
      </c>
      <c r="G179" s="2">
        <v>0.88610628977601402</v>
      </c>
      <c r="H179" s="2">
        <v>0.92278700719067697</v>
      </c>
      <c r="I179" s="1">
        <v>0.91831556326969099</v>
      </c>
      <c r="J179" s="1">
        <v>0.94546656748491598</v>
      </c>
      <c r="K179" s="1">
        <v>0.91396809653690303</v>
      </c>
      <c r="L179" s="1">
        <v>0.98623853211009105</v>
      </c>
    </row>
    <row r="180" spans="1:12" x14ac:dyDescent="0.3">
      <c r="A180" t="s">
        <v>57</v>
      </c>
      <c r="B180" t="s">
        <v>644</v>
      </c>
      <c r="C180" t="s">
        <v>580</v>
      </c>
      <c r="D180" t="s">
        <v>581</v>
      </c>
      <c r="E180" s="2">
        <v>0.78591629631390003</v>
      </c>
      <c r="F180" s="2">
        <v>0.88586005022537995</v>
      </c>
      <c r="G180" s="2">
        <v>0.89261354183996</v>
      </c>
      <c r="H180" s="2">
        <v>0.91998597808779103</v>
      </c>
      <c r="I180" s="1">
        <v>0.92925073872503505</v>
      </c>
      <c r="J180" s="1">
        <v>0.91558333531382896</v>
      </c>
      <c r="K180" s="1">
        <v>0.93495258692397198</v>
      </c>
      <c r="L180" s="1">
        <v>0.92456290451632295</v>
      </c>
    </row>
    <row r="181" spans="1:12" x14ac:dyDescent="0.3">
      <c r="A181" t="s">
        <v>57</v>
      </c>
      <c r="B181" t="s">
        <v>134</v>
      </c>
      <c r="C181" t="s">
        <v>34</v>
      </c>
      <c r="D181" t="s">
        <v>35</v>
      </c>
      <c r="E181" s="2">
        <v>0.78569500000000003</v>
      </c>
      <c r="F181" s="2">
        <v>0.81027749999999998</v>
      </c>
      <c r="G181" s="2">
        <v>1</v>
      </c>
      <c r="H181" s="2">
        <v>1</v>
      </c>
      <c r="I181" s="1">
        <v>1</v>
      </c>
      <c r="J181" s="1">
        <v>1</v>
      </c>
      <c r="K181" s="1">
        <v>1</v>
      </c>
      <c r="L181" s="1">
        <v>1</v>
      </c>
    </row>
    <row r="182" spans="1:12" x14ac:dyDescent="0.3">
      <c r="A182" t="s">
        <v>57</v>
      </c>
      <c r="B182" t="s">
        <v>135</v>
      </c>
      <c r="C182" t="s">
        <v>34</v>
      </c>
      <c r="D182" t="s">
        <v>35</v>
      </c>
      <c r="E182" s="2">
        <v>0.94157255970924103</v>
      </c>
      <c r="F182" s="2">
        <v>0.91571586188992704</v>
      </c>
      <c r="G182" s="2">
        <v>0.97663551401869098</v>
      </c>
      <c r="H182" s="2">
        <v>0.99850726895119402</v>
      </c>
      <c r="I182" s="1">
        <v>0.99966251298026998</v>
      </c>
      <c r="J182" s="1">
        <v>0.99892588265835902</v>
      </c>
      <c r="K182" s="1">
        <v>0.99966251298026998</v>
      </c>
      <c r="L182" s="1">
        <v>1</v>
      </c>
    </row>
    <row r="183" spans="1:12" x14ac:dyDescent="0.3">
      <c r="A183" t="s">
        <v>57</v>
      </c>
      <c r="B183" t="s">
        <v>136</v>
      </c>
      <c r="C183" t="s">
        <v>580</v>
      </c>
      <c r="D183" t="s">
        <v>581</v>
      </c>
      <c r="E183" s="2">
        <v>0.86177005435004606</v>
      </c>
      <c r="F183" s="2">
        <v>0.81015283396673599</v>
      </c>
      <c r="G183" s="2">
        <v>0.95489048261207099</v>
      </c>
      <c r="H183" s="2">
        <v>0.86647460259082099</v>
      </c>
      <c r="I183" s="1">
        <v>0.96499938702954502</v>
      </c>
      <c r="J183" s="1">
        <v>0.97679906828490803</v>
      </c>
      <c r="K183" s="1">
        <v>0.96499938702954502</v>
      </c>
      <c r="L183" s="1">
        <v>0.950400474030485</v>
      </c>
    </row>
    <row r="184" spans="1:12" x14ac:dyDescent="0.3">
      <c r="A184" t="s">
        <v>57</v>
      </c>
      <c r="B184" t="s">
        <v>137</v>
      </c>
      <c r="C184" t="s">
        <v>580</v>
      </c>
      <c r="D184" t="s">
        <v>581</v>
      </c>
      <c r="E184" s="2">
        <v>0.92324792195179495</v>
      </c>
      <c r="F184" s="2">
        <v>0.95145066412611101</v>
      </c>
      <c r="G184" s="2">
        <v>0.89729216748459195</v>
      </c>
      <c r="H184" s="2">
        <v>0.97032573013252899</v>
      </c>
      <c r="I184" s="1">
        <v>0.95712075389483997</v>
      </c>
      <c r="J184" s="1">
        <v>0.97631523557367395</v>
      </c>
      <c r="K184" s="1">
        <v>0.96354784034386098</v>
      </c>
      <c r="L184" s="1">
        <v>0.97980111296975303</v>
      </c>
    </row>
    <row r="185" spans="1:12" x14ac:dyDescent="0.3">
      <c r="A185" t="s">
        <v>57</v>
      </c>
      <c r="B185" t="s">
        <v>138</v>
      </c>
      <c r="C185" t="s">
        <v>580</v>
      </c>
      <c r="D185" t="s">
        <v>581</v>
      </c>
      <c r="E185" s="2">
        <v>0.96677643956608095</v>
      </c>
      <c r="F185" s="2">
        <v>0.93254290039640697</v>
      </c>
      <c r="G185" s="2">
        <v>0.98345457939672498</v>
      </c>
      <c r="H185" s="2">
        <v>0.99040410817054503</v>
      </c>
      <c r="I185" s="1">
        <v>0.99255168028375595</v>
      </c>
      <c r="J185" s="1">
        <v>0.99253563730022798</v>
      </c>
      <c r="K185" s="1">
        <v>0.99250136365359898</v>
      </c>
      <c r="L185" s="1">
        <v>0.99158691359248996</v>
      </c>
    </row>
    <row r="186" spans="1:12" x14ac:dyDescent="0.3">
      <c r="A186" t="s">
        <v>57</v>
      </c>
      <c r="B186" t="s">
        <v>139</v>
      </c>
      <c r="C186" t="s">
        <v>580</v>
      </c>
      <c r="D186" t="s">
        <v>581</v>
      </c>
      <c r="E186" s="2">
        <v>0</v>
      </c>
      <c r="F186" s="2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3">
      <c r="A187" t="s">
        <v>57</v>
      </c>
      <c r="B187" t="s">
        <v>140</v>
      </c>
      <c r="C187" t="s">
        <v>580</v>
      </c>
      <c r="D187" t="s">
        <v>581</v>
      </c>
      <c r="E187" s="2">
        <v>0</v>
      </c>
      <c r="F187" s="2">
        <v>0</v>
      </c>
      <c r="G187" s="2">
        <v>0</v>
      </c>
      <c r="H187" s="2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3">
      <c r="A188" t="s">
        <v>57</v>
      </c>
      <c r="B188" t="s">
        <v>141</v>
      </c>
      <c r="C188" t="s">
        <v>34</v>
      </c>
      <c r="D188" t="s">
        <v>35</v>
      </c>
      <c r="E188" s="2">
        <v>0.94969230769230695</v>
      </c>
      <c r="F188" s="2">
        <v>0.88856153846153796</v>
      </c>
      <c r="G188" s="2">
        <v>1</v>
      </c>
      <c r="H188" s="2">
        <v>0.99784615384615305</v>
      </c>
      <c r="I188" s="1">
        <v>1</v>
      </c>
      <c r="J188" s="1">
        <v>0.99784615384615305</v>
      </c>
      <c r="K188" s="1">
        <v>1</v>
      </c>
      <c r="L188" s="1">
        <v>1</v>
      </c>
    </row>
    <row r="189" spans="1:12" x14ac:dyDescent="0.3">
      <c r="A189" t="s">
        <v>57</v>
      </c>
      <c r="B189" t="s">
        <v>142</v>
      </c>
      <c r="C189" t="s">
        <v>580</v>
      </c>
      <c r="D189" t="s">
        <v>581</v>
      </c>
      <c r="E189" s="2">
        <v>0.96283229207419596</v>
      </c>
      <c r="F189" s="2">
        <v>0.91429677700383505</v>
      </c>
      <c r="G189" s="2">
        <v>0.97325026115505098</v>
      </c>
      <c r="H189" s="2">
        <v>0.96665584402489302</v>
      </c>
      <c r="I189" s="1">
        <v>0.979445383303016</v>
      </c>
      <c r="J189" s="1">
        <v>0.99196368432303295</v>
      </c>
      <c r="K189" s="1">
        <v>0.97332386856338404</v>
      </c>
      <c r="L189" s="1">
        <v>0.99218047326538505</v>
      </c>
    </row>
    <row r="190" spans="1:12" x14ac:dyDescent="0.3">
      <c r="A190" t="s">
        <v>57</v>
      </c>
      <c r="B190" t="s">
        <v>143</v>
      </c>
      <c r="C190" t="s">
        <v>34</v>
      </c>
      <c r="D190" t="s">
        <v>35</v>
      </c>
      <c r="E190" s="2">
        <v>0.96323674867512699</v>
      </c>
      <c r="F190" s="2">
        <v>0.87056597290909599</v>
      </c>
      <c r="G190" s="2">
        <v>0.96267712682332596</v>
      </c>
      <c r="H190" s="2">
        <v>0.93728591210553103</v>
      </c>
      <c r="I190" s="1">
        <v>0.97682905244307405</v>
      </c>
      <c r="J190" s="1">
        <v>0.98171468135392004</v>
      </c>
      <c r="K190" s="1">
        <v>0.99056711818172305</v>
      </c>
      <c r="L190" s="1">
        <v>0.99991410455297902</v>
      </c>
    </row>
    <row r="191" spans="1:12" x14ac:dyDescent="0.3">
      <c r="A191" t="s">
        <v>57</v>
      </c>
      <c r="B191" t="s">
        <v>645</v>
      </c>
      <c r="C191" t="s">
        <v>580</v>
      </c>
      <c r="D191" t="s">
        <v>581</v>
      </c>
      <c r="E191" s="2">
        <v>0</v>
      </c>
      <c r="F191" s="2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 x14ac:dyDescent="0.3">
      <c r="A192" t="s">
        <v>57</v>
      </c>
      <c r="B192" t="s">
        <v>144</v>
      </c>
      <c r="C192" t="s">
        <v>34</v>
      </c>
      <c r="D192" t="s">
        <v>35</v>
      </c>
      <c r="E192" s="2">
        <v>0</v>
      </c>
      <c r="F192" s="2">
        <v>0</v>
      </c>
      <c r="G192" s="2">
        <v>0</v>
      </c>
      <c r="H192" s="2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3">
      <c r="A193" t="s">
        <v>57</v>
      </c>
      <c r="B193" t="s">
        <v>145</v>
      </c>
      <c r="C193" t="s">
        <v>34</v>
      </c>
      <c r="D193" t="s">
        <v>35</v>
      </c>
      <c r="E193" s="2">
        <v>0.92321772208547703</v>
      </c>
      <c r="F193" s="2">
        <v>0.88669501006936602</v>
      </c>
      <c r="G193" s="2">
        <v>0.939794137390915</v>
      </c>
      <c r="H193" s="2">
        <v>0.94305213694338696</v>
      </c>
      <c r="I193" s="1">
        <v>0.97509509957484897</v>
      </c>
      <c r="J193" s="1">
        <v>0.94734840008950505</v>
      </c>
      <c r="K193" s="1">
        <v>1</v>
      </c>
      <c r="L193" s="1">
        <v>0.99928395614231302</v>
      </c>
    </row>
    <row r="194" spans="1:12" x14ac:dyDescent="0.3">
      <c r="A194" t="s">
        <v>57</v>
      </c>
      <c r="B194" t="s">
        <v>146</v>
      </c>
      <c r="C194" t="s">
        <v>580</v>
      </c>
      <c r="D194" t="s">
        <v>581</v>
      </c>
      <c r="E194" s="2">
        <v>0.78790850955313996</v>
      </c>
      <c r="F194" s="2">
        <v>0.79435573515372604</v>
      </c>
      <c r="G194" s="2">
        <v>0.94446624033896898</v>
      </c>
      <c r="H194" s="2">
        <v>0.875711091058888</v>
      </c>
      <c r="I194" s="1">
        <v>0.92758967920802404</v>
      </c>
      <c r="J194" s="1">
        <v>0.93346803196149897</v>
      </c>
      <c r="K194" s="1">
        <v>0.89447081747682</v>
      </c>
      <c r="L194" s="1">
        <v>0.91657839329383906</v>
      </c>
    </row>
    <row r="195" spans="1:12" x14ac:dyDescent="0.3">
      <c r="A195" t="s">
        <v>57</v>
      </c>
      <c r="B195" t="s">
        <v>147</v>
      </c>
      <c r="C195" t="s">
        <v>580</v>
      </c>
      <c r="D195" t="s">
        <v>581</v>
      </c>
      <c r="E195" s="2">
        <v>0.88702111416919405</v>
      </c>
      <c r="F195" s="2">
        <v>0.85979970669184502</v>
      </c>
      <c r="G195" s="2">
        <v>0.94310625389235903</v>
      </c>
      <c r="H195" s="2">
        <v>0.87870904232878599</v>
      </c>
      <c r="I195" s="1">
        <v>0.94310625389235903</v>
      </c>
      <c r="J195" s="1">
        <v>0.89504188681519503</v>
      </c>
      <c r="K195" s="1">
        <v>0.94310625389235903</v>
      </c>
      <c r="L195" s="1">
        <v>0.94735520421078001</v>
      </c>
    </row>
    <row r="196" spans="1:12" x14ac:dyDescent="0.3">
      <c r="A196" t="s">
        <v>57</v>
      </c>
      <c r="B196" t="s">
        <v>148</v>
      </c>
      <c r="C196" t="s">
        <v>34</v>
      </c>
      <c r="D196" t="s">
        <v>35</v>
      </c>
      <c r="E196" s="2">
        <v>0.92508080902017398</v>
      </c>
      <c r="F196" s="2">
        <v>0.88772548323371303</v>
      </c>
      <c r="G196" s="2">
        <v>0.99945328858190297</v>
      </c>
      <c r="H196" s="2">
        <v>0.99468929037421505</v>
      </c>
      <c r="I196" s="1">
        <v>0.99907143601926396</v>
      </c>
      <c r="J196" s="1">
        <v>0.99325769552682897</v>
      </c>
      <c r="K196" s="1">
        <v>1</v>
      </c>
      <c r="L196" s="1">
        <v>0.99928983877649302</v>
      </c>
    </row>
    <row r="197" spans="1:12" x14ac:dyDescent="0.3">
      <c r="A197" t="s">
        <v>57</v>
      </c>
      <c r="B197" t="s">
        <v>149</v>
      </c>
      <c r="C197" t="s">
        <v>34</v>
      </c>
      <c r="D197" t="s">
        <v>35</v>
      </c>
      <c r="E197" s="2">
        <v>0.86600633085865797</v>
      </c>
      <c r="F197" s="2">
        <v>0.81848845204485399</v>
      </c>
      <c r="G197" s="2">
        <v>0.89376483299904597</v>
      </c>
      <c r="H197" s="2">
        <v>0.93166443280512801</v>
      </c>
      <c r="I197" s="1">
        <v>0.99740491829770195</v>
      </c>
      <c r="J197" s="1">
        <v>0.97714648745076704</v>
      </c>
      <c r="K197" s="1">
        <v>1</v>
      </c>
      <c r="L197" s="1">
        <v>0.99265043710808398</v>
      </c>
    </row>
    <row r="198" spans="1:12" x14ac:dyDescent="0.3">
      <c r="A198" t="s">
        <v>57</v>
      </c>
      <c r="B198" t="s">
        <v>150</v>
      </c>
      <c r="C198" t="s">
        <v>580</v>
      </c>
      <c r="D198" t="s">
        <v>581</v>
      </c>
      <c r="E198" s="2">
        <v>0.82452444784884404</v>
      </c>
      <c r="F198" s="2">
        <v>0.78907917054221099</v>
      </c>
      <c r="G198" s="2">
        <v>0.94192154073425605</v>
      </c>
      <c r="H198" s="2">
        <v>0.91544017070635197</v>
      </c>
      <c r="I198" s="1">
        <v>0.97331801353249003</v>
      </c>
      <c r="J198" s="1">
        <v>0.97190457952618003</v>
      </c>
      <c r="K198" s="1">
        <v>0.94978205759515599</v>
      </c>
      <c r="L198" s="1">
        <v>0.95772464481771202</v>
      </c>
    </row>
    <row r="199" spans="1:12" x14ac:dyDescent="0.3">
      <c r="A199" t="s">
        <v>57</v>
      </c>
      <c r="B199" t="s">
        <v>151</v>
      </c>
      <c r="C199" t="s">
        <v>580</v>
      </c>
      <c r="D199" t="s">
        <v>581</v>
      </c>
      <c r="E199" s="2">
        <v>0.81310660396776302</v>
      </c>
      <c r="F199" s="2">
        <v>0.87670007441536402</v>
      </c>
      <c r="G199" s="2">
        <v>0.94219916627649403</v>
      </c>
      <c r="H199" s="2">
        <v>0.94242309092924204</v>
      </c>
      <c r="I199" s="1">
        <v>0.95700307387477801</v>
      </c>
      <c r="J199" s="1">
        <v>0.94242309092924204</v>
      </c>
      <c r="K199" s="1">
        <v>0.95700307387477801</v>
      </c>
      <c r="L199" s="1">
        <v>0.93442400472277398</v>
      </c>
    </row>
    <row r="200" spans="1:12" x14ac:dyDescent="0.3">
      <c r="A200" t="s">
        <v>57</v>
      </c>
      <c r="B200" t="s">
        <v>152</v>
      </c>
      <c r="C200" t="s">
        <v>34</v>
      </c>
      <c r="D200" t="s">
        <v>35</v>
      </c>
      <c r="E200" s="2">
        <v>0.87045669216964106</v>
      </c>
      <c r="F200" s="2">
        <v>0.86305846793236896</v>
      </c>
      <c r="G200" s="2">
        <v>0.99116841409275502</v>
      </c>
      <c r="H200" s="2">
        <v>0.93103806555209201</v>
      </c>
      <c r="I200" s="1">
        <v>0.99560782091243905</v>
      </c>
      <c r="J200" s="1">
        <v>0.99088977047322102</v>
      </c>
      <c r="K200" s="1">
        <v>0.99880986115046699</v>
      </c>
      <c r="L200" s="1">
        <v>0.99502928119391698</v>
      </c>
    </row>
    <row r="201" spans="1:12" x14ac:dyDescent="0.3">
      <c r="A201" t="s">
        <v>57</v>
      </c>
      <c r="B201" t="s">
        <v>153</v>
      </c>
      <c r="C201" t="s">
        <v>580</v>
      </c>
      <c r="D201" t="s">
        <v>581</v>
      </c>
      <c r="E201" s="2">
        <v>0.73814183207529505</v>
      </c>
      <c r="F201" s="2">
        <v>0.80006290187307705</v>
      </c>
      <c r="G201" s="2">
        <v>0.82153340788370099</v>
      </c>
      <c r="H201" s="2">
        <v>0.94566908955362905</v>
      </c>
      <c r="I201" s="1">
        <v>0.86723511322337099</v>
      </c>
      <c r="J201" s="1">
        <v>0.98393439567607799</v>
      </c>
      <c r="K201" s="1">
        <v>0.92722020314975295</v>
      </c>
      <c r="L201" s="1">
        <v>0.95601761252446105</v>
      </c>
    </row>
    <row r="202" spans="1:12" x14ac:dyDescent="0.3">
      <c r="A202" t="s">
        <v>57</v>
      </c>
      <c r="B202" t="s">
        <v>646</v>
      </c>
      <c r="C202" t="s">
        <v>580</v>
      </c>
      <c r="D202" t="s">
        <v>581</v>
      </c>
      <c r="E202" s="2">
        <v>0.88241412448580103</v>
      </c>
      <c r="F202" s="2">
        <v>0.93449904485098501</v>
      </c>
      <c r="G202" s="2">
        <v>0.98494907825190103</v>
      </c>
      <c r="H202" s="2">
        <v>0.99757110879322997</v>
      </c>
      <c r="I202" s="1">
        <v>0.99604755821721103</v>
      </c>
      <c r="J202" s="1">
        <v>0.99604755821721103</v>
      </c>
      <c r="K202" s="1">
        <v>0.99757110879322997</v>
      </c>
      <c r="L202" s="1">
        <v>0.98862903887397902</v>
      </c>
    </row>
    <row r="203" spans="1:12" x14ac:dyDescent="0.3">
      <c r="A203" t="s">
        <v>57</v>
      </c>
      <c r="B203" t="s">
        <v>647</v>
      </c>
      <c r="C203" t="s">
        <v>580</v>
      </c>
      <c r="D203" t="s">
        <v>581</v>
      </c>
      <c r="E203" s="2">
        <v>0.80948434008688497</v>
      </c>
      <c r="F203" s="2">
        <v>0.85280377217412995</v>
      </c>
      <c r="G203" s="2">
        <v>0.867402978672841</v>
      </c>
      <c r="H203" s="2">
        <v>0.98242878630239405</v>
      </c>
      <c r="I203" s="1">
        <v>0.92600557015878704</v>
      </c>
      <c r="J203" s="1">
        <v>0.98603547860763396</v>
      </c>
      <c r="K203" s="1">
        <v>0.97790774170924399</v>
      </c>
      <c r="L203" s="1">
        <v>0.98603547860763396</v>
      </c>
    </row>
    <row r="204" spans="1:12" x14ac:dyDescent="0.3">
      <c r="A204" t="s">
        <v>57</v>
      </c>
      <c r="B204" t="s">
        <v>154</v>
      </c>
      <c r="C204" t="s">
        <v>580</v>
      </c>
      <c r="D204" t="s">
        <v>581</v>
      </c>
      <c r="E204" s="2">
        <v>0.740339952664818</v>
      </c>
      <c r="F204" s="2">
        <v>0.77219944058422196</v>
      </c>
      <c r="G204" s="2">
        <v>0.83057105972586098</v>
      </c>
      <c r="H204" s="2">
        <v>0.84454063358266496</v>
      </c>
      <c r="I204" s="1">
        <v>0.88724671248307196</v>
      </c>
      <c r="J204" s="1">
        <v>0.86354115249775298</v>
      </c>
      <c r="K204" s="1">
        <v>0.89198339471719101</v>
      </c>
      <c r="L204" s="1">
        <v>0.92333029578159997</v>
      </c>
    </row>
    <row r="205" spans="1:12" x14ac:dyDescent="0.3">
      <c r="A205" t="s">
        <v>57</v>
      </c>
      <c r="B205" t="s">
        <v>155</v>
      </c>
      <c r="C205" t="s">
        <v>580</v>
      </c>
      <c r="D205" t="s">
        <v>581</v>
      </c>
      <c r="E205" s="2">
        <v>0.75566318223648499</v>
      </c>
      <c r="F205" s="2">
        <v>0.75789306024210101</v>
      </c>
      <c r="G205" s="2">
        <v>0.852090658108969</v>
      </c>
      <c r="H205" s="2">
        <v>0.841342410155973</v>
      </c>
      <c r="I205" s="1">
        <v>0.88278392600108502</v>
      </c>
      <c r="J205" s="1">
        <v>0.86270322565421498</v>
      </c>
      <c r="K205" s="1">
        <v>0.88083130795913001</v>
      </c>
      <c r="L205" s="1">
        <v>0.93100356308549004</v>
      </c>
    </row>
    <row r="206" spans="1:12" x14ac:dyDescent="0.3">
      <c r="A206" t="s">
        <v>57</v>
      </c>
      <c r="B206" t="s">
        <v>648</v>
      </c>
      <c r="C206" t="s">
        <v>580</v>
      </c>
      <c r="D206" t="s">
        <v>581</v>
      </c>
      <c r="E206" s="2">
        <v>0.911762628670303</v>
      </c>
      <c r="F206" s="2">
        <v>0.96206984833236198</v>
      </c>
      <c r="G206" s="2">
        <v>0.99071278492857995</v>
      </c>
      <c r="H206" s="2">
        <v>0.99695428783304196</v>
      </c>
      <c r="I206" s="1">
        <v>0.99055829228242998</v>
      </c>
      <c r="J206" s="1">
        <v>0.99695428783304196</v>
      </c>
      <c r="K206" s="1">
        <v>0.99695428783304196</v>
      </c>
      <c r="L206" s="1">
        <v>0.99695428783304196</v>
      </c>
    </row>
    <row r="207" spans="1:12" x14ac:dyDescent="0.3">
      <c r="A207" t="s">
        <v>57</v>
      </c>
      <c r="B207" t="s">
        <v>649</v>
      </c>
      <c r="C207" t="s">
        <v>580</v>
      </c>
      <c r="D207" t="s">
        <v>581</v>
      </c>
      <c r="E207" s="2">
        <v>0.821402458371845</v>
      </c>
      <c r="F207" s="2">
        <v>0.802535627077958</v>
      </c>
      <c r="G207" s="2">
        <v>0.86863437581911196</v>
      </c>
      <c r="H207" s="2">
        <v>0.90187068025990802</v>
      </c>
      <c r="I207" s="1">
        <v>0.91645812352559697</v>
      </c>
      <c r="J207" s="1">
        <v>0.91495716473298605</v>
      </c>
      <c r="K207" s="1">
        <v>0.93849793756121702</v>
      </c>
      <c r="L207" s="1">
        <v>0.93348324527156501</v>
      </c>
    </row>
    <row r="208" spans="1:12" x14ac:dyDescent="0.3">
      <c r="A208" t="s">
        <v>57</v>
      </c>
      <c r="B208" t="s">
        <v>156</v>
      </c>
      <c r="C208" t="s">
        <v>580</v>
      </c>
      <c r="D208" t="s">
        <v>581</v>
      </c>
      <c r="E208" s="2">
        <v>0.76621153454249002</v>
      </c>
      <c r="F208" s="2">
        <v>0.75849806399021802</v>
      </c>
      <c r="G208" s="2">
        <v>0.83414509883839405</v>
      </c>
      <c r="H208" s="2">
        <v>0.94043203586712798</v>
      </c>
      <c r="I208" s="1">
        <v>0.89530772366007705</v>
      </c>
      <c r="J208" s="1">
        <v>0.97990625636845297</v>
      </c>
      <c r="K208" s="1">
        <v>0.95027002241695502</v>
      </c>
      <c r="L208" s="1">
        <v>0.93416547788872994</v>
      </c>
    </row>
    <row r="209" spans="1:12" x14ac:dyDescent="0.3">
      <c r="A209" t="s">
        <v>57</v>
      </c>
      <c r="B209" t="s">
        <v>650</v>
      </c>
      <c r="C209" t="s">
        <v>580</v>
      </c>
      <c r="D209" t="s">
        <v>581</v>
      </c>
      <c r="E209" s="2">
        <v>0</v>
      </c>
      <c r="F209" s="2">
        <v>0</v>
      </c>
      <c r="G209" s="2">
        <v>0</v>
      </c>
      <c r="H209" s="2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 x14ac:dyDescent="0.3">
      <c r="A210" t="s">
        <v>57</v>
      </c>
      <c r="B210" t="s">
        <v>157</v>
      </c>
      <c r="C210" t="s">
        <v>34</v>
      </c>
      <c r="D210" t="s">
        <v>35</v>
      </c>
      <c r="E210" s="2">
        <v>0.90553769340239598</v>
      </c>
      <c r="F210" s="2">
        <v>0.94641753355342895</v>
      </c>
      <c r="G210" s="2">
        <v>0.99028735439416904</v>
      </c>
      <c r="H210" s="2">
        <v>0.96612073963688905</v>
      </c>
      <c r="I210" s="1">
        <v>0.99833969822278201</v>
      </c>
      <c r="J210" s="1">
        <v>0.99491607450035202</v>
      </c>
      <c r="K210" s="1">
        <v>0.99958312769229996</v>
      </c>
      <c r="L210" s="1">
        <v>0.99947531588858396</v>
      </c>
    </row>
    <row r="211" spans="1:12" x14ac:dyDescent="0.3">
      <c r="A211" t="s">
        <v>57</v>
      </c>
      <c r="B211" t="s">
        <v>158</v>
      </c>
      <c r="C211" t="s">
        <v>580</v>
      </c>
      <c r="D211" t="s">
        <v>581</v>
      </c>
      <c r="E211" s="2">
        <v>0.94999177209193297</v>
      </c>
      <c r="F211" s="2">
        <v>0.95553065020420103</v>
      </c>
      <c r="G211" s="2">
        <v>0.94999177209193297</v>
      </c>
      <c r="H211" s="2">
        <v>0.99348374614160895</v>
      </c>
      <c r="I211" s="1">
        <v>0.96570582984686104</v>
      </c>
      <c r="J211" s="1">
        <v>0.98385086043971903</v>
      </c>
      <c r="K211" s="1">
        <v>0.97452714461670398</v>
      </c>
      <c r="L211" s="1">
        <v>0.98758707869370699</v>
      </c>
    </row>
    <row r="212" spans="1:12" x14ac:dyDescent="0.3">
      <c r="A212" t="s">
        <v>57</v>
      </c>
      <c r="B212" t="s">
        <v>159</v>
      </c>
      <c r="C212" t="s">
        <v>580</v>
      </c>
      <c r="D212" t="s">
        <v>581</v>
      </c>
      <c r="E212" s="2">
        <v>0.76767443697485904</v>
      </c>
      <c r="F212" s="2">
        <v>0.902137354436642</v>
      </c>
      <c r="G212" s="2">
        <v>0.89468301383189697</v>
      </c>
      <c r="H212" s="2">
        <v>0.90531158145935398</v>
      </c>
      <c r="I212" s="1">
        <v>0.95207686327334096</v>
      </c>
      <c r="J212" s="1">
        <v>0.92072331632928694</v>
      </c>
      <c r="K212" s="1">
        <v>0.96123576586801696</v>
      </c>
      <c r="L212" s="1">
        <v>0.94941816231587595</v>
      </c>
    </row>
    <row r="213" spans="1:12" x14ac:dyDescent="0.3">
      <c r="A213" t="s">
        <v>57</v>
      </c>
      <c r="B213" t="s">
        <v>651</v>
      </c>
      <c r="C213" t="s">
        <v>580</v>
      </c>
      <c r="D213" t="s">
        <v>581</v>
      </c>
      <c r="E213" s="2">
        <v>0.78078414869062696</v>
      </c>
      <c r="F213" s="2">
        <v>0.87888733665376595</v>
      </c>
      <c r="G213" s="2">
        <v>0.87195000260312705</v>
      </c>
      <c r="H213" s="2">
        <v>0.94614346701837804</v>
      </c>
      <c r="I213" s="1">
        <v>0.96368637523211198</v>
      </c>
      <c r="J213" s="1">
        <v>0.99267002759314804</v>
      </c>
      <c r="K213" s="1">
        <v>0.96695329989761003</v>
      </c>
      <c r="L213" s="1">
        <v>0.99578944171598105</v>
      </c>
    </row>
    <row r="214" spans="1:12" x14ac:dyDescent="0.3">
      <c r="A214" t="s">
        <v>57</v>
      </c>
      <c r="B214" t="s">
        <v>160</v>
      </c>
      <c r="C214" t="s">
        <v>580</v>
      </c>
      <c r="D214" t="s">
        <v>581</v>
      </c>
      <c r="E214" s="2">
        <v>0.90830309983387003</v>
      </c>
      <c r="F214" s="2">
        <v>0.89803736786036203</v>
      </c>
      <c r="G214" s="2">
        <v>0.97432356425022104</v>
      </c>
      <c r="H214" s="2">
        <v>0.992539092473534</v>
      </c>
      <c r="I214" s="1">
        <v>0.99014679698732699</v>
      </c>
      <c r="J214" s="1">
        <v>0.99227555817123902</v>
      </c>
      <c r="K214" s="1">
        <v>0.98555031177132202</v>
      </c>
      <c r="L214" s="1">
        <v>0.99717468878740601</v>
      </c>
    </row>
    <row r="215" spans="1:12" x14ac:dyDescent="0.3">
      <c r="A215" t="s">
        <v>57</v>
      </c>
      <c r="B215" t="s">
        <v>652</v>
      </c>
      <c r="C215" t="s">
        <v>580</v>
      </c>
      <c r="D215" t="s">
        <v>581</v>
      </c>
      <c r="E215" s="2">
        <v>0.89878406754691598</v>
      </c>
      <c r="F215" s="2">
        <v>0.865857144427709</v>
      </c>
      <c r="G215" s="2">
        <v>0.94956518871139695</v>
      </c>
      <c r="H215" s="2">
        <v>0.91724293362943699</v>
      </c>
      <c r="I215" s="1">
        <v>0.94059411383150604</v>
      </c>
      <c r="J215" s="1">
        <v>0.94586022273771697</v>
      </c>
      <c r="K215" s="1">
        <v>0.95095042821491005</v>
      </c>
      <c r="L215" s="1">
        <v>0.92228366626721903</v>
      </c>
    </row>
    <row r="216" spans="1:12" x14ac:dyDescent="0.3">
      <c r="A216" t="s">
        <v>57</v>
      </c>
      <c r="B216" t="s">
        <v>653</v>
      </c>
      <c r="C216" t="s">
        <v>580</v>
      </c>
      <c r="D216" t="s">
        <v>581</v>
      </c>
      <c r="E216" s="2">
        <v>0.82564011616741495</v>
      </c>
      <c r="F216" s="2">
        <v>0.83139459688260497</v>
      </c>
      <c r="G216" s="2">
        <v>0.905584579990515</v>
      </c>
      <c r="H216" s="2">
        <v>0.932659935958988</v>
      </c>
      <c r="I216" s="1">
        <v>0.95785991714645102</v>
      </c>
      <c r="J216" s="1">
        <v>0.98872227600343299</v>
      </c>
      <c r="K216" s="1">
        <v>0.98405049598469896</v>
      </c>
      <c r="L216" s="1">
        <v>0.99536251366848305</v>
      </c>
    </row>
    <row r="217" spans="1:12" x14ac:dyDescent="0.3">
      <c r="A217" t="s">
        <v>57</v>
      </c>
      <c r="B217" t="s">
        <v>161</v>
      </c>
      <c r="C217" t="s">
        <v>580</v>
      </c>
      <c r="D217" t="s">
        <v>581</v>
      </c>
      <c r="E217" s="2">
        <v>0.91577609998662601</v>
      </c>
      <c r="F217" s="2">
        <v>0.836275546801862</v>
      </c>
      <c r="G217" s="2">
        <v>0.96770252033409898</v>
      </c>
      <c r="H217" s="2">
        <v>0.96009774957143301</v>
      </c>
      <c r="I217" s="1">
        <v>1</v>
      </c>
      <c r="J217" s="1">
        <v>0.95881509039403701</v>
      </c>
      <c r="K217" s="1">
        <v>1</v>
      </c>
      <c r="L217" s="1">
        <v>0.90057871636818998</v>
      </c>
    </row>
    <row r="218" spans="1:12" x14ac:dyDescent="0.3">
      <c r="A218" t="s">
        <v>57</v>
      </c>
      <c r="B218" t="s">
        <v>162</v>
      </c>
      <c r="C218" t="s">
        <v>580</v>
      </c>
      <c r="D218" t="s">
        <v>581</v>
      </c>
      <c r="E218" s="2">
        <v>0.80054685619922406</v>
      </c>
      <c r="F218" s="2">
        <v>0.89930875384832398</v>
      </c>
      <c r="G218" s="2">
        <v>0.90094766279137295</v>
      </c>
      <c r="H218" s="2">
        <v>0.959591558996572</v>
      </c>
      <c r="I218" s="1">
        <v>0.93930850490012996</v>
      </c>
      <c r="J218" s="1">
        <v>0.97069879758022304</v>
      </c>
      <c r="K218" s="1">
        <v>0.944185814931912</v>
      </c>
      <c r="L218" s="1">
        <v>0.97173608172139303</v>
      </c>
    </row>
    <row r="219" spans="1:12" x14ac:dyDescent="0.3">
      <c r="A219" t="s">
        <v>57</v>
      </c>
      <c r="B219" t="s">
        <v>163</v>
      </c>
      <c r="C219" t="s">
        <v>580</v>
      </c>
      <c r="D219" t="s">
        <v>581</v>
      </c>
      <c r="E219" s="2">
        <v>0.76390368729130498</v>
      </c>
      <c r="F219" s="2">
        <v>0.868287779021091</v>
      </c>
      <c r="G219" s="2">
        <v>0.86034345172550597</v>
      </c>
      <c r="H219" s="2">
        <v>0.93210319600911196</v>
      </c>
      <c r="I219" s="1">
        <v>0.90616599275113496</v>
      </c>
      <c r="J219" s="1">
        <v>0.95347530883460896</v>
      </c>
      <c r="K219" s="1">
        <v>0.95807606403609202</v>
      </c>
      <c r="L219" s="1">
        <v>0.95553494924457505</v>
      </c>
    </row>
    <row r="220" spans="1:12" x14ac:dyDescent="0.3">
      <c r="A220" t="s">
        <v>57</v>
      </c>
      <c r="B220" t="s">
        <v>164</v>
      </c>
      <c r="C220" t="s">
        <v>580</v>
      </c>
      <c r="D220" t="s">
        <v>581</v>
      </c>
      <c r="E220" s="2">
        <v>0.80874406418863598</v>
      </c>
      <c r="F220" s="2">
        <v>0.81684951694776398</v>
      </c>
      <c r="G220" s="2">
        <v>0.85751075516917896</v>
      </c>
      <c r="H220" s="2">
        <v>0.92889679503401401</v>
      </c>
      <c r="I220" s="1">
        <v>0.99197642050106405</v>
      </c>
      <c r="J220" s="1">
        <v>0.936957589651219</v>
      </c>
      <c r="K220" s="1">
        <v>0.99421677062089697</v>
      </c>
      <c r="L220" s="1">
        <v>0.94681959599267596</v>
      </c>
    </row>
    <row r="221" spans="1:12" x14ac:dyDescent="0.3">
      <c r="A221" t="s">
        <v>57</v>
      </c>
      <c r="B221" t="s">
        <v>165</v>
      </c>
      <c r="C221" t="s">
        <v>580</v>
      </c>
      <c r="D221" t="s">
        <v>581</v>
      </c>
      <c r="E221" s="2">
        <v>0.82782032585495802</v>
      </c>
      <c r="F221" s="2">
        <v>0.88140675854475903</v>
      </c>
      <c r="G221" s="2">
        <v>0.82754507789034504</v>
      </c>
      <c r="H221" s="2">
        <v>0.91214278125995896</v>
      </c>
      <c r="I221" s="1">
        <v>0.827525762243705</v>
      </c>
      <c r="J221" s="1">
        <v>0.97004143206204096</v>
      </c>
      <c r="K221" s="1">
        <v>0.80520170364003296</v>
      </c>
      <c r="L221" s="1">
        <v>0.92761944312990696</v>
      </c>
    </row>
    <row r="222" spans="1:12" x14ac:dyDescent="0.3">
      <c r="A222" t="s">
        <v>57</v>
      </c>
      <c r="B222" t="s">
        <v>166</v>
      </c>
      <c r="C222" t="s">
        <v>580</v>
      </c>
      <c r="D222" t="s">
        <v>581</v>
      </c>
      <c r="E222" s="2">
        <v>0</v>
      </c>
      <c r="F222" s="2">
        <v>0</v>
      </c>
      <c r="G222" s="2">
        <v>0</v>
      </c>
      <c r="H222" s="2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3">
      <c r="A223" t="s">
        <v>57</v>
      </c>
      <c r="B223" t="s">
        <v>654</v>
      </c>
      <c r="C223" t="s">
        <v>580</v>
      </c>
      <c r="D223" t="s">
        <v>581</v>
      </c>
      <c r="E223" s="2">
        <v>0.90639476967416799</v>
      </c>
      <c r="F223" s="2">
        <v>0.90481348588450305</v>
      </c>
      <c r="G223" s="2">
        <v>0.99255297542481802</v>
      </c>
      <c r="H223" s="2">
        <v>0.97043918102072502</v>
      </c>
      <c r="I223" s="1">
        <v>0.99220963857752098</v>
      </c>
      <c r="J223" s="1">
        <v>0.99248043947116404</v>
      </c>
      <c r="K223" s="1">
        <v>0.97012969428513396</v>
      </c>
      <c r="L223" s="1">
        <v>0.99248527520140795</v>
      </c>
    </row>
    <row r="224" spans="1:12" x14ac:dyDescent="0.3">
      <c r="A224" t="s">
        <v>57</v>
      </c>
      <c r="B224" t="s">
        <v>167</v>
      </c>
      <c r="C224" t="s">
        <v>580</v>
      </c>
      <c r="D224" t="s">
        <v>581</v>
      </c>
      <c r="E224" s="2">
        <v>0.89497690889887505</v>
      </c>
      <c r="F224" s="2">
        <v>0.86667218920206202</v>
      </c>
      <c r="G224" s="2">
        <v>0.96329757491664403</v>
      </c>
      <c r="H224" s="2">
        <v>0.96229834116843005</v>
      </c>
      <c r="I224" s="1">
        <v>0.980926543376064</v>
      </c>
      <c r="J224" s="1">
        <v>0.96229834116843005</v>
      </c>
      <c r="K224" s="1">
        <v>0.99747344005632899</v>
      </c>
      <c r="L224" s="1">
        <v>0.95954915401660801</v>
      </c>
    </row>
    <row r="225" spans="1:12" x14ac:dyDescent="0.3">
      <c r="A225" t="s">
        <v>57</v>
      </c>
      <c r="B225" t="s">
        <v>168</v>
      </c>
      <c r="C225" t="s">
        <v>580</v>
      </c>
      <c r="D225" t="s">
        <v>581</v>
      </c>
      <c r="E225" s="2">
        <v>0</v>
      </c>
      <c r="F225" s="2">
        <v>0</v>
      </c>
      <c r="G225" s="2">
        <v>0</v>
      </c>
      <c r="H225" s="2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3">
      <c r="A226" t="s">
        <v>57</v>
      </c>
      <c r="B226" t="s">
        <v>169</v>
      </c>
      <c r="C226" t="s">
        <v>580</v>
      </c>
      <c r="D226" t="s">
        <v>581</v>
      </c>
      <c r="E226" s="2">
        <v>0.88081309661474205</v>
      </c>
      <c r="F226" s="2">
        <v>0.932164478606897</v>
      </c>
      <c r="G226" s="2">
        <v>0.98165090810148903</v>
      </c>
      <c r="H226" s="2">
        <v>0.99129310931229098</v>
      </c>
      <c r="I226" s="1">
        <v>0.98318141623018795</v>
      </c>
      <c r="J226" s="1">
        <v>0.98348184930730298</v>
      </c>
      <c r="K226" s="1">
        <v>0.99344148924109399</v>
      </c>
      <c r="L226" s="1">
        <v>0.99171825045915196</v>
      </c>
    </row>
    <row r="227" spans="1:12" x14ac:dyDescent="0.3">
      <c r="A227" t="s">
        <v>57</v>
      </c>
      <c r="B227" t="s">
        <v>655</v>
      </c>
      <c r="C227" t="s">
        <v>580</v>
      </c>
      <c r="D227" t="s">
        <v>581</v>
      </c>
      <c r="E227" s="2">
        <v>0.79744596280295699</v>
      </c>
      <c r="F227" s="2">
        <v>0.86729789348311703</v>
      </c>
      <c r="G227" s="2">
        <v>0.90696510751058901</v>
      </c>
      <c r="H227" s="2">
        <v>0.90030515952161105</v>
      </c>
      <c r="I227" s="1">
        <v>0.91644760488537103</v>
      </c>
      <c r="J227" s="1">
        <v>0.90834995383845496</v>
      </c>
      <c r="K227" s="1">
        <v>0.92900284016829504</v>
      </c>
      <c r="L227" s="1">
        <v>0.91613046450494395</v>
      </c>
    </row>
    <row r="228" spans="1:12" x14ac:dyDescent="0.3">
      <c r="A228" t="s">
        <v>57</v>
      </c>
      <c r="B228" t="s">
        <v>656</v>
      </c>
      <c r="C228" t="s">
        <v>580</v>
      </c>
      <c r="D228" t="s">
        <v>581</v>
      </c>
      <c r="E228" s="2">
        <v>0.76159003527056601</v>
      </c>
      <c r="F228" s="2">
        <v>0.77150392424771996</v>
      </c>
      <c r="G228" s="2">
        <v>0.909948841790855</v>
      </c>
      <c r="H228" s="2">
        <v>0.84102030440723197</v>
      </c>
      <c r="I228" s="1">
        <v>0.90250548123669405</v>
      </c>
      <c r="J228" s="1">
        <v>0.90453115566712206</v>
      </c>
      <c r="K228" s="1">
        <v>0.90015411013313795</v>
      </c>
      <c r="L228" s="1">
        <v>0.90360172857551302</v>
      </c>
    </row>
    <row r="229" spans="1:12" x14ac:dyDescent="0.3">
      <c r="A229" t="s">
        <v>57</v>
      </c>
      <c r="B229" t="s">
        <v>657</v>
      </c>
      <c r="C229" t="s">
        <v>580</v>
      </c>
      <c r="D229" t="s">
        <v>581</v>
      </c>
      <c r="E229" s="2">
        <v>0.80601757220097503</v>
      </c>
      <c r="F229" s="2">
        <v>0.805626071475669</v>
      </c>
      <c r="G229" s="2">
        <v>0.91697299881313399</v>
      </c>
      <c r="H229" s="2">
        <v>0.88894566794144703</v>
      </c>
      <c r="I229" s="1">
        <v>0.93674996703151703</v>
      </c>
      <c r="J229" s="1">
        <v>0.94558552024264797</v>
      </c>
      <c r="K229" s="1">
        <v>0.95719042595278903</v>
      </c>
      <c r="L229" s="1">
        <v>0.93849729658446501</v>
      </c>
    </row>
    <row r="230" spans="1:12" x14ac:dyDescent="0.3">
      <c r="A230" t="s">
        <v>57</v>
      </c>
      <c r="B230" t="s">
        <v>658</v>
      </c>
      <c r="C230" t="s">
        <v>34</v>
      </c>
      <c r="D230" t="s">
        <v>35</v>
      </c>
      <c r="E230" s="2">
        <v>0.94533300040858903</v>
      </c>
      <c r="F230" s="2">
        <v>0.88698415580877998</v>
      </c>
      <c r="G230" s="2">
        <v>0.98889317655604403</v>
      </c>
      <c r="H230" s="2">
        <v>0.96407136695873197</v>
      </c>
      <c r="I230" s="1">
        <v>0.99770962909156902</v>
      </c>
      <c r="J230" s="1">
        <v>0.99094520361374605</v>
      </c>
      <c r="K230" s="1">
        <v>0.999999999999999</v>
      </c>
      <c r="L230" s="1">
        <v>0.99522177327824901</v>
      </c>
    </row>
    <row r="231" spans="1:12" x14ac:dyDescent="0.3">
      <c r="A231" t="s">
        <v>57</v>
      </c>
      <c r="B231" t="s">
        <v>170</v>
      </c>
      <c r="C231" t="s">
        <v>34</v>
      </c>
      <c r="D231" t="s">
        <v>35</v>
      </c>
      <c r="E231" s="2">
        <v>0.78461644049765999</v>
      </c>
      <c r="F231" s="2">
        <v>0.76227470478558101</v>
      </c>
      <c r="G231" s="2">
        <v>0.860281697659255</v>
      </c>
      <c r="H231" s="2">
        <v>0.89249695920569405</v>
      </c>
      <c r="I231" s="1">
        <v>0.93236663400275199</v>
      </c>
      <c r="J231" s="1">
        <v>0.97968673146068697</v>
      </c>
      <c r="K231" s="1">
        <v>0.99997521609657303</v>
      </c>
      <c r="L231" s="1">
        <v>0.99999237418356102</v>
      </c>
    </row>
    <row r="232" spans="1:12" x14ac:dyDescent="0.3">
      <c r="A232" t="s">
        <v>57</v>
      </c>
      <c r="B232" t="s">
        <v>171</v>
      </c>
      <c r="C232" t="s">
        <v>580</v>
      </c>
      <c r="D232" t="s">
        <v>581</v>
      </c>
      <c r="E232" s="2">
        <v>0.86785830321244295</v>
      </c>
      <c r="F232" s="2">
        <v>0.80990232709255505</v>
      </c>
      <c r="G232" s="2">
        <v>0.86670592535434299</v>
      </c>
      <c r="H232" s="2">
        <v>0.93132741745522396</v>
      </c>
      <c r="I232" s="1">
        <v>0.93380579133330599</v>
      </c>
      <c r="J232" s="1">
        <v>0.96981785322665803</v>
      </c>
      <c r="K232" s="1">
        <v>0.96206392397352003</v>
      </c>
      <c r="L232" s="1">
        <v>0.968245136660845</v>
      </c>
    </row>
    <row r="233" spans="1:12" x14ac:dyDescent="0.3">
      <c r="A233" t="s">
        <v>57</v>
      </c>
      <c r="B233" t="s">
        <v>659</v>
      </c>
      <c r="C233" t="s">
        <v>580</v>
      </c>
      <c r="D233" t="s">
        <v>581</v>
      </c>
      <c r="E233" s="2">
        <v>0.701281033459484</v>
      </c>
      <c r="F233" s="2">
        <v>0.69416675016764395</v>
      </c>
      <c r="G233" s="2">
        <v>0.81531863973053598</v>
      </c>
      <c r="H233" s="2">
        <v>0.84683576256946602</v>
      </c>
      <c r="I233" s="1">
        <v>0.87657816847671099</v>
      </c>
      <c r="J233" s="1">
        <v>0.91561230624561596</v>
      </c>
      <c r="K233" s="1">
        <v>0.88646147264893305</v>
      </c>
      <c r="L233" s="1">
        <v>0.92058671640755596</v>
      </c>
    </row>
    <row r="234" spans="1:12" x14ac:dyDescent="0.3">
      <c r="A234" t="s">
        <v>57</v>
      </c>
      <c r="B234" t="s">
        <v>172</v>
      </c>
      <c r="C234" t="s">
        <v>580</v>
      </c>
      <c r="D234" t="s">
        <v>581</v>
      </c>
      <c r="E234" s="2">
        <v>0.77261669587849402</v>
      </c>
      <c r="F234" s="2">
        <v>0.72827724467006205</v>
      </c>
      <c r="G234" s="2">
        <v>0.81587755652342098</v>
      </c>
      <c r="H234" s="2">
        <v>0.81696493994478003</v>
      </c>
      <c r="I234" s="1">
        <v>0.86917106798051502</v>
      </c>
      <c r="J234" s="1">
        <v>0.92681997502828295</v>
      </c>
      <c r="K234" s="1">
        <v>0.92374247477915195</v>
      </c>
      <c r="L234" s="1">
        <v>0.94206972150088197</v>
      </c>
    </row>
    <row r="235" spans="1:12" x14ac:dyDescent="0.3">
      <c r="A235" t="s">
        <v>57</v>
      </c>
      <c r="B235" t="s">
        <v>660</v>
      </c>
      <c r="C235" t="s">
        <v>580</v>
      </c>
      <c r="D235" t="s">
        <v>581</v>
      </c>
      <c r="E235" s="2">
        <v>0.88296980038237705</v>
      </c>
      <c r="F235" s="2">
        <v>0.866711551507925</v>
      </c>
      <c r="G235" s="2">
        <v>0.97390169191867204</v>
      </c>
      <c r="H235" s="2">
        <v>0.93856464445038301</v>
      </c>
      <c r="I235" s="1">
        <v>0.97544045391937095</v>
      </c>
      <c r="J235" s="1">
        <v>0.97528729724729102</v>
      </c>
      <c r="K235" s="1">
        <v>0.97544045391937095</v>
      </c>
      <c r="L235" s="1">
        <v>0.97544045391937095</v>
      </c>
    </row>
    <row r="236" spans="1:12" x14ac:dyDescent="0.3">
      <c r="A236" t="s">
        <v>57</v>
      </c>
      <c r="B236" t="s">
        <v>173</v>
      </c>
      <c r="C236" t="s">
        <v>34</v>
      </c>
      <c r="D236" t="s">
        <v>35</v>
      </c>
      <c r="E236" s="2">
        <v>0.81762376404826398</v>
      </c>
      <c r="F236" s="2">
        <v>0.83264305798312899</v>
      </c>
      <c r="G236" s="2">
        <v>0.93744880985552703</v>
      </c>
      <c r="H236" s="2">
        <v>0.92475998682777305</v>
      </c>
      <c r="I236" s="1">
        <v>0.990844880141179</v>
      </c>
      <c r="J236" s="1">
        <v>0.98498703886651295</v>
      </c>
      <c r="K236" s="1">
        <v>0.99863633676993302</v>
      </c>
      <c r="L236" s="1">
        <v>0.99801994410247297</v>
      </c>
    </row>
    <row r="237" spans="1:12" x14ac:dyDescent="0.3">
      <c r="A237" t="s">
        <v>57</v>
      </c>
      <c r="B237" t="s">
        <v>174</v>
      </c>
      <c r="C237" t="s">
        <v>580</v>
      </c>
      <c r="D237" t="s">
        <v>581</v>
      </c>
      <c r="E237" s="2">
        <v>0.87311015118790403</v>
      </c>
      <c r="F237" s="2">
        <v>0.87500329241953301</v>
      </c>
      <c r="G237" s="2">
        <v>0.93344373913501499</v>
      </c>
      <c r="H237" s="2">
        <v>0.90588289522204002</v>
      </c>
      <c r="I237" s="1">
        <v>0.90011128378022398</v>
      </c>
      <c r="J237" s="1">
        <v>0.91201667281251597</v>
      </c>
      <c r="K237" s="1">
        <v>0.91995140388768903</v>
      </c>
      <c r="L237" s="1">
        <v>0.91763683295580201</v>
      </c>
    </row>
    <row r="238" spans="1:12" x14ac:dyDescent="0.3">
      <c r="A238" t="s">
        <v>57</v>
      </c>
      <c r="B238" t="s">
        <v>661</v>
      </c>
      <c r="C238" t="s">
        <v>580</v>
      </c>
      <c r="D238" t="s">
        <v>581</v>
      </c>
      <c r="E238" s="2">
        <v>0.88966512618954996</v>
      </c>
      <c r="F238" s="2">
        <v>0.92760837328495904</v>
      </c>
      <c r="G238" s="2">
        <v>0.94780014109042698</v>
      </c>
      <c r="H238" s="2">
        <v>0.97885803135662697</v>
      </c>
      <c r="I238" s="1">
        <v>0.98036611526224005</v>
      </c>
      <c r="J238" s="1">
        <v>0.980344519788652</v>
      </c>
      <c r="K238" s="1">
        <v>0.97940511668754204</v>
      </c>
      <c r="L238" s="1">
        <v>0.98155026706402304</v>
      </c>
    </row>
    <row r="239" spans="1:12" x14ac:dyDescent="0.3">
      <c r="A239" t="s">
        <v>57</v>
      </c>
      <c r="B239" t="s">
        <v>175</v>
      </c>
      <c r="C239" t="s">
        <v>580</v>
      </c>
      <c r="D239" t="s">
        <v>581</v>
      </c>
      <c r="E239" s="2">
        <v>0.84133308806949603</v>
      </c>
      <c r="F239" s="2">
        <v>0.84742265288442098</v>
      </c>
      <c r="G239" s="2">
        <v>0.85502385388604696</v>
      </c>
      <c r="H239" s="2">
        <v>0.88702040041299202</v>
      </c>
      <c r="I239" s="1">
        <v>0.91390052573490099</v>
      </c>
      <c r="J239" s="1">
        <v>0.89206858288928703</v>
      </c>
      <c r="K239" s="1">
        <v>0.90056875496955902</v>
      </c>
      <c r="L239" s="1">
        <v>0.917573549481978</v>
      </c>
    </row>
    <row r="240" spans="1:12" x14ac:dyDescent="0.3">
      <c r="A240" t="s">
        <v>57</v>
      </c>
      <c r="B240" t="s">
        <v>662</v>
      </c>
      <c r="C240" t="s">
        <v>580</v>
      </c>
      <c r="D240" t="s">
        <v>581</v>
      </c>
      <c r="E240" s="2">
        <v>0.97956785671354696</v>
      </c>
      <c r="F240" s="2">
        <v>0.989106262771967</v>
      </c>
      <c r="G240" s="2">
        <v>0.989106262771967</v>
      </c>
      <c r="H240" s="2">
        <v>0.989106262771967</v>
      </c>
      <c r="I240" s="1">
        <v>0.95647914412790003</v>
      </c>
      <c r="J240" s="1">
        <v>0.97665584805866101</v>
      </c>
      <c r="K240" s="1">
        <v>0.989106262771967</v>
      </c>
      <c r="L240" s="1">
        <v>0.98575249429017897</v>
      </c>
    </row>
    <row r="241" spans="1:12" x14ac:dyDescent="0.3">
      <c r="A241" t="s">
        <v>57</v>
      </c>
      <c r="B241" t="s">
        <v>176</v>
      </c>
      <c r="C241" t="s">
        <v>580</v>
      </c>
      <c r="D241" t="s">
        <v>581</v>
      </c>
      <c r="E241" s="2">
        <v>0.81997703788748499</v>
      </c>
      <c r="F241" s="2">
        <v>0.904976596308398</v>
      </c>
      <c r="G241" s="2">
        <v>0.90026053166122</v>
      </c>
      <c r="H241" s="2">
        <v>0.97362448114457301</v>
      </c>
      <c r="I241" s="1">
        <v>0.93107392033913206</v>
      </c>
      <c r="J241" s="1">
        <v>0.98242956813565296</v>
      </c>
      <c r="K241" s="1">
        <v>0.96442197297535903</v>
      </c>
      <c r="L241" s="1">
        <v>0.98286673143159897</v>
      </c>
    </row>
    <row r="242" spans="1:12" x14ac:dyDescent="0.3">
      <c r="A242" t="s">
        <v>57</v>
      </c>
      <c r="B242" t="s">
        <v>663</v>
      </c>
      <c r="C242" t="s">
        <v>580</v>
      </c>
      <c r="D242" t="s">
        <v>581</v>
      </c>
      <c r="E242" s="2">
        <v>0.82730277271079</v>
      </c>
      <c r="F242" s="2">
        <v>0.89371967304322697</v>
      </c>
      <c r="G242" s="2">
        <v>0.973270757962858</v>
      </c>
      <c r="H242" s="2">
        <v>0.97461324047598596</v>
      </c>
      <c r="I242" s="1">
        <v>0.96057668619955605</v>
      </c>
      <c r="J242" s="1">
        <v>0.97964685789891703</v>
      </c>
      <c r="K242" s="1">
        <v>0.94710757298537596</v>
      </c>
      <c r="L242" s="1">
        <v>0.98958399650124096</v>
      </c>
    </row>
    <row r="243" spans="1:12" x14ac:dyDescent="0.3">
      <c r="A243" t="s">
        <v>57</v>
      </c>
      <c r="B243" t="s">
        <v>177</v>
      </c>
      <c r="C243" t="s">
        <v>580</v>
      </c>
      <c r="D243" t="s">
        <v>581</v>
      </c>
      <c r="E243" s="2">
        <v>0.81557344475605398</v>
      </c>
      <c r="F243" s="2">
        <v>0.88126894735049299</v>
      </c>
      <c r="G243" s="2">
        <v>0.907866201900695</v>
      </c>
      <c r="H243" s="2">
        <v>0.97263633576691999</v>
      </c>
      <c r="I243" s="1">
        <v>0.93529231433015703</v>
      </c>
      <c r="J243" s="1">
        <v>0.97263633576691999</v>
      </c>
      <c r="K243" s="1">
        <v>0.94612991495691001</v>
      </c>
      <c r="L243" s="1">
        <v>0.96447833047585496</v>
      </c>
    </row>
    <row r="244" spans="1:12" x14ac:dyDescent="0.3">
      <c r="A244" t="s">
        <v>57</v>
      </c>
      <c r="B244" t="s">
        <v>178</v>
      </c>
      <c r="C244" t="s">
        <v>580</v>
      </c>
      <c r="D244" t="s">
        <v>581</v>
      </c>
      <c r="E244" s="2">
        <v>0.81156911483300698</v>
      </c>
      <c r="F244" s="2">
        <v>0.82905249452565499</v>
      </c>
      <c r="G244" s="2">
        <v>0.89728945966739604</v>
      </c>
      <c r="H244" s="2">
        <v>0.92058748101240795</v>
      </c>
      <c r="I244" s="1">
        <v>0.89678147994712998</v>
      </c>
      <c r="J244" s="1">
        <v>0.936201692608155</v>
      </c>
      <c r="K244" s="1">
        <v>0.89815746384959805</v>
      </c>
      <c r="L244" s="1">
        <v>0.94619853622931005</v>
      </c>
    </row>
    <row r="245" spans="1:12" x14ac:dyDescent="0.3">
      <c r="A245" t="s">
        <v>57</v>
      </c>
      <c r="B245" t="s">
        <v>664</v>
      </c>
      <c r="C245" t="s">
        <v>580</v>
      </c>
      <c r="D245" t="s">
        <v>581</v>
      </c>
      <c r="E245" s="2">
        <v>0.85445052658621401</v>
      </c>
      <c r="F245" s="2">
        <v>0.84650055328014095</v>
      </c>
      <c r="G245" s="2">
        <v>0.95163515356032702</v>
      </c>
      <c r="H245" s="2">
        <v>0.96717048387593096</v>
      </c>
      <c r="I245" s="1">
        <v>0.97701110975820205</v>
      </c>
      <c r="J245" s="1">
        <v>0.98471287637433502</v>
      </c>
      <c r="K245" s="1">
        <v>0.98195383489371202</v>
      </c>
      <c r="L245" s="1">
        <v>0.98630180060238604</v>
      </c>
    </row>
    <row r="246" spans="1:12" x14ac:dyDescent="0.3">
      <c r="A246" t="s">
        <v>57</v>
      </c>
      <c r="B246" t="s">
        <v>179</v>
      </c>
      <c r="C246" t="s">
        <v>580</v>
      </c>
      <c r="D246" t="s">
        <v>581</v>
      </c>
      <c r="E246" s="2">
        <v>0.99567669499626299</v>
      </c>
      <c r="F246" s="2">
        <v>0.97661070267827599</v>
      </c>
      <c r="G246" s="2">
        <v>0.92272363870205198</v>
      </c>
      <c r="H246" s="2">
        <v>0.81037853902706003</v>
      </c>
      <c r="I246" s="1">
        <v>0.97362132193197404</v>
      </c>
      <c r="J246" s="1">
        <v>0.89598432313120202</v>
      </c>
      <c r="K246" s="1">
        <v>0.97592418791386404</v>
      </c>
      <c r="L246" s="1">
        <v>0.92855466916940399</v>
      </c>
    </row>
    <row r="247" spans="1:12" x14ac:dyDescent="0.3">
      <c r="A247" t="s">
        <v>57</v>
      </c>
      <c r="B247" t="s">
        <v>180</v>
      </c>
      <c r="C247" t="s">
        <v>580</v>
      </c>
      <c r="D247" t="s">
        <v>581</v>
      </c>
      <c r="E247" s="2">
        <v>0.82395504286141896</v>
      </c>
      <c r="F247" s="2">
        <v>0.78127997702652296</v>
      </c>
      <c r="G247" s="2">
        <v>0.88008425644754196</v>
      </c>
      <c r="H247" s="2">
        <v>0.87784342598080201</v>
      </c>
      <c r="I247" s="1">
        <v>0.89143504799379203</v>
      </c>
      <c r="J247" s="1">
        <v>0.91593296143999703</v>
      </c>
      <c r="K247" s="1">
        <v>0.95187026095669802</v>
      </c>
      <c r="L247" s="1">
        <v>0.98774187832611304</v>
      </c>
    </row>
    <row r="248" spans="1:12" x14ac:dyDescent="0.3">
      <c r="A248" t="s">
        <v>57</v>
      </c>
      <c r="B248" t="s">
        <v>181</v>
      </c>
      <c r="C248" t="s">
        <v>580</v>
      </c>
      <c r="D248" t="s">
        <v>581</v>
      </c>
      <c r="E248" s="2">
        <v>0.92627274030589501</v>
      </c>
      <c r="F248" s="2">
        <v>0.83648295844682996</v>
      </c>
      <c r="G248" s="2">
        <v>0.98126259158372797</v>
      </c>
      <c r="H248" s="2">
        <v>0.94755298840253799</v>
      </c>
      <c r="I248" s="1">
        <v>0.99407110896482997</v>
      </c>
      <c r="J248" s="1">
        <v>0.97554497506206095</v>
      </c>
      <c r="K248" s="1">
        <v>0.99432954296795395</v>
      </c>
      <c r="L248" s="1">
        <v>0.97789729040436402</v>
      </c>
    </row>
    <row r="249" spans="1:12" x14ac:dyDescent="0.3">
      <c r="A249" t="s">
        <v>57</v>
      </c>
      <c r="B249" t="s">
        <v>182</v>
      </c>
      <c r="C249" t="s">
        <v>34</v>
      </c>
      <c r="D249" t="s">
        <v>35</v>
      </c>
      <c r="E249" s="2">
        <v>0.91870711902813595</v>
      </c>
      <c r="F249" s="2">
        <v>0.89188108609648198</v>
      </c>
      <c r="G249" s="2">
        <v>0.98455410783099995</v>
      </c>
      <c r="H249" s="2">
        <v>0.97785517625638396</v>
      </c>
      <c r="I249" s="1">
        <v>0.99977503153055403</v>
      </c>
      <c r="J249" s="1">
        <v>0.99982165712007698</v>
      </c>
      <c r="K249" s="1">
        <v>0.99977503153055403</v>
      </c>
      <c r="L249" s="1">
        <v>1</v>
      </c>
    </row>
    <row r="250" spans="1:12" x14ac:dyDescent="0.3">
      <c r="A250" t="s">
        <v>57</v>
      </c>
      <c r="B250" t="s">
        <v>183</v>
      </c>
      <c r="C250" t="s">
        <v>580</v>
      </c>
      <c r="D250" t="s">
        <v>581</v>
      </c>
      <c r="E250" s="2">
        <v>0.84044719342289298</v>
      </c>
      <c r="F250" s="2">
        <v>0.82668979130334797</v>
      </c>
      <c r="G250" s="2">
        <v>0.96642935167972999</v>
      </c>
      <c r="H250" s="2">
        <v>0.923034725283149</v>
      </c>
      <c r="I250" s="1">
        <v>0.96612512217090496</v>
      </c>
      <c r="J250" s="1">
        <v>0.933876794235449</v>
      </c>
      <c r="K250" s="1">
        <v>0.95434640961269401</v>
      </c>
      <c r="L250" s="1">
        <v>0.98215825683677904</v>
      </c>
    </row>
    <row r="251" spans="1:12" x14ac:dyDescent="0.3">
      <c r="A251" t="s">
        <v>57</v>
      </c>
      <c r="B251" t="s">
        <v>184</v>
      </c>
      <c r="C251" t="s">
        <v>580</v>
      </c>
      <c r="D251" t="s">
        <v>581</v>
      </c>
      <c r="E251" s="2">
        <v>0.93091622480394098</v>
      </c>
      <c r="F251" s="2">
        <v>0.90051293961840795</v>
      </c>
      <c r="G251" s="2">
        <v>0.97685841779376603</v>
      </c>
      <c r="H251" s="2">
        <v>0.96551494097241097</v>
      </c>
      <c r="I251" s="1">
        <v>0.99322257527314695</v>
      </c>
      <c r="J251" s="1">
        <v>0.99048492066237404</v>
      </c>
      <c r="K251" s="1">
        <v>0.99310150571003597</v>
      </c>
      <c r="L251" s="1">
        <v>0.99048492066237404</v>
      </c>
    </row>
    <row r="252" spans="1:12" x14ac:dyDescent="0.3">
      <c r="A252" t="s">
        <v>57</v>
      </c>
      <c r="B252" t="s">
        <v>665</v>
      </c>
      <c r="C252" t="s">
        <v>580</v>
      </c>
      <c r="D252" t="s">
        <v>581</v>
      </c>
      <c r="E252" s="2">
        <v>0.89974540175515805</v>
      </c>
      <c r="F252" s="2">
        <v>0.86313600516171696</v>
      </c>
      <c r="G252" s="2">
        <v>0.95541805990905904</v>
      </c>
      <c r="H252" s="2">
        <v>0.87883586696369698</v>
      </c>
      <c r="I252" s="1">
        <v>0.96448703249179302</v>
      </c>
      <c r="J252" s="1">
        <v>0.92115628583012499</v>
      </c>
      <c r="K252" s="1">
        <v>0.94166365130503404</v>
      </c>
      <c r="L252" s="1">
        <v>0.93970184976087801</v>
      </c>
    </row>
    <row r="253" spans="1:12" x14ac:dyDescent="0.3">
      <c r="A253" t="s">
        <v>57</v>
      </c>
      <c r="B253" t="s">
        <v>185</v>
      </c>
      <c r="C253" t="s">
        <v>580</v>
      </c>
      <c r="D253" t="s">
        <v>581</v>
      </c>
      <c r="E253" s="2">
        <v>0</v>
      </c>
      <c r="F253" s="2">
        <v>0</v>
      </c>
      <c r="G253" s="2">
        <v>0</v>
      </c>
      <c r="H253" s="2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3">
      <c r="A254" t="s">
        <v>57</v>
      </c>
      <c r="B254" t="s">
        <v>186</v>
      </c>
      <c r="C254" t="s">
        <v>580</v>
      </c>
      <c r="D254" t="s">
        <v>581</v>
      </c>
      <c r="E254" s="2">
        <v>0.90458567605136997</v>
      </c>
      <c r="F254" s="2">
        <v>0.83178592916865401</v>
      </c>
      <c r="G254" s="2">
        <v>0.99634847195999898</v>
      </c>
      <c r="H254" s="2">
        <v>0.90959874686196796</v>
      </c>
      <c r="I254" s="1">
        <v>0.99610209755389101</v>
      </c>
      <c r="J254" s="1">
        <v>0.97916191207286396</v>
      </c>
      <c r="K254" s="1">
        <v>0.98101620365567699</v>
      </c>
      <c r="L254" s="1">
        <v>0.99477167576090797</v>
      </c>
    </row>
    <row r="255" spans="1:12" x14ac:dyDescent="0.3">
      <c r="A255" t="s">
        <v>57</v>
      </c>
      <c r="B255" t="s">
        <v>666</v>
      </c>
      <c r="C255" t="s">
        <v>34</v>
      </c>
      <c r="D255" t="s">
        <v>35</v>
      </c>
      <c r="E255" s="2">
        <v>0.93166771241264401</v>
      </c>
      <c r="F255" s="2">
        <v>0.87930288409528501</v>
      </c>
      <c r="G255" s="2">
        <v>0.97060191696055698</v>
      </c>
      <c r="H255" s="2">
        <v>0.941593284147212</v>
      </c>
      <c r="I255" s="1">
        <v>0.99885869447629705</v>
      </c>
      <c r="J255" s="1">
        <v>0.99147536727319896</v>
      </c>
      <c r="K255" s="1">
        <v>0.99935091628983697</v>
      </c>
      <c r="L255" s="1">
        <v>0.99951859624829598</v>
      </c>
    </row>
    <row r="256" spans="1:12" x14ac:dyDescent="0.3">
      <c r="A256" t="s">
        <v>57</v>
      </c>
      <c r="B256" t="s">
        <v>187</v>
      </c>
      <c r="C256" t="s">
        <v>34</v>
      </c>
      <c r="D256" t="s">
        <v>35</v>
      </c>
      <c r="E256" s="2">
        <v>0.77642877804867905</v>
      </c>
      <c r="F256" s="2">
        <v>0.81248811934377396</v>
      </c>
      <c r="G256" s="2">
        <v>0.92155874209678001</v>
      </c>
      <c r="H256" s="2">
        <v>0.97821397578412295</v>
      </c>
      <c r="I256" s="1">
        <v>0.95991156659365995</v>
      </c>
      <c r="J256" s="1">
        <v>0.99980164469606103</v>
      </c>
      <c r="K256" s="1">
        <v>0.96684986982933097</v>
      </c>
      <c r="L256" s="1">
        <v>1</v>
      </c>
    </row>
    <row r="257" spans="1:12" x14ac:dyDescent="0.3">
      <c r="A257" t="s">
        <v>57</v>
      </c>
      <c r="B257" t="s">
        <v>188</v>
      </c>
      <c r="C257" t="s">
        <v>34</v>
      </c>
      <c r="D257" t="s">
        <v>35</v>
      </c>
      <c r="E257" s="2">
        <v>0.87537143351700597</v>
      </c>
      <c r="F257" s="2">
        <v>0.916330092605948</v>
      </c>
      <c r="G257" s="2">
        <v>0.95610593428151003</v>
      </c>
      <c r="H257" s="2">
        <v>0.96569829501197202</v>
      </c>
      <c r="I257" s="1">
        <v>0.97121570550731295</v>
      </c>
      <c r="J257" s="1">
        <v>0.99674003981190296</v>
      </c>
      <c r="K257" s="1">
        <v>0.99973314485185905</v>
      </c>
      <c r="L257" s="1">
        <v>0.99968987104405205</v>
      </c>
    </row>
    <row r="258" spans="1:12" x14ac:dyDescent="0.3">
      <c r="A258" t="s">
        <v>57</v>
      </c>
      <c r="B258" t="s">
        <v>667</v>
      </c>
      <c r="C258" t="s">
        <v>34</v>
      </c>
      <c r="D258" t="s">
        <v>35</v>
      </c>
      <c r="E258" s="2">
        <v>0.92962543821883203</v>
      </c>
      <c r="F258" s="2">
        <v>0.91112614551940396</v>
      </c>
      <c r="G258" s="2">
        <v>0.99320376406913002</v>
      </c>
      <c r="H258" s="2">
        <v>0.99254935727904503</v>
      </c>
      <c r="I258" s="1">
        <v>0.99788178854788101</v>
      </c>
      <c r="J258" s="1">
        <v>0.99952149578694804</v>
      </c>
      <c r="K258" s="1">
        <v>0.998378744080201</v>
      </c>
      <c r="L258" s="1">
        <v>1</v>
      </c>
    </row>
    <row r="259" spans="1:12" x14ac:dyDescent="0.3">
      <c r="A259" t="s">
        <v>57</v>
      </c>
      <c r="B259" t="s">
        <v>668</v>
      </c>
      <c r="C259" t="s">
        <v>580</v>
      </c>
      <c r="D259" t="s">
        <v>581</v>
      </c>
      <c r="E259" s="2">
        <v>0.80940563484666395</v>
      </c>
      <c r="F259" s="2">
        <v>0.88340370341257402</v>
      </c>
      <c r="G259" s="2">
        <v>0.93695046769901003</v>
      </c>
      <c r="H259" s="2">
        <v>0.97673014946155601</v>
      </c>
      <c r="I259" s="1">
        <v>0.97222721300798398</v>
      </c>
      <c r="J259" s="1">
        <v>0.99507877331476702</v>
      </c>
      <c r="K259" s="1">
        <v>0.97477906415280702</v>
      </c>
      <c r="L259" s="1">
        <v>0.98762534670364799</v>
      </c>
    </row>
    <row r="260" spans="1:12" x14ac:dyDescent="0.3">
      <c r="A260" t="s">
        <v>57</v>
      </c>
      <c r="B260" t="s">
        <v>669</v>
      </c>
      <c r="C260" t="s">
        <v>34</v>
      </c>
      <c r="D260" t="s">
        <v>35</v>
      </c>
      <c r="E260" s="2">
        <v>0.86204711310908799</v>
      </c>
      <c r="F260" s="2">
        <v>0.81608757215989502</v>
      </c>
      <c r="G260" s="2">
        <v>0.98424117000524702</v>
      </c>
      <c r="H260" s="2">
        <v>0.93024625956768403</v>
      </c>
      <c r="I260" s="1">
        <v>0.99702696279866498</v>
      </c>
      <c r="J260" s="1">
        <v>0.98172361893633997</v>
      </c>
      <c r="K260" s="1">
        <v>0.999999999999999</v>
      </c>
      <c r="L260" s="1">
        <v>0.99847016070738903</v>
      </c>
    </row>
    <row r="261" spans="1:12" x14ac:dyDescent="0.3">
      <c r="A261" t="s">
        <v>57</v>
      </c>
      <c r="B261" t="s">
        <v>670</v>
      </c>
      <c r="C261" t="s">
        <v>580</v>
      </c>
      <c r="D261" t="s">
        <v>581</v>
      </c>
      <c r="E261" s="2">
        <v>0.86656769913871501</v>
      </c>
      <c r="F261" s="2">
        <v>0.89666363522887305</v>
      </c>
      <c r="G261" s="2">
        <v>0.94566370655682097</v>
      </c>
      <c r="H261" s="2">
        <v>0.91602025713725199</v>
      </c>
      <c r="I261" s="1">
        <v>0.96575589792970595</v>
      </c>
      <c r="J261" s="1">
        <v>0.96086101749317898</v>
      </c>
      <c r="K261" s="1">
        <v>0.97220661923358098</v>
      </c>
      <c r="L261" s="1">
        <v>0.95967073235970601</v>
      </c>
    </row>
    <row r="262" spans="1:12" x14ac:dyDescent="0.3">
      <c r="A262" t="s">
        <v>57</v>
      </c>
      <c r="B262" t="s">
        <v>671</v>
      </c>
      <c r="C262" t="s">
        <v>34</v>
      </c>
      <c r="D262" t="s">
        <v>35</v>
      </c>
      <c r="E262" s="2">
        <v>0.84878775417156505</v>
      </c>
      <c r="F262" s="2">
        <v>0.82235257043496901</v>
      </c>
      <c r="G262" s="2">
        <v>0.93688119365090705</v>
      </c>
      <c r="H262" s="2">
        <v>0.90626997501307405</v>
      </c>
      <c r="I262" s="1">
        <v>0.96650455709668903</v>
      </c>
      <c r="J262" s="1">
        <v>0.99472547906506803</v>
      </c>
      <c r="K262" s="1">
        <v>0.99383260994917599</v>
      </c>
      <c r="L262" s="1">
        <v>0.999999999999999</v>
      </c>
    </row>
    <row r="263" spans="1:12" x14ac:dyDescent="0.3">
      <c r="A263" t="s">
        <v>57</v>
      </c>
      <c r="B263" t="s">
        <v>672</v>
      </c>
      <c r="C263" t="s">
        <v>34</v>
      </c>
      <c r="D263" t="s">
        <v>35</v>
      </c>
      <c r="E263" s="2">
        <v>0.87806572596759802</v>
      </c>
      <c r="F263" s="2">
        <v>0.81008945863690796</v>
      </c>
      <c r="G263" s="2">
        <v>0.95931630237634102</v>
      </c>
      <c r="H263" s="2">
        <v>0.90188447231700897</v>
      </c>
      <c r="I263" s="1">
        <v>0.98336561222293895</v>
      </c>
      <c r="J263" s="1">
        <v>0.98642442128562202</v>
      </c>
      <c r="K263" s="1">
        <v>0.99801407974422796</v>
      </c>
      <c r="L263" s="1">
        <v>1</v>
      </c>
    </row>
    <row r="264" spans="1:12" x14ac:dyDescent="0.3">
      <c r="A264" t="s">
        <v>57</v>
      </c>
      <c r="B264" t="s">
        <v>673</v>
      </c>
      <c r="C264" t="s">
        <v>580</v>
      </c>
      <c r="D264" t="s">
        <v>581</v>
      </c>
      <c r="E264" s="2">
        <v>0.76375036858446199</v>
      </c>
      <c r="F264" s="2">
        <v>0.79175411513711302</v>
      </c>
      <c r="G264" s="2">
        <v>0.89092501691152204</v>
      </c>
      <c r="H264" s="2">
        <v>0.92722841829566505</v>
      </c>
      <c r="I264" s="1">
        <v>0.90052555808023804</v>
      </c>
      <c r="J264" s="1">
        <v>0.93473019617365904</v>
      </c>
      <c r="K264" s="1">
        <v>0.93020311172011805</v>
      </c>
      <c r="L264" s="1">
        <v>0.96250845576119204</v>
      </c>
    </row>
    <row r="265" spans="1:12" x14ac:dyDescent="0.3">
      <c r="A265" t="s">
        <v>57</v>
      </c>
      <c r="B265" t="s">
        <v>674</v>
      </c>
      <c r="C265" t="s">
        <v>34</v>
      </c>
      <c r="D265" t="s">
        <v>35</v>
      </c>
      <c r="E265" s="2">
        <v>0.88915326861823096</v>
      </c>
      <c r="F265" s="2">
        <v>0.88696344607917399</v>
      </c>
      <c r="G265" s="2">
        <v>0.95514181707871904</v>
      </c>
      <c r="H265" s="2">
        <v>0.95480054603367204</v>
      </c>
      <c r="I265" s="1">
        <v>0.99778173820718896</v>
      </c>
      <c r="J265" s="1">
        <v>0.98554337934172598</v>
      </c>
      <c r="K265" s="1">
        <v>0.99953549218868498</v>
      </c>
      <c r="L265" s="1">
        <v>0.99362960715910797</v>
      </c>
    </row>
    <row r="266" spans="1:12" x14ac:dyDescent="0.3">
      <c r="A266" t="s">
        <v>57</v>
      </c>
      <c r="B266" t="s">
        <v>675</v>
      </c>
      <c r="C266" t="s">
        <v>580</v>
      </c>
      <c r="D266" t="s">
        <v>581</v>
      </c>
      <c r="E266" s="2">
        <v>0.90899249238567004</v>
      </c>
      <c r="F266" s="2">
        <v>0.91022340287015502</v>
      </c>
      <c r="G266" s="2">
        <v>0.96643654770549903</v>
      </c>
      <c r="H266" s="2">
        <v>0.99992281640909697</v>
      </c>
      <c r="I266" s="1">
        <v>0.98053631185929202</v>
      </c>
      <c r="J266" s="1">
        <v>0.99464681459964499</v>
      </c>
      <c r="K266" s="1">
        <v>0.97790670047531603</v>
      </c>
      <c r="L266" s="1">
        <v>0.99836974832780001</v>
      </c>
    </row>
    <row r="267" spans="1:12" x14ac:dyDescent="0.3">
      <c r="A267" t="s">
        <v>57</v>
      </c>
      <c r="B267" t="s">
        <v>189</v>
      </c>
      <c r="C267" t="s">
        <v>580</v>
      </c>
      <c r="D267" t="s">
        <v>581</v>
      </c>
      <c r="E267" s="2">
        <v>0</v>
      </c>
      <c r="F267" s="2">
        <v>0</v>
      </c>
      <c r="G267" s="2">
        <v>0</v>
      </c>
      <c r="H267" s="2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3">
      <c r="A268" t="s">
        <v>57</v>
      </c>
      <c r="B268" t="s">
        <v>676</v>
      </c>
      <c r="C268" t="s">
        <v>580</v>
      </c>
      <c r="D268" t="s">
        <v>581</v>
      </c>
      <c r="E268" s="2">
        <v>0.86987425545996</v>
      </c>
      <c r="F268" s="2">
        <v>0.93924553275976097</v>
      </c>
      <c r="G268" s="2">
        <v>0.985102581072137</v>
      </c>
      <c r="H268" s="2">
        <v>0.97275314361350096</v>
      </c>
      <c r="I268" s="1">
        <v>0.985102581072137</v>
      </c>
      <c r="J268" s="1">
        <v>0.99833884844473797</v>
      </c>
      <c r="K268" s="1">
        <v>0.985102581072137</v>
      </c>
      <c r="L268" s="1">
        <v>0.99849106551952305</v>
      </c>
    </row>
    <row r="269" spans="1:12" x14ac:dyDescent="0.3">
      <c r="A269" t="s">
        <v>57</v>
      </c>
      <c r="B269" t="s">
        <v>190</v>
      </c>
      <c r="C269" t="s">
        <v>34</v>
      </c>
      <c r="D269" t="s">
        <v>35</v>
      </c>
      <c r="E269" s="2">
        <v>0.90046159308793905</v>
      </c>
      <c r="F269" s="2">
        <v>0.83258373772044003</v>
      </c>
      <c r="G269" s="2">
        <v>0.938572612143448</v>
      </c>
      <c r="H269" s="2">
        <v>0.89549059060243796</v>
      </c>
      <c r="I269" s="1">
        <v>0.96946384187477797</v>
      </c>
      <c r="J269" s="1">
        <v>0.94454965084625397</v>
      </c>
      <c r="K269" s="1">
        <v>1</v>
      </c>
      <c r="L269" s="1">
        <v>1</v>
      </c>
    </row>
    <row r="270" spans="1:12" x14ac:dyDescent="0.3">
      <c r="A270" t="s">
        <v>57</v>
      </c>
      <c r="B270" t="s">
        <v>191</v>
      </c>
      <c r="C270" t="s">
        <v>580</v>
      </c>
      <c r="D270" t="s">
        <v>581</v>
      </c>
      <c r="E270" s="2">
        <v>0.82121357007802098</v>
      </c>
      <c r="F270" s="2">
        <v>0.87538847716949497</v>
      </c>
      <c r="G270" s="2">
        <v>0.91437202529719797</v>
      </c>
      <c r="H270" s="2">
        <v>0.89888183774150698</v>
      </c>
      <c r="I270" s="1">
        <v>0.92997087779540499</v>
      </c>
      <c r="J270" s="1">
        <v>0.93043270380109899</v>
      </c>
      <c r="K270" s="1">
        <v>0.98856301480016495</v>
      </c>
      <c r="L270" s="1">
        <v>0.961353313194097</v>
      </c>
    </row>
    <row r="271" spans="1:12" x14ac:dyDescent="0.3">
      <c r="A271" t="s">
        <v>57</v>
      </c>
      <c r="B271" t="s">
        <v>192</v>
      </c>
      <c r="C271" t="s">
        <v>580</v>
      </c>
      <c r="D271" t="s">
        <v>581</v>
      </c>
      <c r="E271" s="2">
        <v>0.85612348750424005</v>
      </c>
      <c r="F271" s="2">
        <v>0.86477439782879095</v>
      </c>
      <c r="G271" s="2">
        <v>0.92978627162727501</v>
      </c>
      <c r="H271" s="2">
        <v>0.89305665498134101</v>
      </c>
      <c r="I271" s="1">
        <v>0.98225715255003898</v>
      </c>
      <c r="J271" s="1">
        <v>0.92539862037769904</v>
      </c>
      <c r="K271" s="1">
        <v>0.99180142485581801</v>
      </c>
      <c r="L271" s="1">
        <v>0.96381318557050699</v>
      </c>
    </row>
    <row r="272" spans="1:12" x14ac:dyDescent="0.3">
      <c r="A272" t="s">
        <v>57</v>
      </c>
      <c r="B272" t="s">
        <v>193</v>
      </c>
      <c r="C272" t="s">
        <v>580</v>
      </c>
      <c r="D272" t="s">
        <v>581</v>
      </c>
      <c r="E272" s="2">
        <v>0.88425994108983796</v>
      </c>
      <c r="F272" s="2">
        <v>0.90185014727540502</v>
      </c>
      <c r="G272" s="2">
        <v>0.94191826215022101</v>
      </c>
      <c r="H272" s="2">
        <v>0.96522459499263602</v>
      </c>
      <c r="I272" s="1">
        <v>0.96192930780559605</v>
      </c>
      <c r="J272" s="1">
        <v>0.96744293078055899</v>
      </c>
      <c r="K272" s="1">
        <v>0.99933726067746598</v>
      </c>
      <c r="L272" s="1">
        <v>0.97359167893961696</v>
      </c>
    </row>
    <row r="273" spans="1:12" x14ac:dyDescent="0.3">
      <c r="A273" t="s">
        <v>57</v>
      </c>
      <c r="B273" t="s">
        <v>194</v>
      </c>
      <c r="C273" t="s">
        <v>580</v>
      </c>
      <c r="D273" t="s">
        <v>581</v>
      </c>
      <c r="E273" s="2">
        <v>0.87786615157368397</v>
      </c>
      <c r="F273" s="2">
        <v>0.94303772298602395</v>
      </c>
      <c r="G273" s="2">
        <v>0.97280990796500399</v>
      </c>
      <c r="H273" s="2">
        <v>0.99414555164185803</v>
      </c>
      <c r="I273" s="1">
        <v>0.99861663447335502</v>
      </c>
      <c r="J273" s="1">
        <v>0.99405465288035399</v>
      </c>
      <c r="K273" s="1">
        <v>0.99861663447335502</v>
      </c>
      <c r="L273" s="1">
        <v>0.99744915350528296</v>
      </c>
    </row>
    <row r="274" spans="1:12" x14ac:dyDescent="0.3">
      <c r="A274" t="s">
        <v>57</v>
      </c>
      <c r="B274" t="s">
        <v>677</v>
      </c>
      <c r="C274" t="s">
        <v>580</v>
      </c>
      <c r="D274" t="s">
        <v>581</v>
      </c>
      <c r="E274" s="2">
        <v>0.89978816267645501</v>
      </c>
      <c r="F274" s="2">
        <v>0.78563341185923696</v>
      </c>
      <c r="G274" s="2">
        <v>0.93676838510564397</v>
      </c>
      <c r="H274" s="2">
        <v>0.88543435782245805</v>
      </c>
      <c r="I274" s="1">
        <v>0.96973100312277405</v>
      </c>
      <c r="J274" s="1">
        <v>0.969530122902171</v>
      </c>
      <c r="K274" s="1">
        <v>0.97656093062327598</v>
      </c>
      <c r="L274" s="1">
        <v>0.97344728720392903</v>
      </c>
    </row>
    <row r="275" spans="1:12" x14ac:dyDescent="0.3">
      <c r="A275" t="s">
        <v>57</v>
      </c>
      <c r="B275" t="s">
        <v>195</v>
      </c>
      <c r="C275" t="s">
        <v>580</v>
      </c>
      <c r="D275" t="s">
        <v>581</v>
      </c>
      <c r="E275" s="2">
        <v>0.77308080475657603</v>
      </c>
      <c r="F275" s="2">
        <v>0.81474472893218297</v>
      </c>
      <c r="G275" s="2">
        <v>0.80743324776761205</v>
      </c>
      <c r="H275" s="2">
        <v>0.87884222997433004</v>
      </c>
      <c r="I275" s="1">
        <v>0.877558744158494</v>
      </c>
      <c r="J275" s="1">
        <v>0.96545009763268097</v>
      </c>
      <c r="K275" s="1">
        <v>0.89403563044384404</v>
      </c>
      <c r="L275" s="1">
        <v>0.96157770025669698</v>
      </c>
    </row>
    <row r="276" spans="1:12" x14ac:dyDescent="0.3">
      <c r="A276" t="s">
        <v>57</v>
      </c>
      <c r="B276" t="s">
        <v>678</v>
      </c>
      <c r="C276" t="s">
        <v>580</v>
      </c>
      <c r="D276" t="s">
        <v>581</v>
      </c>
      <c r="E276" s="2">
        <v>0.93904397959862296</v>
      </c>
      <c r="F276" s="2">
        <v>0.84116801465133995</v>
      </c>
      <c r="G276" s="2">
        <v>0.99356701811466297</v>
      </c>
      <c r="H276" s="2">
        <v>0.85108222450723103</v>
      </c>
      <c r="I276" s="1">
        <v>0.99354655534922198</v>
      </c>
      <c r="J276" s="1">
        <v>0.90543388736270702</v>
      </c>
      <c r="K276" s="1">
        <v>0.986727338766197</v>
      </c>
      <c r="L276" s="1">
        <v>0.95814341329158903</v>
      </c>
    </row>
    <row r="277" spans="1:12" x14ac:dyDescent="0.3">
      <c r="A277" t="s">
        <v>57</v>
      </c>
      <c r="B277" t="s">
        <v>196</v>
      </c>
      <c r="C277" t="s">
        <v>580</v>
      </c>
      <c r="D277" t="s">
        <v>581</v>
      </c>
      <c r="E277" s="2">
        <v>0.86401850960987703</v>
      </c>
      <c r="F277" s="2">
        <v>0.89245543588887599</v>
      </c>
      <c r="G277" s="2">
        <v>0.93950178518249405</v>
      </c>
      <c r="H277" s="2">
        <v>0.93427877645457202</v>
      </c>
      <c r="I277" s="1">
        <v>0.96714020636775</v>
      </c>
      <c r="J277" s="1">
        <v>0.93362590036358095</v>
      </c>
      <c r="K277" s="1">
        <v>0.97229449129662104</v>
      </c>
      <c r="L277" s="1">
        <v>0.97018696145903804</v>
      </c>
    </row>
    <row r="278" spans="1:12" x14ac:dyDescent="0.3">
      <c r="A278" t="s">
        <v>57</v>
      </c>
      <c r="B278" t="s">
        <v>197</v>
      </c>
      <c r="C278" t="s">
        <v>580</v>
      </c>
      <c r="D278" t="s">
        <v>581</v>
      </c>
      <c r="E278" s="2">
        <v>0.82417315175097206</v>
      </c>
      <c r="F278" s="2">
        <v>0.84869487678339794</v>
      </c>
      <c r="G278" s="2">
        <v>0.92095290207522695</v>
      </c>
      <c r="H278" s="2">
        <v>0.98513243758106295</v>
      </c>
      <c r="I278" s="1">
        <v>0.96558345492866404</v>
      </c>
      <c r="J278" s="1">
        <v>0.98577081306744396</v>
      </c>
      <c r="K278" s="1">
        <v>0.98193549367704203</v>
      </c>
      <c r="L278" s="1">
        <v>0.95489319876783396</v>
      </c>
    </row>
    <row r="279" spans="1:12" x14ac:dyDescent="0.3">
      <c r="A279" t="s">
        <v>57</v>
      </c>
      <c r="B279" t="s">
        <v>198</v>
      </c>
      <c r="C279" t="s">
        <v>580</v>
      </c>
      <c r="D279" t="s">
        <v>581</v>
      </c>
      <c r="E279" s="2">
        <v>0.83942923977982997</v>
      </c>
      <c r="F279" s="2">
        <v>0.911716130397345</v>
      </c>
      <c r="G279" s="2">
        <v>0.92664341151335805</v>
      </c>
      <c r="H279" s="2">
        <v>0.97774793333783905</v>
      </c>
      <c r="I279" s="1">
        <v>0.97687366104095696</v>
      </c>
      <c r="J279" s="1">
        <v>0.98872703014843499</v>
      </c>
      <c r="K279" s="1">
        <v>0.97956994619184601</v>
      </c>
      <c r="L279" s="1">
        <v>0.99086054842586901</v>
      </c>
    </row>
    <row r="280" spans="1:12" x14ac:dyDescent="0.3">
      <c r="A280" t="s">
        <v>57</v>
      </c>
      <c r="B280" t="s">
        <v>679</v>
      </c>
      <c r="C280" t="s">
        <v>580</v>
      </c>
      <c r="D280" t="s">
        <v>581</v>
      </c>
      <c r="E280" s="2">
        <v>0.79417255924935504</v>
      </c>
      <c r="F280" s="2">
        <v>0.81572174504783102</v>
      </c>
      <c r="G280" s="2">
        <v>0.930532229991755</v>
      </c>
      <c r="H280" s="2">
        <v>0.98367234768346201</v>
      </c>
      <c r="I280" s="1">
        <v>0.94600053218636904</v>
      </c>
      <c r="J280" s="1">
        <v>0.98367234768346201</v>
      </c>
      <c r="K280" s="1">
        <v>0.97165889470998001</v>
      </c>
      <c r="L280" s="1">
        <v>0.98367234768346201</v>
      </c>
    </row>
    <row r="281" spans="1:12" x14ac:dyDescent="0.3">
      <c r="A281" t="s">
        <v>57</v>
      </c>
      <c r="B281" t="s">
        <v>199</v>
      </c>
      <c r="C281" t="s">
        <v>580</v>
      </c>
      <c r="D281" t="s">
        <v>581</v>
      </c>
      <c r="E281" s="2">
        <v>0.95666213703332803</v>
      </c>
      <c r="F281" s="2">
        <v>0.95756150765269599</v>
      </c>
      <c r="G281" s="2">
        <v>0.95756150765269599</v>
      </c>
      <c r="H281" s="2">
        <v>0.95756150765269599</v>
      </c>
      <c r="I281" s="1">
        <v>0.95802460306107795</v>
      </c>
      <c r="J281" s="1">
        <v>0.95825525675868894</v>
      </c>
      <c r="K281" s="1">
        <v>0.96657488199113095</v>
      </c>
      <c r="L281" s="1">
        <v>0.96662494635960505</v>
      </c>
    </row>
    <row r="282" spans="1:12" x14ac:dyDescent="0.3">
      <c r="A282" t="s">
        <v>57</v>
      </c>
      <c r="B282" t="s">
        <v>200</v>
      </c>
      <c r="C282" t="s">
        <v>580</v>
      </c>
      <c r="D282" t="s">
        <v>581</v>
      </c>
      <c r="E282" s="2">
        <v>0.64369031753212602</v>
      </c>
      <c r="F282" s="2">
        <v>0.77568562240942895</v>
      </c>
      <c r="G282" s="2">
        <v>0.77415114871556601</v>
      </c>
      <c r="H282" s="2">
        <v>0.89119297687896604</v>
      </c>
      <c r="I282" s="1">
        <v>0.95954736082751502</v>
      </c>
      <c r="J282" s="1">
        <v>0.93495910107963298</v>
      </c>
      <c r="K282" s="1">
        <v>0.97673224351058197</v>
      </c>
      <c r="L282" s="1">
        <v>0.97881692689547195</v>
      </c>
    </row>
    <row r="283" spans="1:12" x14ac:dyDescent="0.3">
      <c r="A283" t="s">
        <v>57</v>
      </c>
      <c r="B283" t="s">
        <v>201</v>
      </c>
      <c r="C283" t="s">
        <v>580</v>
      </c>
      <c r="D283" t="s">
        <v>581</v>
      </c>
      <c r="E283" s="2">
        <v>0.684117029279665</v>
      </c>
      <c r="F283" s="2">
        <v>0.74367816948092003</v>
      </c>
      <c r="G283" s="2">
        <v>0.739723068443358</v>
      </c>
      <c r="H283" s="2">
        <v>0.94718711128656197</v>
      </c>
      <c r="I283" s="1">
        <v>0.86191036593995096</v>
      </c>
      <c r="J283" s="1">
        <v>0.96725310412120002</v>
      </c>
      <c r="K283" s="1">
        <v>0.98499519578122496</v>
      </c>
      <c r="L283" s="1">
        <v>0.95486268872386504</v>
      </c>
    </row>
    <row r="284" spans="1:12" x14ac:dyDescent="0.3">
      <c r="A284" t="s">
        <v>57</v>
      </c>
      <c r="B284" t="s">
        <v>680</v>
      </c>
      <c r="C284" t="s">
        <v>580</v>
      </c>
      <c r="D284" t="s">
        <v>581</v>
      </c>
      <c r="E284" s="2">
        <v>0.82158447569877102</v>
      </c>
      <c r="F284" s="2">
        <v>0.88533262120942302</v>
      </c>
      <c r="G284" s="2">
        <v>0.96255059046940805</v>
      </c>
      <c r="H284" s="2">
        <v>0.98820129369176901</v>
      </c>
      <c r="I284" s="1">
        <v>0.962582636045338</v>
      </c>
      <c r="J284" s="1">
        <v>0.98894665005044202</v>
      </c>
      <c r="K284" s="1">
        <v>0.97313156489229102</v>
      </c>
      <c r="L284" s="1">
        <v>0.98809447510533499</v>
      </c>
    </row>
    <row r="285" spans="1:12" x14ac:dyDescent="0.3">
      <c r="A285" t="s">
        <v>57</v>
      </c>
      <c r="B285" t="s">
        <v>681</v>
      </c>
      <c r="C285" t="s">
        <v>580</v>
      </c>
      <c r="D285" t="s">
        <v>581</v>
      </c>
      <c r="E285" s="2">
        <v>0.83407635450096496</v>
      </c>
      <c r="F285" s="2">
        <v>0.91163856739710203</v>
      </c>
      <c r="G285" s="2">
        <v>0.91216134450527298</v>
      </c>
      <c r="H285" s="2">
        <v>0.91163856739710203</v>
      </c>
      <c r="I285" s="1">
        <v>0.94407737101200895</v>
      </c>
      <c r="J285" s="1">
        <v>0.93080948162777299</v>
      </c>
      <c r="K285" s="1">
        <v>0.97943985400965194</v>
      </c>
      <c r="L285" s="1">
        <v>0.94985696237456896</v>
      </c>
    </row>
    <row r="286" spans="1:12" x14ac:dyDescent="0.3">
      <c r="A286" t="s">
        <v>57</v>
      </c>
      <c r="B286" t="s">
        <v>682</v>
      </c>
      <c r="C286" t="s">
        <v>580</v>
      </c>
      <c r="D286" t="s">
        <v>581</v>
      </c>
      <c r="E286" s="2">
        <v>0.87604451986820697</v>
      </c>
      <c r="F286" s="2">
        <v>0.90161416775832603</v>
      </c>
      <c r="G286" s="2">
        <v>0.930888015561113</v>
      </c>
      <c r="H286" s="2">
        <v>0.95644277718232695</v>
      </c>
      <c r="I286" s="1">
        <v>0.96257343892659997</v>
      </c>
      <c r="J286" s="1">
        <v>0.95644277718232695</v>
      </c>
      <c r="K286" s="1">
        <v>0.96412905402723104</v>
      </c>
      <c r="L286" s="1">
        <v>0.96518101702989101</v>
      </c>
    </row>
    <row r="287" spans="1:12" x14ac:dyDescent="0.3">
      <c r="A287" t="s">
        <v>57</v>
      </c>
      <c r="B287" t="s">
        <v>683</v>
      </c>
      <c r="C287" t="s">
        <v>580</v>
      </c>
      <c r="D287" t="s">
        <v>581</v>
      </c>
      <c r="E287" s="2">
        <v>0.714731813384333</v>
      </c>
      <c r="F287" s="2">
        <v>0.91865125026782901</v>
      </c>
      <c r="G287" s="2">
        <v>0.83782228817661597</v>
      </c>
      <c r="H287" s="2">
        <v>0.92573385285645104</v>
      </c>
      <c r="I287" s="1">
        <v>0.91248918762349895</v>
      </c>
      <c r="J287" s="1">
        <v>0.96926904367009703</v>
      </c>
      <c r="K287" s="1">
        <v>0.94422004078944199</v>
      </c>
      <c r="L287" s="1">
        <v>0.99987699681778797</v>
      </c>
    </row>
    <row r="288" spans="1:12" x14ac:dyDescent="0.3">
      <c r="A288" t="s">
        <v>57</v>
      </c>
      <c r="B288" t="s">
        <v>684</v>
      </c>
      <c r="C288" t="s">
        <v>580</v>
      </c>
      <c r="D288" t="s">
        <v>581</v>
      </c>
      <c r="E288" s="2">
        <v>0.81454715585384596</v>
      </c>
      <c r="F288" s="2">
        <v>0.91150342899783199</v>
      </c>
      <c r="G288" s="2">
        <v>0.824211771977297</v>
      </c>
      <c r="H288" s="2">
        <v>0.97394844604860298</v>
      </c>
      <c r="I288" s="1">
        <v>0.923156853096327</v>
      </c>
      <c r="J288" s="1">
        <v>0.99538170145914096</v>
      </c>
      <c r="K288" s="1">
        <v>0.93040625736919502</v>
      </c>
      <c r="L288" s="1">
        <v>0.99452135626582105</v>
      </c>
    </row>
    <row r="289" spans="1:12" x14ac:dyDescent="0.3">
      <c r="A289" t="s">
        <v>57</v>
      </c>
      <c r="B289" t="s">
        <v>685</v>
      </c>
      <c r="C289" t="s">
        <v>580</v>
      </c>
      <c r="D289" t="s">
        <v>581</v>
      </c>
      <c r="E289" s="2">
        <v>0.80433375357336001</v>
      </c>
      <c r="F289" s="2">
        <v>0.88926373494548505</v>
      </c>
      <c r="G289" s="2">
        <v>0.83442920162694001</v>
      </c>
      <c r="H289" s="2">
        <v>0.95560884631663701</v>
      </c>
      <c r="I289" s="1">
        <v>0.88605421775374504</v>
      </c>
      <c r="J289" s="1">
        <v>0.97296807911075101</v>
      </c>
      <c r="K289" s="1">
        <v>0.88554721362754596</v>
      </c>
      <c r="L289" s="1">
        <v>0.97331664444751198</v>
      </c>
    </row>
    <row r="290" spans="1:12" x14ac:dyDescent="0.3">
      <c r="A290" t="s">
        <v>57</v>
      </c>
      <c r="B290" t="s">
        <v>686</v>
      </c>
      <c r="C290" t="s">
        <v>580</v>
      </c>
      <c r="D290" t="s">
        <v>581</v>
      </c>
      <c r="E290" s="2">
        <v>0.79346634159844098</v>
      </c>
      <c r="F290" s="2">
        <v>0.79643667025093401</v>
      </c>
      <c r="G290" s="2">
        <v>0.88466288366745005</v>
      </c>
      <c r="H290" s="2">
        <v>0.92151518700294899</v>
      </c>
      <c r="I290" s="1">
        <v>0.84904555568567697</v>
      </c>
      <c r="J290" s="1">
        <v>0.9175121634426</v>
      </c>
      <c r="K290" s="1">
        <v>0.87117929499941404</v>
      </c>
      <c r="L290" s="1">
        <v>0.95082455897539597</v>
      </c>
    </row>
    <row r="291" spans="1:12" x14ac:dyDescent="0.3">
      <c r="A291" t="s">
        <v>57</v>
      </c>
      <c r="B291" t="s">
        <v>687</v>
      </c>
      <c r="C291" t="s">
        <v>580</v>
      </c>
      <c r="D291" t="s">
        <v>581</v>
      </c>
      <c r="E291" s="2">
        <v>0.83130966947569496</v>
      </c>
      <c r="F291" s="2">
        <v>0.85209257902549596</v>
      </c>
      <c r="G291" s="2">
        <v>0.85975635483512103</v>
      </c>
      <c r="H291" s="2">
        <v>0.96791225398627501</v>
      </c>
      <c r="I291" s="1">
        <v>0.93979448192798798</v>
      </c>
      <c r="J291" s="1">
        <v>0.958434180900397</v>
      </c>
      <c r="K291" s="1">
        <v>0.95376131059004898</v>
      </c>
      <c r="L291" s="1">
        <v>0.95784156159980305</v>
      </c>
    </row>
    <row r="292" spans="1:12" x14ac:dyDescent="0.3">
      <c r="A292" t="s">
        <v>57</v>
      </c>
      <c r="B292" t="s">
        <v>202</v>
      </c>
      <c r="C292" t="s">
        <v>34</v>
      </c>
      <c r="D292" t="s">
        <v>35</v>
      </c>
      <c r="E292" s="2">
        <v>0.86386748484989795</v>
      </c>
      <c r="F292" s="2">
        <v>0.83151687608934399</v>
      </c>
      <c r="G292" s="2">
        <v>0.92902034290754698</v>
      </c>
      <c r="H292" s="2">
        <v>0.87594515854067001</v>
      </c>
      <c r="I292" s="1">
        <v>0.98799653954293098</v>
      </c>
      <c r="J292" s="1">
        <v>0.98108410691794501</v>
      </c>
      <c r="K292" s="1">
        <v>1</v>
      </c>
      <c r="L292" s="1">
        <v>0.99646532969759105</v>
      </c>
    </row>
    <row r="293" spans="1:12" x14ac:dyDescent="0.3">
      <c r="A293" t="s">
        <v>57</v>
      </c>
      <c r="B293" t="s">
        <v>203</v>
      </c>
      <c r="C293" t="s">
        <v>576</v>
      </c>
      <c r="D293" t="s">
        <v>589</v>
      </c>
      <c r="E293" s="2">
        <v>0</v>
      </c>
      <c r="F293" s="2">
        <v>0</v>
      </c>
      <c r="G293" s="2">
        <v>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3">
      <c r="A294" t="s">
        <v>57</v>
      </c>
      <c r="B294" t="s">
        <v>204</v>
      </c>
      <c r="C294" t="s">
        <v>576</v>
      </c>
      <c r="D294" t="s">
        <v>583</v>
      </c>
      <c r="E294" s="2">
        <v>0</v>
      </c>
      <c r="F294" s="2">
        <v>0</v>
      </c>
      <c r="G294" s="2">
        <v>0</v>
      </c>
      <c r="H294" s="2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x14ac:dyDescent="0.3">
      <c r="A295" t="s">
        <v>57</v>
      </c>
      <c r="B295" t="s">
        <v>205</v>
      </c>
      <c r="C295" t="s">
        <v>576</v>
      </c>
      <c r="D295" t="s">
        <v>14</v>
      </c>
      <c r="E295" s="2">
        <v>0.74128243265575899</v>
      </c>
      <c r="F295" s="2">
        <v>0.87749958684514895</v>
      </c>
      <c r="G295" s="2">
        <v>0.85700710626342702</v>
      </c>
      <c r="H295" s="2">
        <v>0.89043133366385696</v>
      </c>
      <c r="I295" s="1">
        <v>0.97624359609981803</v>
      </c>
      <c r="J295" s="1">
        <v>0.88534952900346997</v>
      </c>
      <c r="K295" s="1">
        <v>0.98710956866633603</v>
      </c>
      <c r="L295" s="1">
        <v>0.90051231201454296</v>
      </c>
    </row>
    <row r="296" spans="1:12" x14ac:dyDescent="0.3">
      <c r="A296" t="s">
        <v>57</v>
      </c>
      <c r="B296" t="s">
        <v>206</v>
      </c>
      <c r="C296" t="s">
        <v>34</v>
      </c>
      <c r="D296" t="s">
        <v>35</v>
      </c>
      <c r="E296" s="2">
        <v>0.97893003722439598</v>
      </c>
      <c r="F296" s="2">
        <v>0.97155674334255904</v>
      </c>
      <c r="G296" s="2">
        <v>0.985038656103846</v>
      </c>
      <c r="H296" s="2">
        <v>0.97158060513505695</v>
      </c>
      <c r="I296" s="1">
        <v>0.99966593490502997</v>
      </c>
      <c r="J296" s="1">
        <v>0.97785625656199304</v>
      </c>
      <c r="K296" s="1">
        <v>1</v>
      </c>
      <c r="L296" s="1">
        <v>0.99322325093060904</v>
      </c>
    </row>
    <row r="297" spans="1:12" x14ac:dyDescent="0.3">
      <c r="A297" t="s">
        <v>57</v>
      </c>
      <c r="B297" t="s">
        <v>207</v>
      </c>
      <c r="C297" t="s">
        <v>576</v>
      </c>
      <c r="D297" t="s">
        <v>577</v>
      </c>
      <c r="E297" s="2">
        <v>0</v>
      </c>
      <c r="F297" s="2">
        <v>0</v>
      </c>
      <c r="G297" s="2">
        <v>0</v>
      </c>
      <c r="H297" s="2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3">
      <c r="A298" t="s">
        <v>57</v>
      </c>
      <c r="B298" t="s">
        <v>208</v>
      </c>
      <c r="C298" t="s">
        <v>580</v>
      </c>
      <c r="D298" t="s">
        <v>581</v>
      </c>
      <c r="E298" s="2">
        <v>0.69385026737967903</v>
      </c>
      <c r="F298" s="2">
        <v>0.72467757156338397</v>
      </c>
      <c r="G298" s="2">
        <v>0.766278703994967</v>
      </c>
      <c r="H298" s="2">
        <v>0.85954702736709598</v>
      </c>
      <c r="I298" s="1">
        <v>0.78216420257942698</v>
      </c>
      <c r="J298" s="1">
        <v>0.916011324315822</v>
      </c>
      <c r="K298" s="1">
        <v>0.85671594841145005</v>
      </c>
      <c r="L298" s="1">
        <v>0.97955331865366402</v>
      </c>
    </row>
    <row r="299" spans="1:12" x14ac:dyDescent="0.3">
      <c r="A299" t="s">
        <v>57</v>
      </c>
      <c r="B299" t="s">
        <v>209</v>
      </c>
      <c r="C299" t="s">
        <v>576</v>
      </c>
      <c r="D299" t="s">
        <v>583</v>
      </c>
      <c r="E299" s="2">
        <v>0.81021410872741895</v>
      </c>
      <c r="F299" s="2">
        <v>0.85039214440514699</v>
      </c>
      <c r="G299" s="2">
        <v>0.93381901353268804</v>
      </c>
      <c r="H299" s="2">
        <v>0.98948163521746102</v>
      </c>
      <c r="I299" s="1">
        <v>0.99722569304729003</v>
      </c>
      <c r="J299" s="1">
        <v>0.99926230260417703</v>
      </c>
      <c r="K299" s="1">
        <v>1</v>
      </c>
      <c r="L299" s="1">
        <v>1</v>
      </c>
    </row>
    <row r="300" spans="1:12" x14ac:dyDescent="0.3">
      <c r="A300" t="s">
        <v>57</v>
      </c>
      <c r="B300" t="s">
        <v>210</v>
      </c>
      <c r="C300" t="s">
        <v>576</v>
      </c>
      <c r="D300" t="s">
        <v>583</v>
      </c>
      <c r="E300" s="2">
        <v>0.77541822953064099</v>
      </c>
      <c r="F300" s="2">
        <v>0.85898212986864797</v>
      </c>
      <c r="G300" s="2">
        <v>0.906905600638932</v>
      </c>
      <c r="H300" s="2">
        <v>0.98806994024273698</v>
      </c>
      <c r="I300" s="1">
        <v>0.99794272430366304</v>
      </c>
      <c r="J300" s="1">
        <v>1</v>
      </c>
      <c r="K300" s="1">
        <v>1</v>
      </c>
      <c r="L300" s="1">
        <v>1</v>
      </c>
    </row>
    <row r="301" spans="1:12" x14ac:dyDescent="0.3">
      <c r="A301" t="s">
        <v>57</v>
      </c>
      <c r="B301" t="s">
        <v>211</v>
      </c>
      <c r="C301" t="s">
        <v>580</v>
      </c>
      <c r="D301" t="s">
        <v>581</v>
      </c>
      <c r="E301" s="2">
        <v>0.72314640327506596</v>
      </c>
      <c r="F301" s="2">
        <v>0.72369874585742999</v>
      </c>
      <c r="G301" s="2">
        <v>0.92777308467086805</v>
      </c>
      <c r="H301" s="2">
        <v>0.81688218857625505</v>
      </c>
      <c r="I301" s="1">
        <v>0.92722074208850402</v>
      </c>
      <c r="J301" s="1">
        <v>0.91497173305607904</v>
      </c>
      <c r="K301" s="1">
        <v>0.94489570472415296</v>
      </c>
      <c r="L301" s="1">
        <v>0.99941516667749597</v>
      </c>
    </row>
    <row r="302" spans="1:12" x14ac:dyDescent="0.3">
      <c r="A302" t="s">
        <v>57</v>
      </c>
      <c r="B302" t="s">
        <v>212</v>
      </c>
      <c r="C302" t="s">
        <v>576</v>
      </c>
      <c r="D302" t="s">
        <v>583</v>
      </c>
      <c r="E302" s="2">
        <v>0</v>
      </c>
      <c r="F302" s="2">
        <v>0</v>
      </c>
      <c r="G302" s="2">
        <v>0</v>
      </c>
      <c r="H302" s="2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3">
      <c r="A303" t="s">
        <v>57</v>
      </c>
      <c r="B303" t="s">
        <v>213</v>
      </c>
      <c r="C303" t="s">
        <v>580</v>
      </c>
      <c r="D303" t="s">
        <v>581</v>
      </c>
      <c r="E303" s="2">
        <v>0.81127903452456396</v>
      </c>
      <c r="F303" s="2">
        <v>0.81787810321549603</v>
      </c>
      <c r="G303" s="2">
        <v>0.88241534180144898</v>
      </c>
      <c r="H303" s="2">
        <v>0.89750089548948797</v>
      </c>
      <c r="I303" s="1">
        <v>0.86902432976055899</v>
      </c>
      <c r="J303" s="1">
        <v>0.95572148899236697</v>
      </c>
      <c r="K303" s="1">
        <v>0.83312208965916201</v>
      </c>
      <c r="L303" s="1">
        <v>0.97826715895627203</v>
      </c>
    </row>
    <row r="304" spans="1:12" x14ac:dyDescent="0.3">
      <c r="A304" t="s">
        <v>57</v>
      </c>
      <c r="B304" t="s">
        <v>214</v>
      </c>
      <c r="C304" t="s">
        <v>576</v>
      </c>
      <c r="D304" t="s">
        <v>589</v>
      </c>
      <c r="E304" s="2">
        <v>0</v>
      </c>
      <c r="F304" s="2">
        <v>0</v>
      </c>
      <c r="G304" s="2">
        <v>0</v>
      </c>
      <c r="H304" s="2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3">
      <c r="A305" t="s">
        <v>57</v>
      </c>
      <c r="B305" t="s">
        <v>215</v>
      </c>
      <c r="C305" t="s">
        <v>574</v>
      </c>
      <c r="D305" t="s">
        <v>575</v>
      </c>
      <c r="E305" s="2">
        <v>0.72623284132263499</v>
      </c>
      <c r="F305" s="2">
        <v>0.70684356386036395</v>
      </c>
      <c r="G305" s="2">
        <v>0.88225518199325803</v>
      </c>
      <c r="H305" s="2">
        <v>0.83440660110003395</v>
      </c>
      <c r="I305" s="1">
        <v>0.99900688248333003</v>
      </c>
      <c r="J305" s="1">
        <v>0.98458207422882404</v>
      </c>
      <c r="K305" s="1">
        <v>0.99993960771858004</v>
      </c>
      <c r="L305" s="1">
        <v>0.99970698559755899</v>
      </c>
    </row>
    <row r="306" spans="1:12" x14ac:dyDescent="0.3">
      <c r="A306" t="s">
        <v>57</v>
      </c>
      <c r="B306" t="s">
        <v>216</v>
      </c>
      <c r="C306" t="s">
        <v>576</v>
      </c>
      <c r="D306" t="s">
        <v>589</v>
      </c>
      <c r="E306" s="2">
        <v>0</v>
      </c>
      <c r="F306" s="2">
        <v>0</v>
      </c>
      <c r="G306" s="2">
        <v>0</v>
      </c>
      <c r="H306" s="2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 x14ac:dyDescent="0.3">
      <c r="A307" t="s">
        <v>57</v>
      </c>
      <c r="B307" t="s">
        <v>217</v>
      </c>
      <c r="C307" t="s">
        <v>574</v>
      </c>
      <c r="D307" t="s">
        <v>575</v>
      </c>
      <c r="E307" s="2">
        <v>0.75661599721038097</v>
      </c>
      <c r="F307" s="2">
        <v>0.73003033641954096</v>
      </c>
      <c r="G307" s="2">
        <v>0.83185412416928295</v>
      </c>
      <c r="H307" s="2">
        <v>0.86144589778604597</v>
      </c>
      <c r="I307" s="1">
        <v>0.893672310930967</v>
      </c>
      <c r="J307" s="1">
        <v>0.88917486706149995</v>
      </c>
      <c r="K307" s="1">
        <v>0.89550146856003598</v>
      </c>
      <c r="L307" s="1">
        <v>0.89237980136884298</v>
      </c>
    </row>
    <row r="308" spans="1:12" x14ac:dyDescent="0.3">
      <c r="A308" t="s">
        <v>57</v>
      </c>
      <c r="B308" t="s">
        <v>218</v>
      </c>
      <c r="C308" t="s">
        <v>580</v>
      </c>
      <c r="D308" t="s">
        <v>581</v>
      </c>
      <c r="E308" s="2">
        <v>0.948697761511618</v>
      </c>
      <c r="F308" s="2">
        <v>0.95582602774704195</v>
      </c>
      <c r="G308" s="2">
        <v>0.948697761511618</v>
      </c>
      <c r="H308" s="2">
        <v>0.95582602774704195</v>
      </c>
      <c r="I308" s="1">
        <v>0.980083411354157</v>
      </c>
      <c r="J308" s="1">
        <v>0.97808324112690403</v>
      </c>
      <c r="K308" s="1">
        <v>0.97961528640735296</v>
      </c>
      <c r="L308" s="1">
        <v>0.97150821346497496</v>
      </c>
    </row>
    <row r="309" spans="1:12" x14ac:dyDescent="0.3">
      <c r="A309" t="s">
        <v>57</v>
      </c>
      <c r="B309" t="s">
        <v>688</v>
      </c>
      <c r="C309" t="s">
        <v>576</v>
      </c>
      <c r="D309" t="s">
        <v>583</v>
      </c>
      <c r="E309" s="2">
        <v>0.85909752649679605</v>
      </c>
      <c r="F309" s="2">
        <v>0.90497373177576002</v>
      </c>
      <c r="G309" s="2">
        <v>0.93881648814589203</v>
      </c>
      <c r="H309" s="2">
        <v>0.99418723230674999</v>
      </c>
      <c r="I309" s="1">
        <v>1</v>
      </c>
      <c r="J309" s="1">
        <v>0.99978549375118597</v>
      </c>
      <c r="K309" s="1">
        <v>1</v>
      </c>
      <c r="L309" s="1">
        <v>1</v>
      </c>
    </row>
    <row r="310" spans="1:12" x14ac:dyDescent="0.3">
      <c r="A310" t="s">
        <v>57</v>
      </c>
      <c r="B310" t="s">
        <v>219</v>
      </c>
      <c r="C310" t="s">
        <v>576</v>
      </c>
      <c r="D310" t="s">
        <v>589</v>
      </c>
      <c r="E310" s="2">
        <v>0</v>
      </c>
      <c r="F310" s="2">
        <v>0</v>
      </c>
      <c r="G310" s="2">
        <v>0</v>
      </c>
      <c r="H310" s="2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 x14ac:dyDescent="0.3">
      <c r="A311" t="s">
        <v>57</v>
      </c>
      <c r="B311" t="s">
        <v>220</v>
      </c>
      <c r="C311" t="s">
        <v>580</v>
      </c>
      <c r="D311" t="s">
        <v>581</v>
      </c>
      <c r="E311" s="2">
        <v>0.94802322068280898</v>
      </c>
      <c r="F311" s="2">
        <v>0.91628900686261805</v>
      </c>
      <c r="G311" s="2">
        <v>0.95856532435581998</v>
      </c>
      <c r="H311" s="2">
        <v>0.83235681298286501</v>
      </c>
      <c r="I311" s="1">
        <v>0.95286805645474504</v>
      </c>
      <c r="J311" s="1">
        <v>0.80821895636410701</v>
      </c>
      <c r="K311" s="1">
        <v>0.97538737105615203</v>
      </c>
      <c r="L311" s="1">
        <v>0.80244615650222195</v>
      </c>
    </row>
    <row r="312" spans="1:12" x14ac:dyDescent="0.3">
      <c r="A312" t="s">
        <v>57</v>
      </c>
      <c r="B312" t="s">
        <v>221</v>
      </c>
      <c r="C312" t="s">
        <v>580</v>
      </c>
      <c r="D312" t="s">
        <v>581</v>
      </c>
      <c r="E312" s="2">
        <v>0.59843599571306605</v>
      </c>
      <c r="F312" s="2">
        <v>0.56139761312237701</v>
      </c>
      <c r="G312" s="2">
        <v>0.71645383371782501</v>
      </c>
      <c r="H312" s="2">
        <v>0.62071533668779799</v>
      </c>
      <c r="I312" s="1">
        <v>0.80503533087500601</v>
      </c>
      <c r="J312" s="1">
        <v>0.651722947812028</v>
      </c>
      <c r="K312" s="1">
        <v>0.774672576338304</v>
      </c>
      <c r="L312" s="1">
        <v>0.72003233365424801</v>
      </c>
    </row>
    <row r="313" spans="1:12" x14ac:dyDescent="0.3">
      <c r="A313" t="s">
        <v>57</v>
      </c>
      <c r="B313" t="s">
        <v>689</v>
      </c>
      <c r="C313" t="s">
        <v>576</v>
      </c>
      <c r="D313" t="s">
        <v>589</v>
      </c>
      <c r="E313" s="2">
        <v>0</v>
      </c>
      <c r="F313" s="2">
        <v>0</v>
      </c>
      <c r="G313" s="2">
        <v>0</v>
      </c>
      <c r="H313" s="2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 x14ac:dyDescent="0.3">
      <c r="A314" t="s">
        <v>57</v>
      </c>
      <c r="B314" t="s">
        <v>690</v>
      </c>
      <c r="C314" t="s">
        <v>576</v>
      </c>
      <c r="D314" t="s">
        <v>583</v>
      </c>
      <c r="E314" s="2">
        <v>0.93210662092719199</v>
      </c>
      <c r="F314" s="2">
        <v>0.80053877596187695</v>
      </c>
      <c r="G314" s="2">
        <v>0.99582258432639104</v>
      </c>
      <c r="H314" s="2">
        <v>0.99967493619758296</v>
      </c>
      <c r="I314" s="1">
        <v>1</v>
      </c>
      <c r="J314" s="1">
        <v>0.99967493619758296</v>
      </c>
      <c r="K314" s="1">
        <v>1</v>
      </c>
      <c r="L314" s="1">
        <v>1</v>
      </c>
    </row>
    <row r="315" spans="1:12" x14ac:dyDescent="0.3">
      <c r="A315" t="s">
        <v>57</v>
      </c>
      <c r="B315" t="s">
        <v>222</v>
      </c>
      <c r="C315" t="s">
        <v>34</v>
      </c>
      <c r="D315" t="s">
        <v>35</v>
      </c>
      <c r="E315" s="2">
        <v>0.62772739066508998</v>
      </c>
      <c r="F315" s="2">
        <v>0.62778620232363702</v>
      </c>
      <c r="G315" s="2">
        <v>0.73734136708276798</v>
      </c>
      <c r="H315" s="2">
        <v>0.73752702741661103</v>
      </c>
      <c r="I315" s="1">
        <v>0.92179952143454302</v>
      </c>
      <c r="J315" s="1">
        <v>0.90492115201660495</v>
      </c>
      <c r="K315" s="1">
        <v>0.99060570242453905</v>
      </c>
      <c r="L315" s="1">
        <v>0.99486147548072701</v>
      </c>
    </row>
    <row r="316" spans="1:12" x14ac:dyDescent="0.3">
      <c r="A316" t="s">
        <v>57</v>
      </c>
      <c r="B316" t="s">
        <v>223</v>
      </c>
      <c r="C316" t="s">
        <v>574</v>
      </c>
      <c r="D316" t="s">
        <v>575</v>
      </c>
      <c r="E316" s="2">
        <v>0.99673362730687498</v>
      </c>
      <c r="F316" s="2">
        <v>0.99673362730687498</v>
      </c>
      <c r="G316" s="2">
        <v>0.99673362730687498</v>
      </c>
      <c r="H316" s="2">
        <v>0.99673362730687498</v>
      </c>
      <c r="I316" s="1">
        <v>0.99673362730687498</v>
      </c>
      <c r="J316" s="1">
        <v>0.99673362730687498</v>
      </c>
      <c r="K316" s="1">
        <v>0.99673362730687498</v>
      </c>
      <c r="L316" s="1">
        <v>0.99673362730687498</v>
      </c>
    </row>
    <row r="317" spans="1:12" x14ac:dyDescent="0.3">
      <c r="A317" t="s">
        <v>57</v>
      </c>
      <c r="B317" t="s">
        <v>224</v>
      </c>
      <c r="C317" t="s">
        <v>576</v>
      </c>
      <c r="D317" t="s">
        <v>591</v>
      </c>
      <c r="E317" s="2">
        <v>0.69178082191780799</v>
      </c>
      <c r="F317" s="2">
        <v>0.79427397260273902</v>
      </c>
      <c r="G317" s="2">
        <v>0.69178082191780799</v>
      </c>
      <c r="H317" s="2">
        <v>0.79452054794520499</v>
      </c>
      <c r="I317" s="1">
        <v>0.69178082191780799</v>
      </c>
      <c r="J317" s="1">
        <v>0.79452054794520499</v>
      </c>
      <c r="K317" s="1">
        <v>0.69178082191780799</v>
      </c>
      <c r="L317" s="1">
        <v>0.79452054794520499</v>
      </c>
    </row>
    <row r="318" spans="1:12" x14ac:dyDescent="0.3">
      <c r="A318" t="s">
        <v>57</v>
      </c>
      <c r="B318" t="s">
        <v>225</v>
      </c>
      <c r="C318" t="s">
        <v>576</v>
      </c>
      <c r="D318" t="s">
        <v>591</v>
      </c>
      <c r="E318" s="2">
        <v>0.85870000000000002</v>
      </c>
      <c r="F318" s="2">
        <v>0.89964999999999995</v>
      </c>
      <c r="G318" s="2">
        <v>0.99965000000000004</v>
      </c>
      <c r="H318" s="2">
        <v>0.89964999999999995</v>
      </c>
      <c r="I318" s="1">
        <v>0.99965000000000004</v>
      </c>
      <c r="J318" s="1">
        <v>0.89964999999999995</v>
      </c>
      <c r="K318" s="1">
        <v>0.99965000000000004</v>
      </c>
      <c r="L318" s="1">
        <v>0.89964999999999995</v>
      </c>
    </row>
    <row r="319" spans="1:12" x14ac:dyDescent="0.3">
      <c r="A319" t="s">
        <v>57</v>
      </c>
      <c r="B319" t="s">
        <v>226</v>
      </c>
      <c r="C319" t="s">
        <v>580</v>
      </c>
      <c r="D319" t="s">
        <v>581</v>
      </c>
      <c r="E319" s="2">
        <v>0.86709574468085104</v>
      </c>
      <c r="F319" s="2">
        <v>0.85113829787233997</v>
      </c>
      <c r="G319" s="2">
        <v>0.87241489361702096</v>
      </c>
      <c r="H319" s="2">
        <v>0.83631914893616999</v>
      </c>
      <c r="I319" s="1">
        <v>0.85468439716311995</v>
      </c>
      <c r="J319" s="1">
        <v>0.83631914893616999</v>
      </c>
      <c r="K319" s="1">
        <v>0.79440070921985795</v>
      </c>
      <c r="L319" s="1">
        <v>0.80972340425531897</v>
      </c>
    </row>
    <row r="320" spans="1:12" x14ac:dyDescent="0.3">
      <c r="A320" t="s">
        <v>57</v>
      </c>
      <c r="B320" t="s">
        <v>227</v>
      </c>
      <c r="C320" t="s">
        <v>34</v>
      </c>
      <c r="D320" t="s">
        <v>35</v>
      </c>
      <c r="E320" s="2">
        <v>0.93537999999999999</v>
      </c>
      <c r="F320" s="2">
        <v>0.90537999999999996</v>
      </c>
      <c r="G320" s="2">
        <v>0.93537999999999999</v>
      </c>
      <c r="H320" s="2">
        <v>0.95</v>
      </c>
      <c r="I320" s="1">
        <v>0.97</v>
      </c>
      <c r="J320" s="1">
        <v>0.96</v>
      </c>
      <c r="K320" s="1">
        <v>1</v>
      </c>
      <c r="L320" s="1">
        <v>1</v>
      </c>
    </row>
    <row r="321" spans="1:12" x14ac:dyDescent="0.3">
      <c r="A321" t="s">
        <v>57</v>
      </c>
      <c r="B321" t="s">
        <v>228</v>
      </c>
      <c r="C321" t="s">
        <v>574</v>
      </c>
      <c r="D321" t="s">
        <v>575</v>
      </c>
      <c r="E321" s="2">
        <v>0.76865625000000004</v>
      </c>
      <c r="F321" s="2">
        <v>0.87437500000000001</v>
      </c>
      <c r="G321" s="2">
        <v>0.87437500000000001</v>
      </c>
      <c r="H321" s="2">
        <v>0.87437500000000001</v>
      </c>
      <c r="I321" s="1">
        <v>0.87437500000000001</v>
      </c>
      <c r="J321" s="1">
        <v>0.87437500000000001</v>
      </c>
      <c r="K321" s="1">
        <v>0.87437500000000001</v>
      </c>
      <c r="L321" s="1">
        <v>0.87437500000000001</v>
      </c>
    </row>
    <row r="322" spans="1:12" x14ac:dyDescent="0.3">
      <c r="A322" t="s">
        <v>57</v>
      </c>
      <c r="B322" t="s">
        <v>229</v>
      </c>
      <c r="C322" t="s">
        <v>576</v>
      </c>
      <c r="D322" t="s">
        <v>591</v>
      </c>
      <c r="E322" s="2">
        <v>0.81603225806451596</v>
      </c>
      <c r="F322" s="2">
        <v>0.81603225806451596</v>
      </c>
      <c r="G322" s="2">
        <v>0.82678494623655896</v>
      </c>
      <c r="H322" s="2">
        <v>0.81603225806451596</v>
      </c>
      <c r="I322" s="1">
        <v>0.81603225806451596</v>
      </c>
      <c r="J322" s="1">
        <v>0.81603225806451596</v>
      </c>
      <c r="K322" s="1">
        <v>0.81603225806451596</v>
      </c>
      <c r="L322" s="1">
        <v>0.81603225806451596</v>
      </c>
    </row>
    <row r="323" spans="1:12" x14ac:dyDescent="0.3">
      <c r="A323" t="s">
        <v>57</v>
      </c>
      <c r="B323" t="s">
        <v>230</v>
      </c>
      <c r="C323" t="s">
        <v>34</v>
      </c>
      <c r="D323" t="s">
        <v>35</v>
      </c>
      <c r="E323" s="2">
        <v>0.69423677138690998</v>
      </c>
      <c r="F323" s="2">
        <v>0.81590024462841704</v>
      </c>
      <c r="G323" s="2">
        <v>0.73130098935926602</v>
      </c>
      <c r="H323" s="2">
        <v>0.930997312702601</v>
      </c>
      <c r="I323" s="1">
        <v>0.90196847547087899</v>
      </c>
      <c r="J323" s="1">
        <v>0.98082137305231099</v>
      </c>
      <c r="K323" s="1">
        <v>0.99505079353602499</v>
      </c>
      <c r="L323" s="1">
        <v>0.98781798681657595</v>
      </c>
    </row>
    <row r="324" spans="1:12" x14ac:dyDescent="0.3">
      <c r="A324" t="s">
        <v>57</v>
      </c>
      <c r="B324" t="s">
        <v>231</v>
      </c>
      <c r="C324" t="s">
        <v>580</v>
      </c>
      <c r="D324" t="s">
        <v>581</v>
      </c>
      <c r="E324" s="2">
        <v>0.74916791044776099</v>
      </c>
      <c r="F324" s="2">
        <v>0.99171641791044696</v>
      </c>
      <c r="G324" s="2">
        <v>0.83686940298507395</v>
      </c>
      <c r="H324" s="2">
        <v>0.995447761194029</v>
      </c>
      <c r="I324" s="1">
        <v>0.82194029850746197</v>
      </c>
      <c r="J324" s="1">
        <v>0.99171641791044696</v>
      </c>
      <c r="K324" s="1">
        <v>0.80514925373134305</v>
      </c>
      <c r="L324" s="1">
        <v>0.95626865671641703</v>
      </c>
    </row>
    <row r="325" spans="1:12" x14ac:dyDescent="0.3">
      <c r="A325" t="s">
        <v>57</v>
      </c>
      <c r="B325" t="s">
        <v>232</v>
      </c>
      <c r="C325" t="s">
        <v>34</v>
      </c>
      <c r="D325" t="s">
        <v>35</v>
      </c>
      <c r="E325" s="2">
        <v>0.85812142857142804</v>
      </c>
      <c r="F325" s="2">
        <v>0.83312142857142801</v>
      </c>
      <c r="G325" s="2">
        <v>0.875</v>
      </c>
      <c r="H325" s="2">
        <v>0.93571428571428505</v>
      </c>
      <c r="I325" s="1">
        <v>0.95714285714285696</v>
      </c>
      <c r="J325" s="1">
        <v>0.94655</v>
      </c>
      <c r="K325" s="1">
        <v>1</v>
      </c>
      <c r="L325" s="1">
        <v>0.98928571428571399</v>
      </c>
    </row>
    <row r="326" spans="1:12" x14ac:dyDescent="0.3">
      <c r="A326" t="s">
        <v>57</v>
      </c>
      <c r="B326" t="s">
        <v>233</v>
      </c>
      <c r="C326" t="s">
        <v>574</v>
      </c>
      <c r="D326" t="s">
        <v>575</v>
      </c>
      <c r="E326" s="2">
        <v>0.91928205128205098</v>
      </c>
      <c r="F326" s="2">
        <v>0.91928205128205098</v>
      </c>
      <c r="G326" s="2">
        <v>0.91928205128205098</v>
      </c>
      <c r="H326" s="2">
        <v>0.92569230769230704</v>
      </c>
      <c r="I326" s="1">
        <v>0.91928205128205098</v>
      </c>
      <c r="J326" s="1">
        <v>0.93210256410256398</v>
      </c>
      <c r="K326" s="1">
        <v>0.92569230769230704</v>
      </c>
      <c r="L326" s="1">
        <v>0.93273076923076903</v>
      </c>
    </row>
    <row r="327" spans="1:12" x14ac:dyDescent="0.3">
      <c r="A327" t="s">
        <v>57</v>
      </c>
      <c r="B327" t="s">
        <v>234</v>
      </c>
      <c r="C327" t="s">
        <v>576</v>
      </c>
      <c r="D327" t="s">
        <v>591</v>
      </c>
      <c r="E327" s="2">
        <v>0.74975000000000003</v>
      </c>
      <c r="F327" s="2">
        <v>0.75</v>
      </c>
      <c r="G327" s="2">
        <v>0.75</v>
      </c>
      <c r="H327" s="2">
        <v>0.75</v>
      </c>
      <c r="I327" s="1">
        <v>0.75</v>
      </c>
      <c r="J327" s="1">
        <v>0.75</v>
      </c>
      <c r="K327" s="1">
        <v>0.75</v>
      </c>
      <c r="L327" s="1">
        <v>0.75</v>
      </c>
    </row>
    <row r="328" spans="1:12" x14ac:dyDescent="0.3">
      <c r="A328" t="s">
        <v>57</v>
      </c>
      <c r="B328" t="s">
        <v>235</v>
      </c>
      <c r="C328" t="s">
        <v>574</v>
      </c>
      <c r="D328" t="s">
        <v>575</v>
      </c>
      <c r="E328" s="2">
        <v>0.83823529411764697</v>
      </c>
      <c r="F328" s="2">
        <v>0.83529411764705797</v>
      </c>
      <c r="G328" s="2">
        <v>0.84117647058823497</v>
      </c>
      <c r="H328" s="2">
        <v>0.84117647058823497</v>
      </c>
      <c r="I328" s="1">
        <v>0.83529411764705797</v>
      </c>
      <c r="J328" s="1">
        <v>0.84117647058823497</v>
      </c>
      <c r="K328" s="1">
        <v>0.84117647058823497</v>
      </c>
      <c r="L328" s="1">
        <v>0.841464705882353</v>
      </c>
    </row>
    <row r="329" spans="1:12" x14ac:dyDescent="0.3">
      <c r="A329" t="s">
        <v>57</v>
      </c>
      <c r="B329" t="s">
        <v>236</v>
      </c>
      <c r="C329" t="s">
        <v>574</v>
      </c>
      <c r="D329" t="s">
        <v>575</v>
      </c>
      <c r="E329" s="2">
        <v>0.84248837209302296</v>
      </c>
      <c r="F329" s="2">
        <v>0.84248837209302296</v>
      </c>
      <c r="G329" s="2">
        <v>0.84248837209302296</v>
      </c>
      <c r="H329" s="2">
        <v>0.84248837209302296</v>
      </c>
      <c r="I329" s="1">
        <v>0.84248837209302296</v>
      </c>
      <c r="J329" s="1">
        <v>0.84248837209302296</v>
      </c>
      <c r="K329" s="1">
        <v>0.84248837209302296</v>
      </c>
      <c r="L329" s="1">
        <v>0.84248837209302296</v>
      </c>
    </row>
    <row r="330" spans="1:12" x14ac:dyDescent="0.3">
      <c r="A330" t="s">
        <v>57</v>
      </c>
      <c r="B330" t="s">
        <v>237</v>
      </c>
      <c r="C330" t="s">
        <v>576</v>
      </c>
      <c r="D330" t="s">
        <v>591</v>
      </c>
      <c r="E330" s="2">
        <v>0.75306329113923998</v>
      </c>
      <c r="F330" s="2">
        <v>0.74335443037974602</v>
      </c>
      <c r="G330" s="2">
        <v>0.75306329113923998</v>
      </c>
      <c r="H330" s="2">
        <v>0.74335443037974602</v>
      </c>
      <c r="I330" s="1">
        <v>0.75306329113923998</v>
      </c>
      <c r="J330" s="1">
        <v>0.74335443037974602</v>
      </c>
      <c r="K330" s="1">
        <v>0.75306329113923998</v>
      </c>
      <c r="L330" s="1">
        <v>0.74335443037974602</v>
      </c>
    </row>
    <row r="331" spans="1:12" x14ac:dyDescent="0.3">
      <c r="A331" t="s">
        <v>57</v>
      </c>
      <c r="B331" t="s">
        <v>238</v>
      </c>
      <c r="C331" t="s">
        <v>580</v>
      </c>
      <c r="D331" t="s">
        <v>581</v>
      </c>
      <c r="E331" s="2">
        <v>0.65754999999999997</v>
      </c>
      <c r="F331" s="2">
        <v>0.7</v>
      </c>
      <c r="G331" s="2">
        <v>0.65754999999999997</v>
      </c>
      <c r="H331" s="2">
        <v>0.72482500000000005</v>
      </c>
      <c r="I331" s="1">
        <v>0.66762499999999902</v>
      </c>
      <c r="J331" s="1">
        <v>0.72499999999999998</v>
      </c>
      <c r="K331" s="1">
        <v>0.66762499999999902</v>
      </c>
      <c r="L331" s="1">
        <v>0.75</v>
      </c>
    </row>
    <row r="332" spans="1:12" x14ac:dyDescent="0.3">
      <c r="A332" t="s">
        <v>57</v>
      </c>
      <c r="B332" t="s">
        <v>239</v>
      </c>
      <c r="C332" t="s">
        <v>576</v>
      </c>
      <c r="D332" t="s">
        <v>591</v>
      </c>
      <c r="E332" s="2">
        <v>0.84615384615384603</v>
      </c>
      <c r="F332" s="2">
        <v>0.84615384615384603</v>
      </c>
      <c r="G332" s="2">
        <v>0.84615384615384603</v>
      </c>
      <c r="H332" s="2">
        <v>0.84615384615384603</v>
      </c>
      <c r="I332" s="1">
        <v>0.84615384615384603</v>
      </c>
      <c r="J332" s="1">
        <v>0.84615384615384603</v>
      </c>
      <c r="K332" s="1">
        <v>0.84615384615384603</v>
      </c>
      <c r="L332" s="1">
        <v>0.84615384615384603</v>
      </c>
    </row>
    <row r="333" spans="1:12" x14ac:dyDescent="0.3">
      <c r="A333" t="s">
        <v>57</v>
      </c>
      <c r="B333" t="s">
        <v>240</v>
      </c>
      <c r="C333" t="s">
        <v>34</v>
      </c>
      <c r="D333" t="s">
        <v>35</v>
      </c>
      <c r="E333" s="2">
        <v>0.68372790561255503</v>
      </c>
      <c r="F333" s="2">
        <v>0.71810863558049498</v>
      </c>
      <c r="G333" s="2">
        <v>0.73785569611847102</v>
      </c>
      <c r="H333" s="2">
        <v>0.79297591245992405</v>
      </c>
      <c r="I333" s="1">
        <v>0.90834080419696495</v>
      </c>
      <c r="J333" s="1">
        <v>0.912616720715136</v>
      </c>
      <c r="K333" s="1">
        <v>0.98972341202642999</v>
      </c>
      <c r="L333" s="1">
        <v>0.98544749550825805</v>
      </c>
    </row>
    <row r="334" spans="1:12" x14ac:dyDescent="0.3">
      <c r="A334" t="s">
        <v>57</v>
      </c>
      <c r="B334" t="s">
        <v>241</v>
      </c>
      <c r="C334" t="s">
        <v>34</v>
      </c>
      <c r="D334" t="s">
        <v>35</v>
      </c>
      <c r="E334" s="2">
        <v>0.95508632594264498</v>
      </c>
      <c r="F334" s="2">
        <v>0.94779435989821703</v>
      </c>
      <c r="G334" s="2">
        <v>0.96503676650988002</v>
      </c>
      <c r="H334" s="2">
        <v>0.95076827635517303</v>
      </c>
      <c r="I334" s="1">
        <v>0.98908220416803905</v>
      </c>
      <c r="J334" s="1">
        <v>0.96664376791885398</v>
      </c>
      <c r="K334" s="1">
        <v>1</v>
      </c>
      <c r="L334" s="1">
        <v>0.98978844360949603</v>
      </c>
    </row>
    <row r="335" spans="1:12" x14ac:dyDescent="0.3">
      <c r="A335" t="s">
        <v>57</v>
      </c>
      <c r="B335" t="s">
        <v>242</v>
      </c>
      <c r="C335" t="s">
        <v>34</v>
      </c>
      <c r="D335" t="s">
        <v>35</v>
      </c>
      <c r="E335" s="2">
        <v>0.65925480519372504</v>
      </c>
      <c r="F335" s="2">
        <v>0.70594511497956502</v>
      </c>
      <c r="G335" s="2">
        <v>0.73904825358284698</v>
      </c>
      <c r="H335" s="2">
        <v>0.77634177473068799</v>
      </c>
      <c r="I335" s="1">
        <v>0.91096775333546698</v>
      </c>
      <c r="J335" s="1">
        <v>0.91520231081693404</v>
      </c>
      <c r="K335" s="1">
        <v>0.98991772028222003</v>
      </c>
      <c r="L335" s="1">
        <v>0.98712638397478802</v>
      </c>
    </row>
    <row r="336" spans="1:12" x14ac:dyDescent="0.3">
      <c r="A336" t="s">
        <v>57</v>
      </c>
      <c r="B336" t="s">
        <v>243</v>
      </c>
      <c r="C336" t="s">
        <v>34</v>
      </c>
      <c r="D336" t="s">
        <v>35</v>
      </c>
      <c r="E336" s="2">
        <v>0.85006781133963505</v>
      </c>
      <c r="F336" s="2">
        <v>0.81995101782845703</v>
      </c>
      <c r="G336" s="2">
        <v>0.88006939140968499</v>
      </c>
      <c r="H336" s="2">
        <v>0.83169126747952404</v>
      </c>
      <c r="I336" s="1">
        <v>0.964326626813788</v>
      </c>
      <c r="J336" s="1">
        <v>0.88092690859294698</v>
      </c>
      <c r="K336" s="1">
        <v>1</v>
      </c>
      <c r="L336" s="1">
        <v>0.95767551944802898</v>
      </c>
    </row>
    <row r="337" spans="1:12" x14ac:dyDescent="0.3">
      <c r="A337" t="s">
        <v>57</v>
      </c>
      <c r="B337" t="s">
        <v>244</v>
      </c>
      <c r="C337" t="s">
        <v>580</v>
      </c>
      <c r="D337" t="s">
        <v>581</v>
      </c>
      <c r="E337" s="2">
        <v>0.72545296167247297</v>
      </c>
      <c r="F337" s="2">
        <v>0.788717770034843</v>
      </c>
      <c r="G337" s="2">
        <v>0.80265505226480804</v>
      </c>
      <c r="H337" s="2">
        <v>0.79045993031358897</v>
      </c>
      <c r="I337" s="1">
        <v>0.79568641114982497</v>
      </c>
      <c r="J337" s="1">
        <v>0.788717770034843</v>
      </c>
      <c r="K337" s="1">
        <v>0.79066202090592297</v>
      </c>
      <c r="L337" s="1">
        <v>0.76781184668989499</v>
      </c>
    </row>
    <row r="338" spans="1:12" x14ac:dyDescent="0.3">
      <c r="A338" t="s">
        <v>57</v>
      </c>
      <c r="B338" t="s">
        <v>245</v>
      </c>
      <c r="C338" t="s">
        <v>34</v>
      </c>
      <c r="D338" t="s">
        <v>35</v>
      </c>
      <c r="E338" s="2">
        <v>1</v>
      </c>
      <c r="F338" s="2">
        <v>1</v>
      </c>
      <c r="G338" s="2">
        <v>1</v>
      </c>
      <c r="H338" s="2">
        <v>1</v>
      </c>
      <c r="I338" s="1">
        <v>1</v>
      </c>
      <c r="J338" s="1">
        <v>1</v>
      </c>
      <c r="K338" s="1">
        <v>1</v>
      </c>
      <c r="L338" s="1">
        <v>1</v>
      </c>
    </row>
    <row r="339" spans="1:12" x14ac:dyDescent="0.3">
      <c r="A339" t="s">
        <v>57</v>
      </c>
      <c r="B339" t="s">
        <v>246</v>
      </c>
      <c r="C339" t="s">
        <v>34</v>
      </c>
      <c r="D339" t="s">
        <v>35</v>
      </c>
      <c r="E339" s="2">
        <v>0.70130210435018903</v>
      </c>
      <c r="F339" s="2">
        <v>0.75783780801877998</v>
      </c>
      <c r="G339" s="2">
        <v>0.739183268173631</v>
      </c>
      <c r="H339" s="2">
        <v>0.84803197950304199</v>
      </c>
      <c r="I339" s="1">
        <v>0.92156675455649695</v>
      </c>
      <c r="J339" s="1">
        <v>0.901855902222649</v>
      </c>
      <c r="K339" s="1">
        <v>0.99218390053091399</v>
      </c>
      <c r="L339" s="1">
        <v>0.995511182712434</v>
      </c>
    </row>
    <row r="340" spans="1:12" x14ac:dyDescent="0.3">
      <c r="A340" t="s">
        <v>57</v>
      </c>
      <c r="B340" t="s">
        <v>247</v>
      </c>
      <c r="C340" t="s">
        <v>580</v>
      </c>
      <c r="D340" t="s">
        <v>581</v>
      </c>
      <c r="E340" s="2">
        <v>0.78427659574468001</v>
      </c>
      <c r="F340" s="2">
        <v>0.91421276595744605</v>
      </c>
      <c r="G340" s="2">
        <v>0.882297872340425</v>
      </c>
      <c r="H340" s="2">
        <v>0.91421276595744605</v>
      </c>
      <c r="I340" s="1">
        <v>0.86102127659574401</v>
      </c>
      <c r="J340" s="1">
        <v>0.91421276595744605</v>
      </c>
      <c r="K340" s="1">
        <v>0.83974468085106302</v>
      </c>
      <c r="L340" s="1">
        <v>0.87697872340425498</v>
      </c>
    </row>
    <row r="341" spans="1:12" x14ac:dyDescent="0.3">
      <c r="A341" t="s">
        <v>57</v>
      </c>
      <c r="B341" t="s">
        <v>248</v>
      </c>
      <c r="C341" t="s">
        <v>34</v>
      </c>
      <c r="D341" t="s">
        <v>35</v>
      </c>
      <c r="E341" s="2">
        <v>0.86238532110091703</v>
      </c>
      <c r="F341" s="2">
        <v>0.81651376146788901</v>
      </c>
      <c r="G341" s="2">
        <v>0.90352752293577898</v>
      </c>
      <c r="H341" s="2">
        <v>0.93119266055045802</v>
      </c>
      <c r="I341" s="1">
        <v>0.96788990825688004</v>
      </c>
      <c r="J341" s="1">
        <v>0.95194954128440301</v>
      </c>
      <c r="K341" s="1">
        <v>1</v>
      </c>
      <c r="L341" s="1">
        <v>0.99312385321100904</v>
      </c>
    </row>
    <row r="342" spans="1:12" x14ac:dyDescent="0.3">
      <c r="A342" t="s">
        <v>57</v>
      </c>
      <c r="B342" t="s">
        <v>249</v>
      </c>
      <c r="C342" t="s">
        <v>34</v>
      </c>
      <c r="D342" t="s">
        <v>35</v>
      </c>
      <c r="E342" s="2">
        <v>0</v>
      </c>
      <c r="F342" s="2">
        <v>0</v>
      </c>
      <c r="G342" s="2">
        <v>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 x14ac:dyDescent="0.3">
      <c r="A343" t="s">
        <v>57</v>
      </c>
      <c r="B343" t="s">
        <v>250</v>
      </c>
      <c r="C343" t="s">
        <v>574</v>
      </c>
      <c r="D343" t="s">
        <v>575</v>
      </c>
      <c r="E343" s="2">
        <v>0</v>
      </c>
      <c r="F343" s="2">
        <v>0</v>
      </c>
      <c r="G343" s="2">
        <v>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3">
      <c r="A344" t="s">
        <v>57</v>
      </c>
      <c r="B344" t="s">
        <v>251</v>
      </c>
      <c r="C344" t="s">
        <v>34</v>
      </c>
      <c r="D344" t="s">
        <v>35</v>
      </c>
      <c r="E344" s="2">
        <v>0</v>
      </c>
      <c r="F344" s="2">
        <v>0</v>
      </c>
      <c r="G344" s="2">
        <v>0</v>
      </c>
      <c r="H344" s="2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3">
      <c r="A345" t="s">
        <v>57</v>
      </c>
      <c r="B345" t="s">
        <v>252</v>
      </c>
      <c r="C345" t="s">
        <v>580</v>
      </c>
      <c r="D345" t="s">
        <v>581</v>
      </c>
      <c r="E345" s="2">
        <v>0.81083333333333296</v>
      </c>
      <c r="F345" s="2">
        <v>0.89966666666666595</v>
      </c>
      <c r="G345" s="2">
        <v>0.916333333333333</v>
      </c>
      <c r="H345" s="2">
        <v>0.89966666666666595</v>
      </c>
      <c r="I345" s="1">
        <v>0.89966666666666595</v>
      </c>
      <c r="J345" s="1">
        <v>0.89966666666666595</v>
      </c>
      <c r="K345" s="1">
        <v>0.86633333333333296</v>
      </c>
      <c r="L345" s="1">
        <v>0.86633333333333296</v>
      </c>
    </row>
    <row r="346" spans="1:12" x14ac:dyDescent="0.3">
      <c r="A346" t="s">
        <v>57</v>
      </c>
      <c r="B346" t="s">
        <v>253</v>
      </c>
      <c r="C346" t="s">
        <v>34</v>
      </c>
      <c r="D346" t="s">
        <v>35</v>
      </c>
      <c r="E346" s="2">
        <v>1</v>
      </c>
      <c r="F346" s="2">
        <v>1</v>
      </c>
      <c r="G346" s="2">
        <v>1</v>
      </c>
      <c r="H346" s="2">
        <v>1</v>
      </c>
      <c r="I346" s="1">
        <v>1</v>
      </c>
      <c r="J346" s="1">
        <v>1</v>
      </c>
      <c r="K346" s="1">
        <v>1</v>
      </c>
      <c r="L346" s="1">
        <v>1</v>
      </c>
    </row>
    <row r="347" spans="1:12" x14ac:dyDescent="0.3">
      <c r="A347" t="s">
        <v>57</v>
      </c>
      <c r="B347" t="s">
        <v>254</v>
      </c>
      <c r="C347" t="s">
        <v>580</v>
      </c>
      <c r="D347" t="s">
        <v>581</v>
      </c>
      <c r="E347" s="2">
        <v>0.72669444444444398</v>
      </c>
      <c r="F347" s="2">
        <v>0.915977777777777</v>
      </c>
      <c r="G347" s="2">
        <v>0.81320000000000003</v>
      </c>
      <c r="H347" s="2">
        <v>0.92153333333333298</v>
      </c>
      <c r="I347" s="1">
        <v>0.79375555555555499</v>
      </c>
      <c r="J347" s="1">
        <v>0.915977777777777</v>
      </c>
      <c r="K347" s="1">
        <v>0.77708888888888805</v>
      </c>
      <c r="L347" s="1">
        <v>0.88819999999999999</v>
      </c>
    </row>
    <row r="348" spans="1:12" x14ac:dyDescent="0.3">
      <c r="A348" t="s">
        <v>57</v>
      </c>
      <c r="B348" t="s">
        <v>255</v>
      </c>
      <c r="C348" t="s">
        <v>580</v>
      </c>
      <c r="D348" t="s">
        <v>581</v>
      </c>
      <c r="E348" s="2">
        <v>0.76227941176470504</v>
      </c>
      <c r="F348" s="2">
        <v>0.89427941176470505</v>
      </c>
      <c r="G348" s="2">
        <v>0.86241666666666605</v>
      </c>
      <c r="H348" s="2">
        <v>0.90163235294117605</v>
      </c>
      <c r="I348" s="1">
        <v>0.83545588235294099</v>
      </c>
      <c r="J348" s="1">
        <v>0.89673039215686201</v>
      </c>
      <c r="K348" s="1">
        <v>0.82320098039215595</v>
      </c>
      <c r="L348" s="1">
        <v>0.86731862745097998</v>
      </c>
    </row>
    <row r="349" spans="1:12" x14ac:dyDescent="0.3">
      <c r="A349" t="s">
        <v>57</v>
      </c>
      <c r="B349" t="s">
        <v>256</v>
      </c>
      <c r="C349" t="s">
        <v>34</v>
      </c>
      <c r="D349" t="s">
        <v>35</v>
      </c>
      <c r="E349" s="2">
        <v>1</v>
      </c>
      <c r="F349" s="2">
        <v>1</v>
      </c>
      <c r="G349" s="2">
        <v>1</v>
      </c>
      <c r="H349" s="2">
        <v>1</v>
      </c>
      <c r="I349" s="1">
        <v>1</v>
      </c>
      <c r="J349" s="1">
        <v>1</v>
      </c>
      <c r="K349" s="1">
        <v>1</v>
      </c>
      <c r="L349" s="1">
        <v>1</v>
      </c>
    </row>
    <row r="350" spans="1:12" x14ac:dyDescent="0.3">
      <c r="A350" t="s">
        <v>57</v>
      </c>
      <c r="B350" t="s">
        <v>257</v>
      </c>
      <c r="C350" t="s">
        <v>576</v>
      </c>
      <c r="D350" t="s">
        <v>591</v>
      </c>
      <c r="E350" s="2">
        <v>0.81455555555555503</v>
      </c>
      <c r="F350" s="2">
        <v>0.81455555555555503</v>
      </c>
      <c r="G350" s="2">
        <v>0.81481481481481399</v>
      </c>
      <c r="H350" s="2">
        <v>0.81481481481481399</v>
      </c>
      <c r="I350" s="1">
        <v>0.81481481481481399</v>
      </c>
      <c r="J350" s="1">
        <v>0.81481481481481399</v>
      </c>
      <c r="K350" s="1">
        <v>0.81481481481481399</v>
      </c>
      <c r="L350" s="1">
        <v>0.81481481481481399</v>
      </c>
    </row>
    <row r="351" spans="1:12" x14ac:dyDescent="0.3">
      <c r="A351" t="s">
        <v>57</v>
      </c>
      <c r="B351" t="s">
        <v>258</v>
      </c>
      <c r="C351" t="s">
        <v>34</v>
      </c>
      <c r="D351" t="s">
        <v>35</v>
      </c>
      <c r="E351" s="2">
        <v>0.73756517298305202</v>
      </c>
      <c r="F351" s="2">
        <v>0.72641994956392897</v>
      </c>
      <c r="G351" s="2">
        <v>0.73756517298305202</v>
      </c>
      <c r="H351" s="2">
        <v>0.81026892639263304</v>
      </c>
      <c r="I351" s="1">
        <v>0.91678840207920098</v>
      </c>
      <c r="J351" s="1">
        <v>0.89898534028511801</v>
      </c>
      <c r="K351" s="1">
        <v>0.98658634108876897</v>
      </c>
      <c r="L351" s="1">
        <v>0.989574302149273</v>
      </c>
    </row>
    <row r="352" spans="1:12" x14ac:dyDescent="0.3">
      <c r="A352" t="s">
        <v>57</v>
      </c>
      <c r="B352" t="s">
        <v>259</v>
      </c>
      <c r="C352" t="s">
        <v>34</v>
      </c>
      <c r="D352" t="s">
        <v>35</v>
      </c>
      <c r="E352" s="2">
        <v>0.62956841982403</v>
      </c>
      <c r="F352" s="2">
        <v>0.71379658441006899</v>
      </c>
      <c r="G352" s="2">
        <v>0.735317234648594</v>
      </c>
      <c r="H352" s="2">
        <v>0.79275447436320801</v>
      </c>
      <c r="I352" s="1">
        <v>0.91550611771542301</v>
      </c>
      <c r="J352" s="1">
        <v>0.92146055333848198</v>
      </c>
      <c r="K352" s="1">
        <v>0.99280389288844995</v>
      </c>
      <c r="L352" s="1">
        <v>0.999023425374301</v>
      </c>
    </row>
    <row r="353" spans="1:12" x14ac:dyDescent="0.3">
      <c r="A353" t="s">
        <v>57</v>
      </c>
      <c r="B353" t="s">
        <v>260</v>
      </c>
      <c r="C353" t="s">
        <v>580</v>
      </c>
      <c r="D353" t="s">
        <v>581</v>
      </c>
      <c r="E353" s="2">
        <v>0.72575757575757505</v>
      </c>
      <c r="F353" s="2">
        <v>0.73616666666666597</v>
      </c>
      <c r="G353" s="2">
        <v>0.76798484848484805</v>
      </c>
      <c r="H353" s="2">
        <v>0.73919696969696902</v>
      </c>
      <c r="I353" s="1">
        <v>0.77121212121212102</v>
      </c>
      <c r="J353" s="1">
        <v>0.73616666666666597</v>
      </c>
      <c r="K353" s="1">
        <v>0.80303030303030298</v>
      </c>
      <c r="L353" s="1">
        <v>0.73666060606060602</v>
      </c>
    </row>
    <row r="354" spans="1:12" x14ac:dyDescent="0.3">
      <c r="A354" t="s">
        <v>57</v>
      </c>
      <c r="B354" t="s">
        <v>261</v>
      </c>
      <c r="C354" t="s">
        <v>34</v>
      </c>
      <c r="D354" t="s">
        <v>35</v>
      </c>
      <c r="E354" s="2">
        <v>0.86885245901639296</v>
      </c>
      <c r="F354" s="2">
        <v>0.84426229508196704</v>
      </c>
      <c r="G354" s="2">
        <v>0.87704918032786805</v>
      </c>
      <c r="H354" s="2">
        <v>0.86065573770491799</v>
      </c>
      <c r="I354" s="1">
        <v>0.96721311475409799</v>
      </c>
      <c r="J354" s="1">
        <v>0.95901639344262202</v>
      </c>
      <c r="K354" s="1">
        <v>1</v>
      </c>
      <c r="L354" s="1">
        <v>0.99181147540983605</v>
      </c>
    </row>
    <row r="355" spans="1:12" x14ac:dyDescent="0.3">
      <c r="A355" t="s">
        <v>57</v>
      </c>
      <c r="B355" t="s">
        <v>262</v>
      </c>
      <c r="C355" t="s">
        <v>34</v>
      </c>
      <c r="D355" t="s">
        <v>35</v>
      </c>
      <c r="E355" s="2">
        <v>0.734567603328386</v>
      </c>
      <c r="F355" s="2">
        <v>0.79707841173702598</v>
      </c>
      <c r="G355" s="2">
        <v>0.751820839818378</v>
      </c>
      <c r="H355" s="2">
        <v>0.90223266532340696</v>
      </c>
      <c r="I355" s="1">
        <v>0.92062807411250402</v>
      </c>
      <c r="J355" s="1">
        <v>0.96987218931103603</v>
      </c>
      <c r="K355" s="1">
        <v>0.99276992869466596</v>
      </c>
      <c r="L355" s="1">
        <v>0.99048256779637101</v>
      </c>
    </row>
    <row r="356" spans="1:12" x14ac:dyDescent="0.3">
      <c r="A356" t="s">
        <v>57</v>
      </c>
      <c r="B356" t="s">
        <v>263</v>
      </c>
      <c r="C356" t="s">
        <v>576</v>
      </c>
      <c r="D356" t="s">
        <v>591</v>
      </c>
      <c r="E356" s="2">
        <v>0.85860000000000003</v>
      </c>
      <c r="F356" s="2">
        <v>0.99960000000000004</v>
      </c>
      <c r="G356" s="2">
        <v>0.99960000000000004</v>
      </c>
      <c r="H356" s="2">
        <v>0.99960000000000004</v>
      </c>
      <c r="I356" s="1">
        <v>0.99960000000000004</v>
      </c>
      <c r="J356" s="1">
        <v>0.99960000000000004</v>
      </c>
      <c r="K356" s="1">
        <v>0.99960000000000004</v>
      </c>
      <c r="L356" s="1">
        <v>0.99960000000000004</v>
      </c>
    </row>
    <row r="357" spans="1:12" x14ac:dyDescent="0.3">
      <c r="A357" t="s">
        <v>57</v>
      </c>
      <c r="B357" t="s">
        <v>264</v>
      </c>
      <c r="C357" t="s">
        <v>576</v>
      </c>
      <c r="D357" t="s">
        <v>589</v>
      </c>
      <c r="E357" s="2">
        <v>0</v>
      </c>
      <c r="F357" s="2">
        <v>0</v>
      </c>
      <c r="G357" s="2">
        <v>0</v>
      </c>
      <c r="H357" s="2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x14ac:dyDescent="0.3">
      <c r="A358" t="s">
        <v>57</v>
      </c>
      <c r="B358" t="s">
        <v>265</v>
      </c>
      <c r="C358" t="s">
        <v>574</v>
      </c>
      <c r="D358" t="s">
        <v>575</v>
      </c>
      <c r="E358" s="2">
        <v>0.93738012719135899</v>
      </c>
      <c r="F358" s="2">
        <v>0.91168388348643403</v>
      </c>
      <c r="G358" s="2">
        <v>0.99775676615408704</v>
      </c>
      <c r="H358" s="2">
        <v>0.97161187567997997</v>
      </c>
      <c r="I358" s="1">
        <v>0.99775676615408704</v>
      </c>
      <c r="J358" s="1">
        <v>0.99559484953508903</v>
      </c>
      <c r="K358" s="1">
        <v>0.99775676615408704</v>
      </c>
      <c r="L358" s="1">
        <v>0.99775676615408704</v>
      </c>
    </row>
    <row r="359" spans="1:12" x14ac:dyDescent="0.3">
      <c r="A359" t="s">
        <v>57</v>
      </c>
      <c r="B359" t="s">
        <v>266</v>
      </c>
      <c r="C359" t="s">
        <v>574</v>
      </c>
      <c r="D359" t="s">
        <v>575</v>
      </c>
      <c r="E359" s="2">
        <v>0.79666319627007798</v>
      </c>
      <c r="F359" s="2">
        <v>0.82115212524069303</v>
      </c>
      <c r="G359" s="2">
        <v>0.93663798656643105</v>
      </c>
      <c r="H359" s="2">
        <v>0.96394385617933698</v>
      </c>
      <c r="I359" s="1">
        <v>0.99982589983669401</v>
      </c>
      <c r="J359" s="1">
        <v>0.97979393504671097</v>
      </c>
      <c r="K359" s="1">
        <v>0.99982589983669401</v>
      </c>
      <c r="L359" s="1">
        <v>1</v>
      </c>
    </row>
    <row r="360" spans="1:12" x14ac:dyDescent="0.3">
      <c r="A360" t="s">
        <v>57</v>
      </c>
      <c r="B360" t="s">
        <v>267</v>
      </c>
      <c r="C360" t="s">
        <v>574</v>
      </c>
      <c r="D360" t="s">
        <v>575</v>
      </c>
      <c r="E360" s="2">
        <v>0.885198772465977</v>
      </c>
      <c r="F360" s="2">
        <v>0.83872219067609999</v>
      </c>
      <c r="G360" s="2">
        <v>0.98072184614991997</v>
      </c>
      <c r="H360" s="2">
        <v>0.94979679335447198</v>
      </c>
      <c r="I360" s="1">
        <v>1</v>
      </c>
      <c r="J360" s="1">
        <v>0.99722720225600803</v>
      </c>
      <c r="K360" s="1">
        <v>1</v>
      </c>
      <c r="L360" s="1">
        <v>0.99722720225600803</v>
      </c>
    </row>
    <row r="361" spans="1:12" x14ac:dyDescent="0.3">
      <c r="A361" t="s">
        <v>57</v>
      </c>
      <c r="B361" t="s">
        <v>268</v>
      </c>
      <c r="C361" t="s">
        <v>574</v>
      </c>
      <c r="D361" t="s">
        <v>575</v>
      </c>
      <c r="E361" s="2">
        <v>0.65543779009023895</v>
      </c>
      <c r="F361" s="2">
        <v>0.65731870367963097</v>
      </c>
      <c r="G361" s="2">
        <v>0.77863127740861005</v>
      </c>
      <c r="H361" s="2">
        <v>0.69231693955958495</v>
      </c>
      <c r="I361" s="1">
        <v>0.78960058562921398</v>
      </c>
      <c r="J361" s="1">
        <v>0.69962288879788603</v>
      </c>
      <c r="K361" s="1">
        <v>0.79021680595559096</v>
      </c>
      <c r="L361" s="1">
        <v>0.74516186412268504</v>
      </c>
    </row>
    <row r="362" spans="1:12" x14ac:dyDescent="0.3">
      <c r="A362" t="s">
        <v>57</v>
      </c>
      <c r="B362" t="s">
        <v>691</v>
      </c>
      <c r="C362" t="s">
        <v>576</v>
      </c>
      <c r="D362" t="s">
        <v>589</v>
      </c>
      <c r="E362" s="2">
        <v>0</v>
      </c>
      <c r="F362" s="2">
        <v>0</v>
      </c>
      <c r="G362" s="2">
        <v>0</v>
      </c>
      <c r="H362" s="2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3">
      <c r="A363" t="s">
        <v>57</v>
      </c>
      <c r="B363" t="s">
        <v>269</v>
      </c>
      <c r="C363" t="s">
        <v>574</v>
      </c>
      <c r="D363" t="s">
        <v>575</v>
      </c>
      <c r="E363" s="2">
        <v>0.96535475349939504</v>
      </c>
      <c r="F363" s="2">
        <v>0.98844335546942497</v>
      </c>
      <c r="G363" s="2">
        <v>1</v>
      </c>
      <c r="H363" s="2">
        <v>0.99967289604265896</v>
      </c>
      <c r="I363" s="1">
        <v>1</v>
      </c>
      <c r="J363" s="1">
        <v>0.99967289604265896</v>
      </c>
      <c r="K363" s="1">
        <v>1</v>
      </c>
      <c r="L363" s="1">
        <v>1</v>
      </c>
    </row>
    <row r="364" spans="1:12" x14ac:dyDescent="0.3">
      <c r="A364" t="s">
        <v>57</v>
      </c>
      <c r="B364" t="s">
        <v>270</v>
      </c>
      <c r="C364" t="s">
        <v>576</v>
      </c>
      <c r="D364" t="s">
        <v>583</v>
      </c>
      <c r="E364" s="2">
        <v>0.86084998635412502</v>
      </c>
      <c r="F364" s="2">
        <v>0.97023177770365199</v>
      </c>
      <c r="G364" s="2">
        <v>0.99928485510103005</v>
      </c>
      <c r="H364" s="2">
        <v>0.99515318757517801</v>
      </c>
      <c r="I364" s="1">
        <v>1</v>
      </c>
      <c r="J364" s="1">
        <v>0.99915850441216603</v>
      </c>
      <c r="K364" s="1">
        <v>0.999999999999999</v>
      </c>
      <c r="L364" s="1">
        <v>0.99961083987829802</v>
      </c>
    </row>
    <row r="365" spans="1:12" x14ac:dyDescent="0.3">
      <c r="A365" t="s">
        <v>57</v>
      </c>
      <c r="B365" t="s">
        <v>271</v>
      </c>
      <c r="C365" t="s">
        <v>576</v>
      </c>
      <c r="D365" t="s">
        <v>583</v>
      </c>
      <c r="E365" s="2">
        <v>0</v>
      </c>
      <c r="F365" s="2">
        <v>0</v>
      </c>
      <c r="G365" s="2">
        <v>0</v>
      </c>
      <c r="H365" s="2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3">
      <c r="A366" t="s">
        <v>57</v>
      </c>
      <c r="B366" t="s">
        <v>272</v>
      </c>
      <c r="C366" t="s">
        <v>34</v>
      </c>
      <c r="D366" t="s">
        <v>35</v>
      </c>
      <c r="E366" s="2">
        <v>0.929541433048372</v>
      </c>
      <c r="F366" s="2">
        <v>0.96004860681774495</v>
      </c>
      <c r="G366" s="2">
        <v>0.98772038288528297</v>
      </c>
      <c r="H366" s="2">
        <v>0.97718890570703698</v>
      </c>
      <c r="I366" s="1">
        <v>0.99411601679919803</v>
      </c>
      <c r="J366" s="1">
        <v>0.98777367983456599</v>
      </c>
      <c r="K366" s="1">
        <v>0.98893555332892702</v>
      </c>
      <c r="L366" s="1">
        <v>0.99204809516703196</v>
      </c>
    </row>
    <row r="367" spans="1:12" x14ac:dyDescent="0.3">
      <c r="A367" t="s">
        <v>57</v>
      </c>
      <c r="B367" t="s">
        <v>273</v>
      </c>
      <c r="C367" t="s">
        <v>576</v>
      </c>
      <c r="D367" t="s">
        <v>577</v>
      </c>
      <c r="E367" s="2">
        <v>0.70272896892999104</v>
      </c>
      <c r="F367" s="2">
        <v>0.80139758254238602</v>
      </c>
      <c r="G367" s="2">
        <v>0.82420118439198498</v>
      </c>
      <c r="H367" s="2">
        <v>0.97326616370568597</v>
      </c>
      <c r="I367" s="1">
        <v>0.95463421757118505</v>
      </c>
      <c r="J367" s="1">
        <v>0.99850863957167102</v>
      </c>
      <c r="K367" s="1">
        <v>0.95758968118763699</v>
      </c>
      <c r="L367" s="1">
        <v>0.99942986939238998</v>
      </c>
    </row>
    <row r="368" spans="1:12" x14ac:dyDescent="0.3">
      <c r="A368" t="s">
        <v>57</v>
      </c>
      <c r="B368" t="s">
        <v>692</v>
      </c>
      <c r="C368" t="s">
        <v>576</v>
      </c>
      <c r="D368" t="s">
        <v>595</v>
      </c>
      <c r="E368" s="2">
        <v>0.61531719439944899</v>
      </c>
      <c r="F368" s="2">
        <v>0.73483091841036596</v>
      </c>
      <c r="G368" s="2">
        <v>0.70385897663478802</v>
      </c>
      <c r="H368" s="2">
        <v>0.74600178622939095</v>
      </c>
      <c r="I368" s="1">
        <v>0.88353174162912895</v>
      </c>
      <c r="J368" s="1">
        <v>0.82123283111811296</v>
      </c>
      <c r="K368" s="1">
        <v>0.985570095635387</v>
      </c>
      <c r="L368" s="1">
        <v>0.956887800386091</v>
      </c>
    </row>
    <row r="369" spans="1:12" x14ac:dyDescent="0.3">
      <c r="A369" t="s">
        <v>57</v>
      </c>
      <c r="B369" t="s">
        <v>693</v>
      </c>
      <c r="C369" t="s">
        <v>576</v>
      </c>
      <c r="D369" t="s">
        <v>595</v>
      </c>
      <c r="E369" s="2">
        <v>0.67814474166859096</v>
      </c>
      <c r="F369" s="2">
        <v>0.91071365495129497</v>
      </c>
      <c r="G369" s="2">
        <v>0.78227342508185305</v>
      </c>
      <c r="H369" s="2">
        <v>0.99071827407719304</v>
      </c>
      <c r="I369" s="1">
        <v>0.97507438151262704</v>
      </c>
      <c r="J369" s="1">
        <v>0.99345714402162799</v>
      </c>
      <c r="K369" s="1">
        <v>0.99926773268846703</v>
      </c>
      <c r="L369" s="1">
        <v>0.99507791378537302</v>
      </c>
    </row>
    <row r="370" spans="1:12" x14ac:dyDescent="0.3">
      <c r="A370" t="s">
        <v>57</v>
      </c>
      <c r="B370" t="s">
        <v>274</v>
      </c>
      <c r="C370" t="s">
        <v>576</v>
      </c>
      <c r="D370" t="s">
        <v>589</v>
      </c>
      <c r="E370" s="2">
        <v>0</v>
      </c>
      <c r="F370" s="2">
        <v>0</v>
      </c>
      <c r="G370" s="2">
        <v>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3">
      <c r="A371" t="s">
        <v>57</v>
      </c>
      <c r="B371" t="s">
        <v>275</v>
      </c>
      <c r="C371" t="s">
        <v>576</v>
      </c>
      <c r="D371" t="s">
        <v>589</v>
      </c>
      <c r="E371" s="2">
        <v>0</v>
      </c>
      <c r="F371" s="2">
        <v>0</v>
      </c>
      <c r="G371" s="2">
        <v>0</v>
      </c>
      <c r="H371" s="2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3">
      <c r="A372" t="s">
        <v>57</v>
      </c>
      <c r="B372" t="s">
        <v>276</v>
      </c>
      <c r="C372" t="s">
        <v>580</v>
      </c>
      <c r="D372" t="s">
        <v>581</v>
      </c>
      <c r="E372" s="2">
        <v>0.93642412772554295</v>
      </c>
      <c r="F372" s="2">
        <v>0.81185447663532495</v>
      </c>
      <c r="G372" s="2">
        <v>1</v>
      </c>
      <c r="H372" s="2">
        <v>0.90170428234915101</v>
      </c>
      <c r="I372" s="1">
        <v>0.999924500191266</v>
      </c>
      <c r="J372" s="1">
        <v>0.94487507298314799</v>
      </c>
      <c r="K372" s="1">
        <v>1</v>
      </c>
      <c r="L372" s="1">
        <v>0.963533592381566</v>
      </c>
    </row>
    <row r="373" spans="1:12" x14ac:dyDescent="0.3">
      <c r="A373" t="s">
        <v>57</v>
      </c>
      <c r="B373" t="s">
        <v>277</v>
      </c>
      <c r="C373" t="s">
        <v>576</v>
      </c>
      <c r="D373" t="s">
        <v>577</v>
      </c>
      <c r="E373" s="2">
        <v>0.95044567062818297</v>
      </c>
      <c r="F373" s="2">
        <v>0.95129456706281801</v>
      </c>
      <c r="G373" s="2">
        <v>0.99906267685342398</v>
      </c>
      <c r="H373" s="2">
        <v>0.99911573288058797</v>
      </c>
      <c r="I373" s="1">
        <v>0.999982314657611</v>
      </c>
      <c r="J373" s="1">
        <v>0.99955786644029399</v>
      </c>
      <c r="K373" s="1">
        <v>1</v>
      </c>
      <c r="L373" s="1">
        <v>0.99955786644029399</v>
      </c>
    </row>
    <row r="374" spans="1:12" x14ac:dyDescent="0.3">
      <c r="A374" t="s">
        <v>57</v>
      </c>
      <c r="B374" t="s">
        <v>278</v>
      </c>
      <c r="C374" t="s">
        <v>576</v>
      </c>
      <c r="D374" t="s">
        <v>577</v>
      </c>
      <c r="E374" s="2">
        <v>0.93024223869373701</v>
      </c>
      <c r="F374" s="2">
        <v>0.960938339241594</v>
      </c>
      <c r="G374" s="2">
        <v>0.99713986464711502</v>
      </c>
      <c r="H374" s="2">
        <v>0.99944945751423298</v>
      </c>
      <c r="I374" s="1">
        <v>1</v>
      </c>
      <c r="J374" s="1">
        <v>1</v>
      </c>
      <c r="K374" s="1">
        <v>1</v>
      </c>
      <c r="L374" s="1">
        <v>1</v>
      </c>
    </row>
    <row r="375" spans="1:12" x14ac:dyDescent="0.3">
      <c r="A375" t="s">
        <v>57</v>
      </c>
      <c r="B375" t="s">
        <v>279</v>
      </c>
      <c r="C375" t="s">
        <v>576</v>
      </c>
      <c r="D375" t="s">
        <v>577</v>
      </c>
      <c r="E375" s="2">
        <v>0.89532473102905896</v>
      </c>
      <c r="F375" s="2">
        <v>0.95347070808163803</v>
      </c>
      <c r="G375" s="2">
        <v>0.999892769060299</v>
      </c>
      <c r="H375" s="2">
        <v>1</v>
      </c>
      <c r="I375" s="1">
        <v>0.999892769060299</v>
      </c>
      <c r="J375" s="1">
        <v>1</v>
      </c>
      <c r="K375" s="1">
        <v>1</v>
      </c>
      <c r="L375" s="1">
        <v>1</v>
      </c>
    </row>
    <row r="376" spans="1:12" x14ac:dyDescent="0.3">
      <c r="A376" t="s">
        <v>57</v>
      </c>
      <c r="B376" t="s">
        <v>280</v>
      </c>
      <c r="C376" t="s">
        <v>576</v>
      </c>
      <c r="D376" t="s">
        <v>577</v>
      </c>
      <c r="E376" s="2">
        <v>1</v>
      </c>
      <c r="F376" s="2">
        <v>1</v>
      </c>
      <c r="G376" s="2">
        <v>1</v>
      </c>
      <c r="H376" s="2">
        <v>1</v>
      </c>
      <c r="I376" s="1">
        <v>1</v>
      </c>
      <c r="J376" s="1">
        <v>1</v>
      </c>
      <c r="K376" s="1">
        <v>1</v>
      </c>
      <c r="L376" s="1">
        <v>1</v>
      </c>
    </row>
    <row r="377" spans="1:12" x14ac:dyDescent="0.3">
      <c r="A377" t="s">
        <v>57</v>
      </c>
      <c r="B377" t="s">
        <v>281</v>
      </c>
      <c r="C377" t="s">
        <v>580</v>
      </c>
      <c r="D377" t="s">
        <v>581</v>
      </c>
      <c r="E377" s="2">
        <v>0.84648102988714302</v>
      </c>
      <c r="F377" s="2">
        <v>0.80611164672299995</v>
      </c>
      <c r="G377" s="2">
        <v>0.89341008336641503</v>
      </c>
      <c r="H377" s="2">
        <v>0.85703888542316398</v>
      </c>
      <c r="I377" s="1">
        <v>0.95981965632620603</v>
      </c>
      <c r="J377" s="1">
        <v>0.96198415849070795</v>
      </c>
      <c r="K377" s="1">
        <v>0.98693737121684699</v>
      </c>
      <c r="L377" s="1">
        <v>0.96305223161118303</v>
      </c>
    </row>
    <row r="378" spans="1:12" x14ac:dyDescent="0.3">
      <c r="A378" t="s">
        <v>57</v>
      </c>
      <c r="B378" t="s">
        <v>282</v>
      </c>
      <c r="C378" t="s">
        <v>580</v>
      </c>
      <c r="D378" t="s">
        <v>581</v>
      </c>
      <c r="E378" s="2">
        <v>0.84971420463758696</v>
      </c>
      <c r="F378" s="2">
        <v>0.77088738446570404</v>
      </c>
      <c r="G378" s="2">
        <v>0.86076090481595502</v>
      </c>
      <c r="H378" s="2">
        <v>0.83605278093075996</v>
      </c>
      <c r="I378" s="1">
        <v>0.91890303226852499</v>
      </c>
      <c r="J378" s="1">
        <v>0.90841373439273498</v>
      </c>
      <c r="K378" s="1">
        <v>0.94742176098589204</v>
      </c>
      <c r="L378" s="1">
        <v>0.91301483703583597</v>
      </c>
    </row>
    <row r="379" spans="1:12" x14ac:dyDescent="0.3">
      <c r="A379" t="s">
        <v>57</v>
      </c>
      <c r="B379" t="s">
        <v>694</v>
      </c>
      <c r="C379" t="s">
        <v>580</v>
      </c>
      <c r="D379" t="s">
        <v>581</v>
      </c>
      <c r="E379" s="2">
        <v>0.70218791648156298</v>
      </c>
      <c r="F379" s="2">
        <v>0.68291870279875599</v>
      </c>
      <c r="G379" s="2">
        <v>0.76888049755664101</v>
      </c>
      <c r="H379" s="2">
        <v>0.79459129275877305</v>
      </c>
      <c r="I379" s="1">
        <v>0.84823411816970196</v>
      </c>
      <c r="J379" s="1">
        <v>0.87011328298533996</v>
      </c>
      <c r="K379" s="1">
        <v>0.96012883163038598</v>
      </c>
      <c r="L379" s="1">
        <v>0.94863394047090099</v>
      </c>
    </row>
    <row r="380" spans="1:12" x14ac:dyDescent="0.3">
      <c r="A380" t="s">
        <v>57</v>
      </c>
      <c r="B380" t="s">
        <v>695</v>
      </c>
      <c r="C380" t="s">
        <v>580</v>
      </c>
      <c r="D380" t="s">
        <v>581</v>
      </c>
      <c r="E380" s="2">
        <v>0.68695422069330503</v>
      </c>
      <c r="F380" s="2">
        <v>0.68874040751521504</v>
      </c>
      <c r="G380" s="2">
        <v>0.761577136808679</v>
      </c>
      <c r="H380" s="2">
        <v>0.83745699920613903</v>
      </c>
      <c r="I380" s="1">
        <v>0.77586663138396395</v>
      </c>
      <c r="J380" s="1">
        <v>0.91770309605715705</v>
      </c>
      <c r="K380" s="1">
        <v>0.87278380523948096</v>
      </c>
      <c r="L380" s="1">
        <v>0.97869806827202899</v>
      </c>
    </row>
    <row r="381" spans="1:12" x14ac:dyDescent="0.3">
      <c r="A381" t="s">
        <v>57</v>
      </c>
      <c r="B381" t="s">
        <v>283</v>
      </c>
      <c r="C381" t="s">
        <v>574</v>
      </c>
      <c r="D381" t="s">
        <v>575</v>
      </c>
      <c r="E381" s="2">
        <v>0.89309975269639696</v>
      </c>
      <c r="F381" s="2">
        <v>0.96525415472125997</v>
      </c>
      <c r="G381" s="2">
        <v>0.89309975269639696</v>
      </c>
      <c r="H381" s="2">
        <v>0.96649792808087798</v>
      </c>
      <c r="I381" s="1">
        <v>0.89548157868006595</v>
      </c>
      <c r="J381" s="1">
        <v>0.97097758513110399</v>
      </c>
      <c r="K381" s="1">
        <v>0.89548157868006595</v>
      </c>
      <c r="L381" s="1">
        <v>0.97097758513110399</v>
      </c>
    </row>
    <row r="382" spans="1:12" x14ac:dyDescent="0.3">
      <c r="A382" t="s">
        <v>57</v>
      </c>
      <c r="B382" t="s">
        <v>696</v>
      </c>
      <c r="C382" t="s">
        <v>34</v>
      </c>
      <c r="D382" t="s">
        <v>35</v>
      </c>
      <c r="E382" s="2">
        <v>0.84304486192382699</v>
      </c>
      <c r="F382" s="2">
        <v>0.95535365978852205</v>
      </c>
      <c r="G382" s="2">
        <v>0.97761010163227602</v>
      </c>
      <c r="H382" s="2">
        <v>0.96217020839749501</v>
      </c>
      <c r="I382" s="1">
        <v>0.98087465352633196</v>
      </c>
      <c r="J382" s="1">
        <v>0.97869828559696104</v>
      </c>
      <c r="K382" s="1">
        <v>1</v>
      </c>
      <c r="L382" s="1">
        <v>0.98152140437326696</v>
      </c>
    </row>
    <row r="383" spans="1:12" x14ac:dyDescent="0.3">
      <c r="A383" t="s">
        <v>57</v>
      </c>
      <c r="B383" t="s">
        <v>284</v>
      </c>
      <c r="C383" t="s">
        <v>576</v>
      </c>
      <c r="D383" t="s">
        <v>583</v>
      </c>
      <c r="E383" s="2">
        <v>0.803912370470236</v>
      </c>
      <c r="F383" s="2">
        <v>0.90466635655736605</v>
      </c>
      <c r="G383" s="2">
        <v>0.98050516279424205</v>
      </c>
      <c r="H383" s="2">
        <v>0.99917479389557695</v>
      </c>
      <c r="I383" s="1">
        <v>0.99897900454914501</v>
      </c>
      <c r="J383" s="1">
        <v>1</v>
      </c>
      <c r="K383" s="1">
        <v>1</v>
      </c>
      <c r="L383" s="1">
        <v>1</v>
      </c>
    </row>
    <row r="384" spans="1:12" x14ac:dyDescent="0.3">
      <c r="A384" t="s">
        <v>57</v>
      </c>
      <c r="B384" t="s">
        <v>697</v>
      </c>
      <c r="C384" t="s">
        <v>576</v>
      </c>
      <c r="D384" t="s">
        <v>14</v>
      </c>
      <c r="E384" s="2">
        <v>0</v>
      </c>
      <c r="F384" s="2">
        <v>0</v>
      </c>
      <c r="G384" s="2">
        <v>0</v>
      </c>
      <c r="H384" s="2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 x14ac:dyDescent="0.3">
      <c r="A385" t="s">
        <v>57</v>
      </c>
      <c r="B385" t="s">
        <v>698</v>
      </c>
      <c r="C385" t="s">
        <v>580</v>
      </c>
      <c r="D385" t="s">
        <v>581</v>
      </c>
      <c r="E385" s="2">
        <v>0.90804761904761899</v>
      </c>
      <c r="F385" s="2">
        <v>0.77006190476190395</v>
      </c>
      <c r="G385" s="2">
        <v>1</v>
      </c>
      <c r="H385" s="2">
        <v>0.92380952380952297</v>
      </c>
      <c r="I385" s="1">
        <v>1</v>
      </c>
      <c r="J385" s="1">
        <v>0.92380952380952297</v>
      </c>
      <c r="K385" s="1">
        <v>1</v>
      </c>
      <c r="L385" s="1">
        <v>0.92380952380952297</v>
      </c>
    </row>
    <row r="386" spans="1:12" x14ac:dyDescent="0.3">
      <c r="A386" t="s">
        <v>57</v>
      </c>
      <c r="B386" t="s">
        <v>699</v>
      </c>
      <c r="C386" t="s">
        <v>580</v>
      </c>
      <c r="D386" t="s">
        <v>581</v>
      </c>
      <c r="E386" s="2">
        <v>0.69315992292870898</v>
      </c>
      <c r="F386" s="2">
        <v>0.70833333333333304</v>
      </c>
      <c r="G386" s="2">
        <v>0.74494219653179194</v>
      </c>
      <c r="H386" s="2">
        <v>0.81101477199743099</v>
      </c>
      <c r="I386" s="1">
        <v>0.90855812459858698</v>
      </c>
      <c r="J386" s="1">
        <v>0.869781631342325</v>
      </c>
      <c r="K386" s="1">
        <v>0.96563904945407797</v>
      </c>
      <c r="L386" s="1">
        <v>0.99405908798972398</v>
      </c>
    </row>
    <row r="387" spans="1:12" x14ac:dyDescent="0.3">
      <c r="A387" t="s">
        <v>57</v>
      </c>
      <c r="B387" t="s">
        <v>285</v>
      </c>
      <c r="C387" t="s">
        <v>576</v>
      </c>
      <c r="D387" t="s">
        <v>577</v>
      </c>
      <c r="E387" s="2">
        <v>0.81753943400603102</v>
      </c>
      <c r="F387" s="2">
        <v>0.880630944096497</v>
      </c>
      <c r="G387" s="2">
        <v>0.91692182788216103</v>
      </c>
      <c r="H387" s="2">
        <v>0.96012526096033401</v>
      </c>
      <c r="I387" s="1">
        <v>0.97236720018557099</v>
      </c>
      <c r="J387" s="1">
        <v>0.96961261888192896</v>
      </c>
      <c r="K387" s="1">
        <v>0.972961609835305</v>
      </c>
      <c r="L387" s="1">
        <v>0.969632915796799</v>
      </c>
    </row>
    <row r="388" spans="1:12" x14ac:dyDescent="0.3">
      <c r="A388" t="s">
        <v>57</v>
      </c>
      <c r="B388" t="s">
        <v>286</v>
      </c>
      <c r="C388" t="s">
        <v>576</v>
      </c>
      <c r="D388" t="s">
        <v>583</v>
      </c>
      <c r="E388" s="2">
        <v>0.87022587679811103</v>
      </c>
      <c r="F388" s="2">
        <v>0.95672528659744305</v>
      </c>
      <c r="G388" s="2">
        <v>0.99996998979652996</v>
      </c>
      <c r="H388" s="2">
        <v>0.999949982994218</v>
      </c>
      <c r="I388" s="1">
        <v>0.99996998979652996</v>
      </c>
      <c r="J388" s="1">
        <v>1</v>
      </c>
      <c r="K388" s="1">
        <v>0.999999999999999</v>
      </c>
      <c r="L388" s="1">
        <v>0.999999999999999</v>
      </c>
    </row>
    <row r="389" spans="1:12" x14ac:dyDescent="0.3">
      <c r="A389" t="s">
        <v>57</v>
      </c>
      <c r="B389" t="s">
        <v>700</v>
      </c>
      <c r="C389" t="s">
        <v>576</v>
      </c>
      <c r="D389" t="s">
        <v>577</v>
      </c>
      <c r="E389" s="2">
        <v>0</v>
      </c>
      <c r="F389" s="2">
        <v>0</v>
      </c>
      <c r="G389" s="2">
        <v>0</v>
      </c>
      <c r="H389" s="2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 x14ac:dyDescent="0.3">
      <c r="A390" t="s">
        <v>57</v>
      </c>
      <c r="B390" t="s">
        <v>701</v>
      </c>
      <c r="C390" t="s">
        <v>576</v>
      </c>
      <c r="D390" t="s">
        <v>577</v>
      </c>
      <c r="E390" s="2">
        <v>0.87034385368936595</v>
      </c>
      <c r="F390" s="2">
        <v>0.92648423921630596</v>
      </c>
      <c r="G390" s="2">
        <v>0.95808480802654405</v>
      </c>
      <c r="H390" s="2">
        <v>0.96981158160846803</v>
      </c>
      <c r="I390" s="1">
        <v>1</v>
      </c>
      <c r="J390" s="1">
        <v>1</v>
      </c>
      <c r="K390" s="1">
        <v>1</v>
      </c>
      <c r="L390" s="1">
        <v>1</v>
      </c>
    </row>
    <row r="391" spans="1:12" x14ac:dyDescent="0.3">
      <c r="A391" t="s">
        <v>57</v>
      </c>
      <c r="B391" t="s">
        <v>287</v>
      </c>
      <c r="C391" t="s">
        <v>576</v>
      </c>
      <c r="D391" t="s">
        <v>589</v>
      </c>
      <c r="E391" s="2">
        <v>0</v>
      </c>
      <c r="F391" s="2">
        <v>0</v>
      </c>
      <c r="G391" s="2">
        <v>0</v>
      </c>
      <c r="H391" s="2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 x14ac:dyDescent="0.3">
      <c r="A392" t="s">
        <v>57</v>
      </c>
      <c r="B392" t="s">
        <v>288</v>
      </c>
      <c r="C392" t="s">
        <v>576</v>
      </c>
      <c r="D392" t="s">
        <v>583</v>
      </c>
      <c r="E392" s="2">
        <v>0.77365185666450098</v>
      </c>
      <c r="F392" s="2">
        <v>0.85633964715877797</v>
      </c>
      <c r="G392" s="2">
        <v>0.86544492478384705</v>
      </c>
      <c r="H392" s="2">
        <v>0.97740079464241003</v>
      </c>
      <c r="I392" s="1">
        <v>0.97061322404917705</v>
      </c>
      <c r="J392" s="1">
        <v>1</v>
      </c>
      <c r="K392" s="1">
        <v>0.98589384776850397</v>
      </c>
      <c r="L392" s="1">
        <v>1</v>
      </c>
    </row>
    <row r="393" spans="1:12" x14ac:dyDescent="0.3">
      <c r="A393" t="s">
        <v>57</v>
      </c>
      <c r="B393" t="s">
        <v>702</v>
      </c>
      <c r="C393" t="s">
        <v>576</v>
      </c>
      <c r="D393" t="s">
        <v>583</v>
      </c>
      <c r="E393" s="2">
        <v>0.74665991520839303</v>
      </c>
      <c r="F393" s="2">
        <v>0.86029828026519395</v>
      </c>
      <c r="G393" s="2">
        <v>0.87877253456452997</v>
      </c>
      <c r="H393" s="2">
        <v>0.98948596661173205</v>
      </c>
      <c r="I393" s="1">
        <v>0.96984173910855498</v>
      </c>
      <c r="J393" s="1">
        <v>1</v>
      </c>
      <c r="K393" s="1">
        <v>0.99697127904489902</v>
      </c>
      <c r="L393" s="1">
        <v>1</v>
      </c>
    </row>
    <row r="394" spans="1:12" x14ac:dyDescent="0.3">
      <c r="A394" t="s">
        <v>57</v>
      </c>
      <c r="B394" t="s">
        <v>289</v>
      </c>
      <c r="C394" t="s">
        <v>576</v>
      </c>
      <c r="D394" t="s">
        <v>577</v>
      </c>
      <c r="E394" s="2">
        <v>0.79955140668346802</v>
      </c>
      <c r="F394" s="2">
        <v>0.933831591486743</v>
      </c>
      <c r="G394" s="2">
        <v>0.903017630718983</v>
      </c>
      <c r="H394" s="2">
        <v>1</v>
      </c>
      <c r="I394" s="1">
        <v>0.95425170950184302</v>
      </c>
      <c r="J394" s="1">
        <v>1</v>
      </c>
      <c r="K394" s="1">
        <v>0.995367397568509</v>
      </c>
      <c r="L394" s="1">
        <v>1</v>
      </c>
    </row>
    <row r="395" spans="1:12" x14ac:dyDescent="0.3">
      <c r="A395" t="s">
        <v>57</v>
      </c>
      <c r="B395" t="s">
        <v>290</v>
      </c>
      <c r="C395" t="s">
        <v>576</v>
      </c>
      <c r="D395" t="s">
        <v>583</v>
      </c>
      <c r="E395" s="2">
        <v>0.68270704508218305</v>
      </c>
      <c r="F395" s="2">
        <v>0.76216901855081598</v>
      </c>
      <c r="G395" s="2">
        <v>0.76473230801754599</v>
      </c>
      <c r="H395" s="2">
        <v>0.82844458538132204</v>
      </c>
      <c r="I395" s="1">
        <v>0.78986311505734297</v>
      </c>
      <c r="J395" s="1">
        <v>0.83425823159452395</v>
      </c>
      <c r="K395" s="1">
        <v>0.80452935891337596</v>
      </c>
      <c r="L395" s="1">
        <v>0.83425823159452395</v>
      </c>
    </row>
    <row r="396" spans="1:12" x14ac:dyDescent="0.3">
      <c r="A396" t="s">
        <v>57</v>
      </c>
      <c r="B396" t="s">
        <v>703</v>
      </c>
      <c r="C396" t="s">
        <v>576</v>
      </c>
      <c r="D396" t="s">
        <v>577</v>
      </c>
      <c r="E396" s="2">
        <v>0.96138786847056701</v>
      </c>
      <c r="F396" s="2">
        <v>0.97688379177493001</v>
      </c>
      <c r="G396" s="2">
        <v>0.99835588208941795</v>
      </c>
      <c r="H396" s="2">
        <v>0.99809156885583705</v>
      </c>
      <c r="I396" s="1">
        <v>0.99835588208941795</v>
      </c>
      <c r="J396" s="1">
        <v>0.99995520114684999</v>
      </c>
      <c r="K396" s="1">
        <v>0.99835588208941795</v>
      </c>
      <c r="L396" s="1">
        <v>1</v>
      </c>
    </row>
    <row r="397" spans="1:12" x14ac:dyDescent="0.3">
      <c r="A397" t="s">
        <v>57</v>
      </c>
      <c r="B397" t="s">
        <v>291</v>
      </c>
      <c r="C397" t="s">
        <v>576</v>
      </c>
      <c r="D397" t="s">
        <v>577</v>
      </c>
      <c r="E397" s="2">
        <v>0.94640353133478805</v>
      </c>
      <c r="F397" s="2">
        <v>0.96042183519884505</v>
      </c>
      <c r="G397" s="2">
        <v>0.95008753661187595</v>
      </c>
      <c r="H397" s="2">
        <v>0.96042183519884505</v>
      </c>
      <c r="I397" s="1">
        <v>0.95256428340289201</v>
      </c>
      <c r="J397" s="1">
        <v>0.96330100148521802</v>
      </c>
      <c r="K397" s="1">
        <v>0.95256428340289201</v>
      </c>
      <c r="L397" s="1">
        <v>0.97208370325503402</v>
      </c>
    </row>
    <row r="398" spans="1:12" x14ac:dyDescent="0.3">
      <c r="A398" t="s">
        <v>57</v>
      </c>
      <c r="B398" t="s">
        <v>704</v>
      </c>
      <c r="C398" t="s">
        <v>574</v>
      </c>
      <c r="D398" t="s">
        <v>575</v>
      </c>
      <c r="E398" s="2">
        <v>0.42684017253111201</v>
      </c>
      <c r="F398" s="2">
        <v>0.403752607930357</v>
      </c>
      <c r="G398" s="2">
        <v>0.46950519015296899</v>
      </c>
      <c r="H398" s="2">
        <v>0.45810119372313202</v>
      </c>
      <c r="I398" s="1">
        <v>0.50970286665472297</v>
      </c>
      <c r="J398" s="1">
        <v>0.50423474867866203</v>
      </c>
      <c r="K398" s="1">
        <v>0.52586058689177995</v>
      </c>
      <c r="L398" s="1">
        <v>0.50694330076215399</v>
      </c>
    </row>
    <row r="399" spans="1:12" x14ac:dyDescent="0.3">
      <c r="A399" t="s">
        <v>292</v>
      </c>
      <c r="B399" t="s">
        <v>293</v>
      </c>
      <c r="C399" t="s">
        <v>574</v>
      </c>
      <c r="D399" t="s">
        <v>575</v>
      </c>
      <c r="E399" s="2">
        <v>0.84298812993105399</v>
      </c>
      <c r="F399" s="2">
        <v>0.78009402638018699</v>
      </c>
      <c r="G399" s="2">
        <v>0.993008945706365</v>
      </c>
      <c r="H399" s="2">
        <v>0.98700283297624902</v>
      </c>
      <c r="I399" s="1">
        <v>0.999456759034554</v>
      </c>
      <c r="J399" s="1">
        <v>0.99805550196480597</v>
      </c>
      <c r="K399" s="1">
        <v>1</v>
      </c>
      <c r="L399" s="1">
        <v>0.99805550196480597</v>
      </c>
    </row>
    <row r="400" spans="1:12" x14ac:dyDescent="0.3">
      <c r="A400" t="s">
        <v>292</v>
      </c>
      <c r="B400" t="s">
        <v>705</v>
      </c>
      <c r="C400" t="s">
        <v>576</v>
      </c>
      <c r="D400" t="s">
        <v>577</v>
      </c>
      <c r="E400" s="2">
        <v>0.66506791299225598</v>
      </c>
      <c r="F400" s="2">
        <v>0.77668793560842198</v>
      </c>
      <c r="G400" s="2">
        <v>0.79197534579945505</v>
      </c>
      <c r="H400" s="2">
        <v>0.99966355228590897</v>
      </c>
      <c r="I400" s="1">
        <v>0.95052176268504596</v>
      </c>
      <c r="J400" s="1">
        <v>1</v>
      </c>
      <c r="K400" s="1">
        <v>0.98772664536905996</v>
      </c>
      <c r="L400" s="1">
        <v>1</v>
      </c>
    </row>
    <row r="401" spans="1:12" x14ac:dyDescent="0.3">
      <c r="A401" t="s">
        <v>292</v>
      </c>
      <c r="B401" t="s">
        <v>294</v>
      </c>
      <c r="C401" t="s">
        <v>574</v>
      </c>
      <c r="D401" t="s">
        <v>575</v>
      </c>
      <c r="E401" s="2">
        <v>0</v>
      </c>
      <c r="F401" s="2">
        <v>0</v>
      </c>
      <c r="G401" s="2">
        <v>0</v>
      </c>
      <c r="H401" s="2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3">
      <c r="A402" t="s">
        <v>292</v>
      </c>
      <c r="B402" t="s">
        <v>706</v>
      </c>
      <c r="C402" t="s">
        <v>574</v>
      </c>
      <c r="D402" t="s">
        <v>575</v>
      </c>
      <c r="E402" s="2">
        <v>0.861166789745753</v>
      </c>
      <c r="F402" s="2">
        <v>0.89721188190435996</v>
      </c>
      <c r="G402" s="2">
        <v>0.94342531611230795</v>
      </c>
      <c r="H402" s="2">
        <v>0.93296761261736405</v>
      </c>
      <c r="I402" s="1">
        <v>0.97394993444154698</v>
      </c>
      <c r="J402" s="1">
        <v>0.93886485916235796</v>
      </c>
      <c r="K402" s="1">
        <v>0.97395746989585996</v>
      </c>
      <c r="L402" s="1">
        <v>0.965924675598692</v>
      </c>
    </row>
    <row r="403" spans="1:12" x14ac:dyDescent="0.3">
      <c r="A403" t="s">
        <v>292</v>
      </c>
      <c r="B403" t="s">
        <v>295</v>
      </c>
      <c r="C403" t="s">
        <v>576</v>
      </c>
      <c r="D403" t="s">
        <v>577</v>
      </c>
      <c r="E403" s="2">
        <v>0.94379705063421604</v>
      </c>
      <c r="F403" s="2">
        <v>0.97303289677219695</v>
      </c>
      <c r="G403" s="2">
        <v>0.988656285449108</v>
      </c>
      <c r="H403" s="2">
        <v>0.99159533876456596</v>
      </c>
      <c r="I403" s="1">
        <v>0.99489532845209805</v>
      </c>
      <c r="J403" s="1">
        <v>0.993812519335877</v>
      </c>
      <c r="K403" s="1">
        <v>0.99432814272455405</v>
      </c>
      <c r="L403" s="1">
        <v>0.993812519335877</v>
      </c>
    </row>
    <row r="404" spans="1:12" x14ac:dyDescent="0.3">
      <c r="A404" t="s">
        <v>292</v>
      </c>
      <c r="B404" t="s">
        <v>296</v>
      </c>
      <c r="C404" t="s">
        <v>574</v>
      </c>
      <c r="D404" t="s">
        <v>575</v>
      </c>
      <c r="E404" s="2">
        <v>0.96663423043106</v>
      </c>
      <c r="F404" s="2">
        <v>0.93025391219982601</v>
      </c>
      <c r="G404" s="2">
        <v>0.99813251020369798</v>
      </c>
      <c r="H404" s="2">
        <v>0.99740919177467102</v>
      </c>
      <c r="I404" s="1">
        <v>0.99817943205787696</v>
      </c>
      <c r="J404" s="1">
        <v>0.99822779766141401</v>
      </c>
      <c r="K404" s="1">
        <v>0.99822346641333604</v>
      </c>
      <c r="L404" s="1">
        <v>0.99833030386592703</v>
      </c>
    </row>
    <row r="405" spans="1:12" x14ac:dyDescent="0.3">
      <c r="A405" t="s">
        <v>292</v>
      </c>
      <c r="B405" t="s">
        <v>297</v>
      </c>
      <c r="C405" t="s">
        <v>576</v>
      </c>
      <c r="D405" t="s">
        <v>577</v>
      </c>
      <c r="E405" s="2">
        <v>1</v>
      </c>
      <c r="F405" s="2">
        <v>1</v>
      </c>
      <c r="G405" s="2">
        <v>1</v>
      </c>
      <c r="H405" s="2">
        <v>1</v>
      </c>
      <c r="I405" s="1">
        <v>1</v>
      </c>
      <c r="J405" s="1">
        <v>1</v>
      </c>
      <c r="K405" s="1">
        <v>1</v>
      </c>
      <c r="L405" s="1">
        <v>1</v>
      </c>
    </row>
    <row r="406" spans="1:12" x14ac:dyDescent="0.3">
      <c r="A406" t="s">
        <v>292</v>
      </c>
      <c r="B406" t="s">
        <v>298</v>
      </c>
      <c r="C406" t="s">
        <v>576</v>
      </c>
      <c r="D406" t="s">
        <v>598</v>
      </c>
      <c r="E406" s="2">
        <v>0.76367514856010899</v>
      </c>
      <c r="F406" s="2">
        <v>0.75742800548529599</v>
      </c>
      <c r="G406" s="2">
        <v>0.81193813804662496</v>
      </c>
      <c r="H406" s="2">
        <v>0.80755751942709098</v>
      </c>
      <c r="I406" s="1">
        <v>0.82302300777083603</v>
      </c>
      <c r="J406" s="1">
        <v>0.82389913149474303</v>
      </c>
      <c r="K406" s="1">
        <v>0.82953679719640405</v>
      </c>
      <c r="L406" s="1">
        <v>0.83144141398750504</v>
      </c>
    </row>
    <row r="407" spans="1:12" x14ac:dyDescent="0.3">
      <c r="A407" t="s">
        <v>292</v>
      </c>
      <c r="B407" t="s">
        <v>299</v>
      </c>
      <c r="C407" t="s">
        <v>576</v>
      </c>
      <c r="D407" t="s">
        <v>598</v>
      </c>
      <c r="E407" s="2">
        <v>0.80650821502631997</v>
      </c>
      <c r="F407" s="2">
        <v>0.87556229063646496</v>
      </c>
      <c r="G407" s="2">
        <v>0.91705216142925505</v>
      </c>
      <c r="H407" s="2">
        <v>0.93187111182006699</v>
      </c>
      <c r="I407" s="1">
        <v>0.93796458765353297</v>
      </c>
      <c r="J407" s="1">
        <v>0.95021534535013497</v>
      </c>
      <c r="K407" s="1">
        <v>0.94375498484606801</v>
      </c>
      <c r="L407" s="1">
        <v>0.95464986441218602</v>
      </c>
    </row>
    <row r="408" spans="1:12" x14ac:dyDescent="0.3">
      <c r="A408" t="s">
        <v>292</v>
      </c>
      <c r="B408" t="s">
        <v>300</v>
      </c>
      <c r="C408" t="s">
        <v>574</v>
      </c>
      <c r="D408" t="s">
        <v>575</v>
      </c>
      <c r="E408" s="2">
        <v>0.92135289416340105</v>
      </c>
      <c r="F408" s="2">
        <v>0.90896722733658597</v>
      </c>
      <c r="G408" s="2">
        <v>0.99835430817187598</v>
      </c>
      <c r="H408" s="2">
        <v>0.99760005646925898</v>
      </c>
      <c r="I408" s="1">
        <v>0.99945693877411601</v>
      </c>
      <c r="J408" s="1">
        <v>0.999404568089859</v>
      </c>
      <c r="K408" s="1">
        <v>0.99945693877411601</v>
      </c>
      <c r="L408" s="1">
        <v>0.99953435630736498</v>
      </c>
    </row>
    <row r="409" spans="1:12" x14ac:dyDescent="0.3">
      <c r="A409" t="s">
        <v>292</v>
      </c>
      <c r="B409" t="s">
        <v>301</v>
      </c>
      <c r="C409" t="s">
        <v>574</v>
      </c>
      <c r="D409" t="s">
        <v>575</v>
      </c>
      <c r="E409" s="2">
        <v>0.80833933532256397</v>
      </c>
      <c r="F409" s="2">
        <v>0.87791953904722697</v>
      </c>
      <c r="G409" s="2">
        <v>0.97543471550571004</v>
      </c>
      <c r="H409" s="2">
        <v>0.93986006790822096</v>
      </c>
      <c r="I409" s="1">
        <v>1</v>
      </c>
      <c r="J409" s="1">
        <v>0.89494803992180205</v>
      </c>
      <c r="K409" s="1">
        <v>1</v>
      </c>
      <c r="L409" s="1">
        <v>0.90576448194258596</v>
      </c>
    </row>
    <row r="410" spans="1:12" x14ac:dyDescent="0.3">
      <c r="A410" t="s">
        <v>292</v>
      </c>
      <c r="B410" t="s">
        <v>302</v>
      </c>
      <c r="C410" t="s">
        <v>576</v>
      </c>
      <c r="D410" t="s">
        <v>595</v>
      </c>
      <c r="E410" s="2">
        <v>0.62641022901106802</v>
      </c>
      <c r="F410" s="2">
        <v>0.92996237514622504</v>
      </c>
      <c r="G410" s="2">
        <v>0.71504656708359504</v>
      </c>
      <c r="H410" s="2">
        <v>0.95128734365157896</v>
      </c>
      <c r="I410" s="1">
        <v>0.84968336632772401</v>
      </c>
      <c r="J410" s="1">
        <v>0.95779576846935999</v>
      </c>
      <c r="K410" s="1">
        <v>0.94520775218212905</v>
      </c>
      <c r="L410" s="1">
        <v>0.95779576846935999</v>
      </c>
    </row>
    <row r="411" spans="1:12" x14ac:dyDescent="0.3">
      <c r="A411" t="s">
        <v>292</v>
      </c>
      <c r="B411" t="s">
        <v>303</v>
      </c>
      <c r="C411" t="s">
        <v>576</v>
      </c>
      <c r="D411" t="s">
        <v>589</v>
      </c>
      <c r="E411" s="2">
        <v>0.82760423500037705</v>
      </c>
      <c r="F411" s="2">
        <v>0.88843366213030195</v>
      </c>
      <c r="G411" s="2">
        <v>0.95535597142209605</v>
      </c>
      <c r="H411" s="2">
        <v>0.99595862008643299</v>
      </c>
      <c r="I411" s="1">
        <v>0.97680530209960903</v>
      </c>
      <c r="J411" s="1">
        <v>0.99595862008643299</v>
      </c>
      <c r="K411" s="1">
        <v>0.98152256453684095</v>
      </c>
      <c r="L411" s="1">
        <v>0.99952290645388298</v>
      </c>
    </row>
    <row r="412" spans="1:12" x14ac:dyDescent="0.3">
      <c r="A412" t="s">
        <v>292</v>
      </c>
      <c r="B412" t="s">
        <v>304</v>
      </c>
      <c r="C412" t="s">
        <v>574</v>
      </c>
      <c r="D412" t="s">
        <v>575</v>
      </c>
      <c r="E412" s="2">
        <v>0.98912402186063797</v>
      </c>
      <c r="F412" s="2">
        <v>0.97110219227425099</v>
      </c>
      <c r="G412" s="2">
        <v>0.99762063718792604</v>
      </c>
      <c r="H412" s="2">
        <v>0.996654142342566</v>
      </c>
      <c r="I412" s="1">
        <v>0.997783660414855</v>
      </c>
      <c r="J412" s="1">
        <v>0.99722084213141204</v>
      </c>
      <c r="K412" s="1">
        <v>0.99869581418457298</v>
      </c>
      <c r="L412" s="1">
        <v>0.99686374363433095</v>
      </c>
    </row>
    <row r="413" spans="1:12" x14ac:dyDescent="0.3">
      <c r="A413" t="s">
        <v>292</v>
      </c>
      <c r="B413" t="s">
        <v>707</v>
      </c>
      <c r="C413" t="s">
        <v>580</v>
      </c>
      <c r="D413" t="s">
        <v>581</v>
      </c>
      <c r="E413" s="2">
        <v>0.86259622437881001</v>
      </c>
      <c r="F413" s="2">
        <v>0.90344679308280496</v>
      </c>
      <c r="G413" s="2">
        <v>0.947492896469735</v>
      </c>
      <c r="H413" s="2">
        <v>0.96523275127947805</v>
      </c>
      <c r="I413" s="1">
        <v>0.98592362756422702</v>
      </c>
      <c r="J413" s="1">
        <v>0.97716330952842601</v>
      </c>
      <c r="K413" s="1">
        <v>0.99911047781253404</v>
      </c>
      <c r="L413" s="1">
        <v>0.991248113454128</v>
      </c>
    </row>
    <row r="414" spans="1:12" x14ac:dyDescent="0.3">
      <c r="A414" t="s">
        <v>292</v>
      </c>
      <c r="B414" t="s">
        <v>305</v>
      </c>
      <c r="C414" t="s">
        <v>574</v>
      </c>
      <c r="D414" t="s">
        <v>575</v>
      </c>
      <c r="E414" s="2">
        <v>0.72411848608484997</v>
      </c>
      <c r="F414" s="2">
        <v>0.697001360002653</v>
      </c>
      <c r="G414" s="2">
        <v>0.88015391249543895</v>
      </c>
      <c r="H414" s="2">
        <v>0.83363187050121001</v>
      </c>
      <c r="I414" s="1">
        <v>0.99819219159452</v>
      </c>
      <c r="J414" s="1">
        <v>0.905828108932895</v>
      </c>
      <c r="K414" s="1">
        <v>0.997694629648057</v>
      </c>
      <c r="L414" s="1">
        <v>0.91073738680465699</v>
      </c>
    </row>
    <row r="415" spans="1:12" x14ac:dyDescent="0.3">
      <c r="A415" t="s">
        <v>292</v>
      </c>
      <c r="B415" t="s">
        <v>306</v>
      </c>
      <c r="C415" t="s">
        <v>580</v>
      </c>
      <c r="D415" t="s">
        <v>581</v>
      </c>
      <c r="E415" s="2">
        <v>0.90204202752011198</v>
      </c>
      <c r="F415" s="2">
        <v>0.91329076361717998</v>
      </c>
      <c r="G415" s="2">
        <v>0.98247021585263905</v>
      </c>
      <c r="H415" s="2">
        <v>0.96401173781157901</v>
      </c>
      <c r="I415" s="1">
        <v>0.99341121906185403</v>
      </c>
      <c r="J415" s="1">
        <v>0.97244691607684497</v>
      </c>
      <c r="K415" s="1">
        <v>0.99261441069151901</v>
      </c>
      <c r="L415" s="1">
        <v>0.97651338638062102</v>
      </c>
    </row>
    <row r="416" spans="1:12" x14ac:dyDescent="0.3">
      <c r="A416" t="s">
        <v>292</v>
      </c>
      <c r="B416" t="s">
        <v>307</v>
      </c>
      <c r="C416" t="s">
        <v>580</v>
      </c>
      <c r="D416" t="s">
        <v>581</v>
      </c>
      <c r="E416" s="2">
        <v>0.88528471607645198</v>
      </c>
      <c r="F416" s="2">
        <v>0.87704901792436596</v>
      </c>
      <c r="G416" s="2">
        <v>0.92614619519991503</v>
      </c>
      <c r="H416" s="2">
        <v>0.90006868585467603</v>
      </c>
      <c r="I416" s="1">
        <v>0.97346678642661799</v>
      </c>
      <c r="J416" s="1">
        <v>0.94974374892678304</v>
      </c>
      <c r="K416" s="1">
        <v>0.97731715693396903</v>
      </c>
      <c r="L416" s="1">
        <v>0.96748319177883102</v>
      </c>
    </row>
    <row r="417" spans="1:12" x14ac:dyDescent="0.3">
      <c r="A417" t="s">
        <v>292</v>
      </c>
      <c r="B417" t="s">
        <v>708</v>
      </c>
      <c r="C417" t="s">
        <v>580</v>
      </c>
      <c r="D417" t="s">
        <v>581</v>
      </c>
      <c r="E417" s="2">
        <v>0.80264801791537299</v>
      </c>
      <c r="F417" s="2">
        <v>0.82101913330452203</v>
      </c>
      <c r="G417" s="2">
        <v>0.87263976741445004</v>
      </c>
      <c r="H417" s="2">
        <v>0.876513574038423</v>
      </c>
      <c r="I417" s="1">
        <v>0.93659686480964899</v>
      </c>
      <c r="J417" s="1">
        <v>0.90037716575649196</v>
      </c>
      <c r="K417" s="1">
        <v>0.97069893529249995</v>
      </c>
      <c r="L417" s="1">
        <v>0.91368404510273804</v>
      </c>
    </row>
    <row r="418" spans="1:12" x14ac:dyDescent="0.3">
      <c r="A418" t="s">
        <v>292</v>
      </c>
      <c r="B418" t="s">
        <v>308</v>
      </c>
      <c r="C418" t="s">
        <v>576</v>
      </c>
      <c r="D418" t="s">
        <v>598</v>
      </c>
      <c r="E418" s="2">
        <v>0.79063994283934502</v>
      </c>
      <c r="F418" s="2">
        <v>0.85184489676272801</v>
      </c>
      <c r="G418" s="2">
        <v>0.85368612938094202</v>
      </c>
      <c r="H418" s="2">
        <v>0.88771229137277097</v>
      </c>
      <c r="I418" s="1">
        <v>0.89732609054101098</v>
      </c>
      <c r="J418" s="1">
        <v>0.96662880384002303</v>
      </c>
      <c r="K418" s="1">
        <v>0.90984830441712605</v>
      </c>
      <c r="L418" s="1">
        <v>0.96872194639356501</v>
      </c>
    </row>
    <row r="419" spans="1:12" x14ac:dyDescent="0.3">
      <c r="A419" t="s">
        <v>292</v>
      </c>
      <c r="B419" t="s">
        <v>309</v>
      </c>
      <c r="C419" t="s">
        <v>580</v>
      </c>
      <c r="D419" t="s">
        <v>581</v>
      </c>
      <c r="E419" s="2">
        <v>0.87612483430202903</v>
      </c>
      <c r="F419" s="2">
        <v>0.76504505710206905</v>
      </c>
      <c r="G419" s="2">
        <v>0.965869404506984</v>
      </c>
      <c r="H419" s="2">
        <v>0.88050627103089596</v>
      </c>
      <c r="I419" s="1">
        <v>0.98050818293055897</v>
      </c>
      <c r="J419" s="1">
        <v>0.92063226521872099</v>
      </c>
      <c r="K419" s="1">
        <v>0.97823142908126803</v>
      </c>
      <c r="L419" s="1">
        <v>0.97021897624146003</v>
      </c>
    </row>
    <row r="420" spans="1:12" x14ac:dyDescent="0.3">
      <c r="A420" t="s">
        <v>292</v>
      </c>
      <c r="B420" t="s">
        <v>310</v>
      </c>
      <c r="C420" t="s">
        <v>574</v>
      </c>
      <c r="D420" t="s">
        <v>575</v>
      </c>
      <c r="E420" s="2">
        <v>0.68699632752288797</v>
      </c>
      <c r="F420" s="2">
        <v>0.757337195468887</v>
      </c>
      <c r="G420" s="2">
        <v>0.74579734133347098</v>
      </c>
      <c r="H420" s="2">
        <v>0.83772306419076104</v>
      </c>
      <c r="I420" s="1">
        <v>0.86012000206900097</v>
      </c>
      <c r="J420" s="1">
        <v>0.92505043190399805</v>
      </c>
      <c r="K420" s="1">
        <v>0.93655407851859496</v>
      </c>
      <c r="L420" s="1">
        <v>0.90966740805875901</v>
      </c>
    </row>
    <row r="421" spans="1:12" x14ac:dyDescent="0.3">
      <c r="A421" t="s">
        <v>292</v>
      </c>
      <c r="B421" t="s">
        <v>311</v>
      </c>
      <c r="C421" t="s">
        <v>580</v>
      </c>
      <c r="D421" t="s">
        <v>581</v>
      </c>
      <c r="E421" s="2">
        <v>0.80339410951513901</v>
      </c>
      <c r="F421" s="2">
        <v>0.78728968575089298</v>
      </c>
      <c r="G421" s="2">
        <v>0.90792745633555805</v>
      </c>
      <c r="H421" s="2">
        <v>0.86009887720008005</v>
      </c>
      <c r="I421" s="1">
        <v>0.966442443860004</v>
      </c>
      <c r="J421" s="1">
        <v>0.92506237777328204</v>
      </c>
      <c r="K421" s="1">
        <v>0.95282891631263</v>
      </c>
      <c r="L421" s="1">
        <v>0.95090700654123606</v>
      </c>
    </row>
    <row r="422" spans="1:12" x14ac:dyDescent="0.3">
      <c r="A422" t="s">
        <v>292</v>
      </c>
      <c r="B422" t="s">
        <v>312</v>
      </c>
      <c r="C422" t="s">
        <v>580</v>
      </c>
      <c r="D422" t="s">
        <v>581</v>
      </c>
      <c r="E422" s="2">
        <v>0.88955226111127705</v>
      </c>
      <c r="F422" s="2">
        <v>0.95855376552988403</v>
      </c>
      <c r="G422" s="2">
        <v>0.98515258391367999</v>
      </c>
      <c r="H422" s="2">
        <v>0.99134710225065004</v>
      </c>
      <c r="I422" s="1">
        <v>0.98844287692660204</v>
      </c>
      <c r="J422" s="1">
        <v>0.99223879407398496</v>
      </c>
      <c r="K422" s="1">
        <v>0.98914278028514202</v>
      </c>
      <c r="L422" s="1">
        <v>0.99242560102021504</v>
      </c>
    </row>
    <row r="423" spans="1:12" x14ac:dyDescent="0.3">
      <c r="A423" t="s">
        <v>292</v>
      </c>
      <c r="B423" t="s">
        <v>313</v>
      </c>
      <c r="C423" t="s">
        <v>580</v>
      </c>
      <c r="D423" t="s">
        <v>581</v>
      </c>
      <c r="E423" s="2">
        <v>0.89979559102556494</v>
      </c>
      <c r="F423" s="2">
        <v>0.85048803865187805</v>
      </c>
      <c r="G423" s="2">
        <v>0.92269135222893806</v>
      </c>
      <c r="H423" s="2">
        <v>0.92663771687889995</v>
      </c>
      <c r="I423" s="1">
        <v>0.93955264753633305</v>
      </c>
      <c r="J423" s="1">
        <v>0.90754161531991395</v>
      </c>
      <c r="K423" s="1">
        <v>0.95826242591397204</v>
      </c>
      <c r="L423" s="1">
        <v>0.92625139369755305</v>
      </c>
    </row>
    <row r="424" spans="1:12" x14ac:dyDescent="0.3">
      <c r="A424" t="s">
        <v>292</v>
      </c>
      <c r="B424" t="s">
        <v>314</v>
      </c>
      <c r="C424" t="s">
        <v>580</v>
      </c>
      <c r="D424" t="s">
        <v>581</v>
      </c>
      <c r="E424" s="2">
        <v>0.86708317733682705</v>
      </c>
      <c r="F424" s="2">
        <v>0.90587950829901398</v>
      </c>
      <c r="G424" s="2">
        <v>0.96511918133033803</v>
      </c>
      <c r="H424" s="2">
        <v>0.93996474478971603</v>
      </c>
      <c r="I424" s="1">
        <v>0.99395513540496605</v>
      </c>
      <c r="J424" s="1">
        <v>0.97518875577187003</v>
      </c>
      <c r="K424" s="1">
        <v>0.99207537751154296</v>
      </c>
      <c r="L424" s="1">
        <v>0.97759110195931598</v>
      </c>
    </row>
    <row r="425" spans="1:12" x14ac:dyDescent="0.3">
      <c r="A425" t="s">
        <v>292</v>
      </c>
      <c r="B425" t="s">
        <v>709</v>
      </c>
      <c r="C425" t="s">
        <v>580</v>
      </c>
      <c r="D425" t="s">
        <v>581</v>
      </c>
      <c r="E425" s="2">
        <v>0.89848284443049997</v>
      </c>
      <c r="F425" s="2">
        <v>0.87765069948519003</v>
      </c>
      <c r="G425" s="2">
        <v>0.94033697930778704</v>
      </c>
      <c r="H425" s="2">
        <v>0.95320187385023403</v>
      </c>
      <c r="I425" s="1">
        <v>0.94506973460918597</v>
      </c>
      <c r="J425" s="1">
        <v>0.95579820458337394</v>
      </c>
      <c r="K425" s="1">
        <v>0.98956298218843997</v>
      </c>
      <c r="L425" s="1">
        <v>0.97692001910927895</v>
      </c>
    </row>
    <row r="426" spans="1:12" x14ac:dyDescent="0.3">
      <c r="A426" t="s">
        <v>292</v>
      </c>
      <c r="B426" t="s">
        <v>710</v>
      </c>
      <c r="C426" t="s">
        <v>580</v>
      </c>
      <c r="D426" t="s">
        <v>581</v>
      </c>
      <c r="E426" s="2">
        <v>0.92208276797829003</v>
      </c>
      <c r="F426" s="2">
        <v>0.897549185888738</v>
      </c>
      <c r="G426" s="2">
        <v>0.97129409769335096</v>
      </c>
      <c r="H426" s="2">
        <v>0.95592774762550803</v>
      </c>
      <c r="I426" s="1">
        <v>0.96884328358208904</v>
      </c>
      <c r="J426" s="1">
        <v>0.97915535956580702</v>
      </c>
      <c r="K426" s="1">
        <v>0.98985753052917202</v>
      </c>
      <c r="L426" s="1">
        <v>0.98278493894165497</v>
      </c>
    </row>
    <row r="427" spans="1:12" x14ac:dyDescent="0.3">
      <c r="A427" t="s">
        <v>292</v>
      </c>
      <c r="B427" t="s">
        <v>711</v>
      </c>
      <c r="C427" t="s">
        <v>580</v>
      </c>
      <c r="D427" t="s">
        <v>581</v>
      </c>
      <c r="E427" s="2">
        <v>0.86650216497842802</v>
      </c>
      <c r="F427" s="2">
        <v>0.836345705012848</v>
      </c>
      <c r="G427" s="2">
        <v>0.87815611419770001</v>
      </c>
      <c r="H427" s="2">
        <v>0.96832294719967305</v>
      </c>
      <c r="I427" s="1">
        <v>0.95877503870242697</v>
      </c>
      <c r="J427" s="1">
        <v>0.977198965839705</v>
      </c>
      <c r="K427" s="1">
        <v>0.96224057586068701</v>
      </c>
      <c r="L427" s="1">
        <v>0.977202895020156</v>
      </c>
    </row>
    <row r="428" spans="1:12" x14ac:dyDescent="0.3">
      <c r="A428" t="s">
        <v>292</v>
      </c>
      <c r="B428" t="s">
        <v>315</v>
      </c>
      <c r="C428" t="s">
        <v>574</v>
      </c>
      <c r="D428" t="s">
        <v>575</v>
      </c>
      <c r="E428" s="2">
        <v>0.98323115614228196</v>
      </c>
      <c r="F428" s="2">
        <v>0.88620969491470902</v>
      </c>
      <c r="G428" s="2">
        <v>0.99292124990960695</v>
      </c>
      <c r="H428" s="2">
        <v>0.92609897394280705</v>
      </c>
      <c r="I428" s="1">
        <v>0.99292124990960695</v>
      </c>
      <c r="J428" s="1">
        <v>0.92610299139461805</v>
      </c>
      <c r="K428" s="1">
        <v>0.99292526736141795</v>
      </c>
      <c r="L428" s="1">
        <v>0.97321163132648203</v>
      </c>
    </row>
    <row r="429" spans="1:12" x14ac:dyDescent="0.3">
      <c r="A429" t="s">
        <v>292</v>
      </c>
      <c r="B429" t="s">
        <v>712</v>
      </c>
      <c r="C429" t="s">
        <v>580</v>
      </c>
      <c r="D429" t="s">
        <v>581</v>
      </c>
      <c r="E429" s="2">
        <v>0.90094280326838405</v>
      </c>
      <c r="F429" s="2">
        <v>0.85380962357706502</v>
      </c>
      <c r="G429" s="2">
        <v>0.93863398282002897</v>
      </c>
      <c r="H429" s="2">
        <v>0.94836929953209004</v>
      </c>
      <c r="I429" s="1">
        <v>0.95929184998952399</v>
      </c>
      <c r="J429" s="1">
        <v>0.99773727215587604</v>
      </c>
      <c r="K429" s="1">
        <v>0.98321111809483897</v>
      </c>
      <c r="L429" s="1">
        <v>0.973880857601787</v>
      </c>
    </row>
    <row r="430" spans="1:12" x14ac:dyDescent="0.3">
      <c r="A430" t="s">
        <v>292</v>
      </c>
      <c r="B430" t="s">
        <v>316</v>
      </c>
      <c r="C430" t="s">
        <v>576</v>
      </c>
      <c r="D430" t="s">
        <v>14</v>
      </c>
      <c r="E430" s="2">
        <v>0.86302395209580796</v>
      </c>
      <c r="F430" s="2">
        <v>0.86302395209580796</v>
      </c>
      <c r="G430" s="2">
        <v>0.86302395209580796</v>
      </c>
      <c r="H430" s="2">
        <v>0.92065868263473005</v>
      </c>
      <c r="I430" s="1">
        <v>0.86302395209580796</v>
      </c>
      <c r="J430" s="1">
        <v>1</v>
      </c>
      <c r="K430" s="1">
        <v>0.86302395209580796</v>
      </c>
      <c r="L430" s="1">
        <v>1</v>
      </c>
    </row>
    <row r="431" spans="1:12" x14ac:dyDescent="0.3">
      <c r="A431" t="s">
        <v>292</v>
      </c>
      <c r="B431" t="s">
        <v>317</v>
      </c>
      <c r="C431" t="s">
        <v>574</v>
      </c>
      <c r="D431" t="s">
        <v>575</v>
      </c>
      <c r="E431" s="2">
        <v>0</v>
      </c>
      <c r="F431" s="2">
        <v>0</v>
      </c>
      <c r="G431" s="2">
        <v>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 x14ac:dyDescent="0.3">
      <c r="A432" t="s">
        <v>292</v>
      </c>
      <c r="B432" t="s">
        <v>318</v>
      </c>
      <c r="C432" t="s">
        <v>574</v>
      </c>
      <c r="D432" t="s">
        <v>575</v>
      </c>
      <c r="E432" s="2">
        <v>0</v>
      </c>
      <c r="F432" s="2">
        <v>0</v>
      </c>
      <c r="G432" s="2">
        <v>0</v>
      </c>
      <c r="H432" s="2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3">
      <c r="A433" t="s">
        <v>292</v>
      </c>
      <c r="B433" t="s">
        <v>319</v>
      </c>
      <c r="C433" t="s">
        <v>576</v>
      </c>
      <c r="D433" t="s">
        <v>595</v>
      </c>
      <c r="E433" s="2">
        <v>0.607004414773339</v>
      </c>
      <c r="F433" s="2">
        <v>0.81137611715300895</v>
      </c>
      <c r="G433" s="2">
        <v>0.63424679659739402</v>
      </c>
      <c r="H433" s="2">
        <v>0.96015936254980006</v>
      </c>
      <c r="I433" s="1">
        <v>0.75091525788736901</v>
      </c>
      <c r="J433" s="1">
        <v>0.96015936254980006</v>
      </c>
      <c r="K433" s="1">
        <v>0.86039625282653098</v>
      </c>
      <c r="L433" s="1">
        <v>0.96758910304726997</v>
      </c>
    </row>
    <row r="434" spans="1:12" x14ac:dyDescent="0.3">
      <c r="A434" t="s">
        <v>292</v>
      </c>
      <c r="B434" t="s">
        <v>713</v>
      </c>
      <c r="C434" t="s">
        <v>574</v>
      </c>
      <c r="D434" t="s">
        <v>575</v>
      </c>
      <c r="E434" s="2">
        <v>0.90421410592332496</v>
      </c>
      <c r="F434" s="2">
        <v>0.78762954491124604</v>
      </c>
      <c r="G434" s="2">
        <v>0.95958972171573398</v>
      </c>
      <c r="H434" s="2">
        <v>0.98262012346315497</v>
      </c>
      <c r="I434" s="1">
        <v>0.99913402361455494</v>
      </c>
      <c r="J434" s="1">
        <v>0.99743078048025902</v>
      </c>
      <c r="K434" s="1">
        <v>0.99940588629577698</v>
      </c>
      <c r="L434" s="1">
        <v>0.99817078601125797</v>
      </c>
    </row>
    <row r="435" spans="1:12" x14ac:dyDescent="0.3">
      <c r="A435" t="s">
        <v>292</v>
      </c>
      <c r="B435" t="s">
        <v>714</v>
      </c>
      <c r="C435" t="s">
        <v>574</v>
      </c>
      <c r="D435" t="s">
        <v>575</v>
      </c>
      <c r="E435" s="2">
        <v>0.97145447437806098</v>
      </c>
      <c r="F435" s="2">
        <v>0.98934949138726902</v>
      </c>
      <c r="G435" s="2">
        <v>0.99920152375882698</v>
      </c>
      <c r="H435" s="2">
        <v>0.99943441266250199</v>
      </c>
      <c r="I435" s="1">
        <v>0.99930965074981903</v>
      </c>
      <c r="J435" s="1">
        <v>0.99943441266250199</v>
      </c>
      <c r="K435" s="1">
        <v>0.99948431742757504</v>
      </c>
      <c r="L435" s="1">
        <v>0.99946352377546099</v>
      </c>
    </row>
    <row r="436" spans="1:12" x14ac:dyDescent="0.3">
      <c r="A436" t="s">
        <v>292</v>
      </c>
      <c r="B436" t="s">
        <v>320</v>
      </c>
      <c r="C436" t="s">
        <v>574</v>
      </c>
      <c r="D436" t="s">
        <v>575</v>
      </c>
      <c r="E436" s="2">
        <v>0.86794501297013404</v>
      </c>
      <c r="F436" s="2">
        <v>0.86764915654503005</v>
      </c>
      <c r="G436" s="2">
        <v>0.996573876934293</v>
      </c>
      <c r="H436" s="2">
        <v>0.88051891103702895</v>
      </c>
      <c r="I436" s="1">
        <v>0.996573876934293</v>
      </c>
      <c r="J436" s="1">
        <v>0.88103665978096002</v>
      </c>
      <c r="K436" s="1">
        <v>0.99604027873901702</v>
      </c>
      <c r="L436" s="1">
        <v>0.88098382827647703</v>
      </c>
    </row>
    <row r="437" spans="1:12" x14ac:dyDescent="0.3">
      <c r="A437" t="s">
        <v>292</v>
      </c>
      <c r="B437" t="s">
        <v>321</v>
      </c>
      <c r="C437" t="s">
        <v>574</v>
      </c>
      <c r="D437" t="s">
        <v>575</v>
      </c>
      <c r="E437" s="2">
        <v>0.87065659770875203</v>
      </c>
      <c r="F437" s="2">
        <v>0.85102804028458801</v>
      </c>
      <c r="G437" s="2">
        <v>0.969272822470437</v>
      </c>
      <c r="H437" s="2">
        <v>0.94435137550649695</v>
      </c>
      <c r="I437" s="1">
        <v>1</v>
      </c>
      <c r="J437" s="1">
        <v>0.99046079870661297</v>
      </c>
      <c r="K437" s="1">
        <v>1</v>
      </c>
      <c r="L437" s="1">
        <v>0.99972238524211798</v>
      </c>
    </row>
    <row r="438" spans="1:12" x14ac:dyDescent="0.3">
      <c r="A438" t="s">
        <v>292</v>
      </c>
      <c r="B438" t="s">
        <v>322</v>
      </c>
      <c r="C438" t="s">
        <v>574</v>
      </c>
      <c r="D438" t="s">
        <v>575</v>
      </c>
      <c r="E438" s="2">
        <v>0.65566333777430297</v>
      </c>
      <c r="F438" s="2">
        <v>0.66806135144955403</v>
      </c>
      <c r="G438" s="2">
        <v>0.78799644355380305</v>
      </c>
      <c r="H438" s="2">
        <v>0.79573143876416197</v>
      </c>
      <c r="I438" s="1">
        <v>0.88613041036764595</v>
      </c>
      <c r="J438" s="1">
        <v>0.88540921152596797</v>
      </c>
      <c r="K438" s="1">
        <v>0.96637892117461799</v>
      </c>
      <c r="L438" s="1">
        <v>0.96760936347320503</v>
      </c>
    </row>
    <row r="439" spans="1:12" x14ac:dyDescent="0.3">
      <c r="A439" t="s">
        <v>292</v>
      </c>
      <c r="B439" t="s">
        <v>715</v>
      </c>
      <c r="C439" t="s">
        <v>574</v>
      </c>
      <c r="D439" t="s">
        <v>575</v>
      </c>
      <c r="E439" s="2">
        <v>0.81716873024449099</v>
      </c>
      <c r="F439" s="2">
        <v>0.87447143397898996</v>
      </c>
      <c r="G439" s="2">
        <v>0.98974209860526496</v>
      </c>
      <c r="H439" s="2">
        <v>0.98604982027946397</v>
      </c>
      <c r="I439" s="1">
        <v>0.99311327408433103</v>
      </c>
      <c r="J439" s="1">
        <v>0.99025691463031895</v>
      </c>
      <c r="K439" s="1">
        <v>0.99311327408433103</v>
      </c>
      <c r="L439" s="1">
        <v>0.99127562756599097</v>
      </c>
    </row>
    <row r="440" spans="1:12" x14ac:dyDescent="0.3">
      <c r="A440" t="s">
        <v>292</v>
      </c>
      <c r="B440" t="s">
        <v>323</v>
      </c>
      <c r="C440" t="s">
        <v>574</v>
      </c>
      <c r="D440" t="s">
        <v>575</v>
      </c>
      <c r="E440" s="2">
        <v>0.88836655481157301</v>
      </c>
      <c r="F440" s="2">
        <v>0.78892064853707999</v>
      </c>
      <c r="G440" s="2">
        <v>0.96122157807650999</v>
      </c>
      <c r="H440" s="2">
        <v>0.94025749731621</v>
      </c>
      <c r="I440" s="1">
        <v>0.99346042437654203</v>
      </c>
      <c r="J440" s="1">
        <v>0.98601784201329401</v>
      </c>
      <c r="K440" s="1">
        <v>0.99049421611771404</v>
      </c>
      <c r="L440" s="1">
        <v>0.99649459213313796</v>
      </c>
    </row>
    <row r="441" spans="1:12" x14ac:dyDescent="0.3">
      <c r="A441" t="s">
        <v>292</v>
      </c>
      <c r="B441" t="s">
        <v>324</v>
      </c>
      <c r="C441" t="s">
        <v>574</v>
      </c>
      <c r="D441" t="s">
        <v>575</v>
      </c>
      <c r="E441" s="2">
        <v>0.93863668553885204</v>
      </c>
      <c r="F441" s="2">
        <v>0.93394926329570305</v>
      </c>
      <c r="G441" s="2">
        <v>0.96070910420279299</v>
      </c>
      <c r="H441" s="2">
        <v>0.96186899717108598</v>
      </c>
      <c r="I441" s="1">
        <v>0.96084308523873496</v>
      </c>
      <c r="J441" s="1">
        <v>0.96072824435078497</v>
      </c>
      <c r="K441" s="1">
        <v>0.96117803782858802</v>
      </c>
      <c r="L441" s="1">
        <v>0.96156275480321995</v>
      </c>
    </row>
    <row r="442" spans="1:12" x14ac:dyDescent="0.3">
      <c r="A442" t="s">
        <v>292</v>
      </c>
      <c r="B442" t="s">
        <v>716</v>
      </c>
      <c r="C442" t="s">
        <v>574</v>
      </c>
      <c r="D442" t="s">
        <v>575</v>
      </c>
      <c r="E442" s="2">
        <v>0.95132607649747403</v>
      </c>
      <c r="F442" s="2">
        <v>0.95531533156923998</v>
      </c>
      <c r="G442" s="2">
        <v>0.98135975463074299</v>
      </c>
      <c r="H442" s="2">
        <v>0.97830867612861805</v>
      </c>
      <c r="I442" s="1">
        <v>0.97821746451768099</v>
      </c>
      <c r="J442" s="1">
        <v>0.98172861037607195</v>
      </c>
      <c r="K442" s="1">
        <v>0.98926609734584203</v>
      </c>
      <c r="L442" s="1">
        <v>0.98172861037607195</v>
      </c>
    </row>
    <row r="443" spans="1:12" x14ac:dyDescent="0.3">
      <c r="A443" t="s">
        <v>292</v>
      </c>
      <c r="B443" t="s">
        <v>717</v>
      </c>
      <c r="C443" t="s">
        <v>574</v>
      </c>
      <c r="D443" t="s">
        <v>575</v>
      </c>
      <c r="E443" s="2">
        <v>0.81408475338391695</v>
      </c>
      <c r="F443" s="2">
        <v>0.77293237949453097</v>
      </c>
      <c r="G443" s="2">
        <v>0.93037775514602605</v>
      </c>
      <c r="H443" s="2">
        <v>0.92501705988760696</v>
      </c>
      <c r="I443" s="1">
        <v>0.99242238009360695</v>
      </c>
      <c r="J443" s="1">
        <v>0.99941848334672601</v>
      </c>
      <c r="K443" s="1">
        <v>0.99859836927443602</v>
      </c>
      <c r="L443" s="1">
        <v>0.99941848334672601</v>
      </c>
    </row>
    <row r="444" spans="1:12" x14ac:dyDescent="0.3">
      <c r="A444" t="s">
        <v>292</v>
      </c>
      <c r="B444" t="s">
        <v>718</v>
      </c>
      <c r="C444" t="s">
        <v>574</v>
      </c>
      <c r="D444" t="s">
        <v>575</v>
      </c>
      <c r="E444" s="2">
        <v>0.93507903741198395</v>
      </c>
      <c r="F444" s="2">
        <v>0.93971099737013197</v>
      </c>
      <c r="G444" s="2">
        <v>0.96738116110058503</v>
      </c>
      <c r="H444" s="2">
        <v>0.96420269773491996</v>
      </c>
      <c r="I444" s="1">
        <v>0.97014676356643903</v>
      </c>
      <c r="J444" s="1">
        <v>0.96549783672199696</v>
      </c>
      <c r="K444" s="1">
        <v>0.96890535305262504</v>
      </c>
      <c r="L444" s="1">
        <v>0.96609733337103698</v>
      </c>
    </row>
    <row r="445" spans="1:12" x14ac:dyDescent="0.3">
      <c r="A445" t="s">
        <v>292</v>
      </c>
      <c r="B445" t="s">
        <v>325</v>
      </c>
      <c r="C445" t="s">
        <v>576</v>
      </c>
      <c r="D445" t="s">
        <v>595</v>
      </c>
      <c r="E445" s="2">
        <v>0.53955563589751998</v>
      </c>
      <c r="F445" s="2">
        <v>0.63997304892277795</v>
      </c>
      <c r="G445" s="2">
        <v>0.56751463958411996</v>
      </c>
      <c r="H445" s="2">
        <v>0.71350511906131298</v>
      </c>
      <c r="I445" s="1">
        <v>0.58663511418601699</v>
      </c>
      <c r="J445" s="1">
        <v>0.71340651755928397</v>
      </c>
      <c r="K445" s="1">
        <v>0.61138956905665698</v>
      </c>
      <c r="L445" s="1">
        <v>0.71395704261228199</v>
      </c>
    </row>
    <row r="446" spans="1:12" x14ac:dyDescent="0.3">
      <c r="A446" t="s">
        <v>292</v>
      </c>
      <c r="B446" t="s">
        <v>326</v>
      </c>
      <c r="C446" t="s">
        <v>576</v>
      </c>
      <c r="D446" t="s">
        <v>595</v>
      </c>
      <c r="E446" s="2">
        <v>0.63255963050083697</v>
      </c>
      <c r="F446" s="2">
        <v>0.66322255281300602</v>
      </c>
      <c r="G446" s="2">
        <v>0.71475107115929004</v>
      </c>
      <c r="H446" s="2">
        <v>0.75066707601731897</v>
      </c>
      <c r="I446" s="1">
        <v>0.74958124331230802</v>
      </c>
      <c r="J446" s="1">
        <v>0.75066707601731897</v>
      </c>
      <c r="K446" s="1">
        <v>0.75464470018827101</v>
      </c>
      <c r="L446" s="1">
        <v>0.75066707601731897</v>
      </c>
    </row>
    <row r="447" spans="1:12" x14ac:dyDescent="0.3">
      <c r="A447" t="s">
        <v>292</v>
      </c>
      <c r="B447" t="s">
        <v>327</v>
      </c>
      <c r="C447" t="s">
        <v>576</v>
      </c>
      <c r="D447" t="s">
        <v>595</v>
      </c>
      <c r="E447" s="2">
        <v>0.64827015183182202</v>
      </c>
      <c r="F447" s="2">
        <v>0.85029982845709495</v>
      </c>
      <c r="G447" s="2">
        <v>0.78876587217823801</v>
      </c>
      <c r="H447" s="2">
        <v>0.931805005960893</v>
      </c>
      <c r="I447" s="1">
        <v>0.98876498027405202</v>
      </c>
      <c r="J447" s="1">
        <v>0.99207989083092696</v>
      </c>
      <c r="K447" s="1">
        <v>0.99583332094577504</v>
      </c>
      <c r="L447" s="1">
        <v>0.994181811695242</v>
      </c>
    </row>
    <row r="448" spans="1:12" x14ac:dyDescent="0.3">
      <c r="A448" t="s">
        <v>292</v>
      </c>
      <c r="B448" t="s">
        <v>328</v>
      </c>
      <c r="C448" t="s">
        <v>576</v>
      </c>
      <c r="D448" t="s">
        <v>595</v>
      </c>
      <c r="E448" s="2">
        <v>0.56007318033874398</v>
      </c>
      <c r="F448" s="2">
        <v>0.71321288637352998</v>
      </c>
      <c r="G448" s="2">
        <v>0.60976014262910205</v>
      </c>
      <c r="H448" s="2">
        <v>0.87577482015879904</v>
      </c>
      <c r="I448" s="1">
        <v>0.63575419283952095</v>
      </c>
      <c r="J448" s="1">
        <v>0.89168066007421598</v>
      </c>
      <c r="K448" s="1">
        <v>0.67091133362356703</v>
      </c>
      <c r="L448" s="1">
        <v>0.89277162758878004</v>
      </c>
    </row>
    <row r="449" spans="1:12" x14ac:dyDescent="0.3">
      <c r="A449" t="s">
        <v>292</v>
      </c>
      <c r="B449" t="s">
        <v>329</v>
      </c>
      <c r="C449" t="s">
        <v>576</v>
      </c>
      <c r="D449" t="s">
        <v>595</v>
      </c>
      <c r="E449" s="2">
        <v>0.68558470704533903</v>
      </c>
      <c r="F449" s="2">
        <v>0.77013367531415</v>
      </c>
      <c r="G449" s="2">
        <v>0.78509978893371402</v>
      </c>
      <c r="H449" s="2">
        <v>0.99189354065920299</v>
      </c>
      <c r="I449" s="1">
        <v>0.97226526668269697</v>
      </c>
      <c r="J449" s="1">
        <v>0.997174650671938</v>
      </c>
      <c r="K449" s="1">
        <v>0.99186459697026297</v>
      </c>
      <c r="L449" s="1">
        <v>0.997174650671938</v>
      </c>
    </row>
    <row r="450" spans="1:12" x14ac:dyDescent="0.3">
      <c r="A450" t="s">
        <v>292</v>
      </c>
      <c r="B450" t="s">
        <v>330</v>
      </c>
      <c r="C450" t="s">
        <v>576</v>
      </c>
      <c r="D450" t="s">
        <v>595</v>
      </c>
      <c r="E450" s="2">
        <v>0.73277617904483505</v>
      </c>
      <c r="F450" s="2">
        <v>0.87641612119223999</v>
      </c>
      <c r="G450" s="2">
        <v>0.86924717073970803</v>
      </c>
      <c r="H450" s="2">
        <v>0.99209447269148698</v>
      </c>
      <c r="I450" s="1">
        <v>0.984582581597506</v>
      </c>
      <c r="J450" s="1">
        <v>0.99803778311240998</v>
      </c>
      <c r="K450" s="1">
        <v>0.99977037887485598</v>
      </c>
      <c r="L450" s="1">
        <v>0.99903976620394497</v>
      </c>
    </row>
    <row r="451" spans="1:12" x14ac:dyDescent="0.3">
      <c r="A451" t="s">
        <v>292</v>
      </c>
      <c r="B451" t="s">
        <v>331</v>
      </c>
      <c r="C451" t="s">
        <v>576</v>
      </c>
      <c r="D451" t="s">
        <v>598</v>
      </c>
      <c r="E451" s="2">
        <v>0.832515522334076</v>
      </c>
      <c r="F451" s="2">
        <v>0.96208330821628796</v>
      </c>
      <c r="G451" s="2">
        <v>0.965495207667731</v>
      </c>
      <c r="H451" s="2">
        <v>0.95841220085598799</v>
      </c>
      <c r="I451" s="1">
        <v>0.97313279884260595</v>
      </c>
      <c r="J451" s="1">
        <v>0.99996985954548201</v>
      </c>
      <c r="K451" s="1">
        <v>0.98696726746639296</v>
      </c>
      <c r="L451" s="1">
        <v>0.99626861173066406</v>
      </c>
    </row>
    <row r="452" spans="1:12" x14ac:dyDescent="0.3">
      <c r="A452" t="s">
        <v>292</v>
      </c>
      <c r="B452" t="s">
        <v>332</v>
      </c>
      <c r="C452" t="s">
        <v>574</v>
      </c>
      <c r="D452" t="s">
        <v>575</v>
      </c>
      <c r="E452" s="2">
        <v>0.79600002100967204</v>
      </c>
      <c r="F452" s="2">
        <v>0.79897989286817905</v>
      </c>
      <c r="G452" s="2">
        <v>0.87846955041927399</v>
      </c>
      <c r="H452" s="2">
        <v>0.85470892412094202</v>
      </c>
      <c r="I452" s="1">
        <v>0.88494096719777304</v>
      </c>
      <c r="J452" s="1">
        <v>0.99746658367846097</v>
      </c>
      <c r="K452" s="1">
        <v>0.92522088606542197</v>
      </c>
      <c r="L452" s="1">
        <v>0.99805397910062799</v>
      </c>
    </row>
    <row r="453" spans="1:12" x14ac:dyDescent="0.3">
      <c r="A453" t="s">
        <v>292</v>
      </c>
      <c r="B453" t="s">
        <v>333</v>
      </c>
      <c r="C453" t="s">
        <v>574</v>
      </c>
      <c r="D453" t="s">
        <v>575</v>
      </c>
      <c r="E453" s="2">
        <v>0.98206234071750598</v>
      </c>
      <c r="F453" s="2">
        <v>0.99345226426190902</v>
      </c>
      <c r="G453" s="2">
        <v>0.99894791870874899</v>
      </c>
      <c r="H453" s="2">
        <v>0.99918316669934004</v>
      </c>
      <c r="I453" s="1">
        <v>0.99896752270796496</v>
      </c>
      <c r="J453" s="1">
        <v>1</v>
      </c>
      <c r="K453" s="1">
        <v>0.99909168136966597</v>
      </c>
      <c r="L453" s="1">
        <v>0.99918316669934004</v>
      </c>
    </row>
    <row r="454" spans="1:12" x14ac:dyDescent="0.3">
      <c r="A454" t="s">
        <v>292</v>
      </c>
      <c r="B454" t="s">
        <v>334</v>
      </c>
      <c r="C454" t="s">
        <v>574</v>
      </c>
      <c r="D454" t="s">
        <v>575</v>
      </c>
      <c r="E454" s="2">
        <v>0.88700725495080301</v>
      </c>
      <c r="F454" s="2">
        <v>0.85139027276124002</v>
      </c>
      <c r="G454" s="2">
        <v>0.96363183459957602</v>
      </c>
      <c r="H454" s="2">
        <v>0.85127350853157302</v>
      </c>
      <c r="I454" s="1">
        <v>0.96757846556233595</v>
      </c>
      <c r="J454" s="1">
        <v>0.98242698343504797</v>
      </c>
      <c r="K454" s="1">
        <v>0.96781588616266001</v>
      </c>
      <c r="L454" s="1">
        <v>0.98242698343504797</v>
      </c>
    </row>
    <row r="455" spans="1:12" x14ac:dyDescent="0.3">
      <c r="A455" t="s">
        <v>292</v>
      </c>
      <c r="B455" t="s">
        <v>335</v>
      </c>
      <c r="C455" t="s">
        <v>580</v>
      </c>
      <c r="D455" t="s">
        <v>581</v>
      </c>
      <c r="E455" s="2">
        <v>1</v>
      </c>
      <c r="F455" s="2">
        <v>1</v>
      </c>
      <c r="G455" s="2">
        <v>1</v>
      </c>
      <c r="H455" s="2">
        <v>1</v>
      </c>
      <c r="I455" s="1">
        <v>1</v>
      </c>
      <c r="J455" s="1">
        <v>1</v>
      </c>
      <c r="K455" s="1">
        <v>1</v>
      </c>
      <c r="L455" s="1">
        <v>1</v>
      </c>
    </row>
    <row r="456" spans="1:12" x14ac:dyDescent="0.3">
      <c r="A456" t="s">
        <v>292</v>
      </c>
      <c r="B456" t="s">
        <v>336</v>
      </c>
      <c r="C456" t="s">
        <v>34</v>
      </c>
      <c r="D456" t="s">
        <v>35</v>
      </c>
      <c r="E456" s="2">
        <v>0.678125075349016</v>
      </c>
      <c r="F456" s="2">
        <v>0.66329056188264002</v>
      </c>
      <c r="G456" s="2">
        <v>0.73514097298687497</v>
      </c>
      <c r="H456" s="2">
        <v>0.75505280459086399</v>
      </c>
      <c r="I456" s="1">
        <v>0.91422629620401696</v>
      </c>
      <c r="J456" s="1">
        <v>0.88924880044365395</v>
      </c>
      <c r="K456" s="1">
        <v>0.98411039936988098</v>
      </c>
      <c r="L456" s="1">
        <v>0.98487252955690696</v>
      </c>
    </row>
    <row r="457" spans="1:12" x14ac:dyDescent="0.3">
      <c r="A457" t="s">
        <v>292</v>
      </c>
      <c r="B457" t="s">
        <v>337</v>
      </c>
      <c r="C457" t="s">
        <v>574</v>
      </c>
      <c r="D457" t="s">
        <v>575</v>
      </c>
      <c r="E457" s="2">
        <v>0.77155788177339901</v>
      </c>
      <c r="F457" s="2">
        <v>0.83011330049261001</v>
      </c>
      <c r="G457" s="2">
        <v>0.77155788177339901</v>
      </c>
      <c r="H457" s="2">
        <v>0.83072906403940805</v>
      </c>
      <c r="I457" s="1">
        <v>0.77032635467980204</v>
      </c>
      <c r="J457" s="1">
        <v>0.83072906403940805</v>
      </c>
      <c r="K457" s="1">
        <v>0.77278940886699499</v>
      </c>
      <c r="L457" s="1">
        <v>0.83072906403940805</v>
      </c>
    </row>
    <row r="458" spans="1:12" x14ac:dyDescent="0.3">
      <c r="A458" t="s">
        <v>292</v>
      </c>
      <c r="B458" t="s">
        <v>338</v>
      </c>
      <c r="C458" t="s">
        <v>576</v>
      </c>
      <c r="D458" t="s">
        <v>591</v>
      </c>
      <c r="E458" s="2">
        <v>0.78935174418604603</v>
      </c>
      <c r="F458" s="2">
        <v>0.92943895348837202</v>
      </c>
      <c r="G458" s="2">
        <v>0.903276162790697</v>
      </c>
      <c r="H458" s="2">
        <v>0.92943895348837202</v>
      </c>
      <c r="I458" s="1">
        <v>0.90036918604651095</v>
      </c>
      <c r="J458" s="1">
        <v>0.922171511627906</v>
      </c>
      <c r="K458" s="1">
        <v>0.89600872093023198</v>
      </c>
      <c r="L458" s="1">
        <v>0.91635755813953401</v>
      </c>
    </row>
    <row r="459" spans="1:12" x14ac:dyDescent="0.3">
      <c r="A459" t="s">
        <v>292</v>
      </c>
      <c r="B459" t="s">
        <v>339</v>
      </c>
      <c r="C459" t="s">
        <v>580</v>
      </c>
      <c r="D459" t="s">
        <v>581</v>
      </c>
      <c r="E459" s="2">
        <v>0.97018430439952397</v>
      </c>
      <c r="F459" s="2">
        <v>0.97018430439952397</v>
      </c>
      <c r="G459" s="2">
        <v>0.97018430439952397</v>
      </c>
      <c r="H459" s="2">
        <v>0.97018430439952397</v>
      </c>
      <c r="I459" s="1">
        <v>0.97018430439952397</v>
      </c>
      <c r="J459" s="1">
        <v>0.97018430439952397</v>
      </c>
      <c r="K459" s="1">
        <v>0.97018430439952397</v>
      </c>
      <c r="L459" s="1">
        <v>0.97018430439952397</v>
      </c>
    </row>
    <row r="460" spans="1:12" x14ac:dyDescent="0.3">
      <c r="A460" t="s">
        <v>292</v>
      </c>
      <c r="B460" t="s">
        <v>340</v>
      </c>
      <c r="C460" t="s">
        <v>574</v>
      </c>
      <c r="D460" t="s">
        <v>575</v>
      </c>
      <c r="E460" s="2">
        <v>0.87393981481481398</v>
      </c>
      <c r="F460" s="2">
        <v>0.93908333333333305</v>
      </c>
      <c r="G460" s="2">
        <v>0.87393981481481398</v>
      </c>
      <c r="H460" s="2">
        <v>0.93908333333333305</v>
      </c>
      <c r="I460" s="1">
        <v>0.87393981481481398</v>
      </c>
      <c r="J460" s="1">
        <v>0.93908333333333305</v>
      </c>
      <c r="K460" s="1">
        <v>0.87393981481481398</v>
      </c>
      <c r="L460" s="1">
        <v>0.93908333333333305</v>
      </c>
    </row>
    <row r="461" spans="1:12" x14ac:dyDescent="0.3">
      <c r="A461" t="s">
        <v>292</v>
      </c>
      <c r="B461" t="s">
        <v>341</v>
      </c>
      <c r="C461" t="s">
        <v>580</v>
      </c>
      <c r="D461" t="s">
        <v>581</v>
      </c>
      <c r="E461" s="2">
        <v>0.74209999999999998</v>
      </c>
      <c r="F461" s="2">
        <v>0.82473750000000001</v>
      </c>
      <c r="G461" s="2">
        <v>0.81225000000000003</v>
      </c>
      <c r="H461" s="2">
        <v>0.84375</v>
      </c>
      <c r="I461" s="1">
        <v>0.81225000000000003</v>
      </c>
      <c r="J461" s="1">
        <v>0.86250000000000004</v>
      </c>
      <c r="K461" s="1">
        <v>0.78725000000000001</v>
      </c>
      <c r="L461" s="1">
        <v>0.86875000000000002</v>
      </c>
    </row>
    <row r="462" spans="1:12" x14ac:dyDescent="0.3">
      <c r="A462" t="s">
        <v>292</v>
      </c>
      <c r="B462" t="s">
        <v>342</v>
      </c>
      <c r="C462" t="s">
        <v>34</v>
      </c>
      <c r="D462" t="s">
        <v>35</v>
      </c>
      <c r="E462" s="2">
        <v>0.69823369570531801</v>
      </c>
      <c r="F462" s="2">
        <v>0.65489397754266299</v>
      </c>
      <c r="G462" s="2">
        <v>0.73061757088862</v>
      </c>
      <c r="H462" s="2">
        <v>0.74984931046581305</v>
      </c>
      <c r="I462" s="1">
        <v>0.90883762337277696</v>
      </c>
      <c r="J462" s="1">
        <v>0.88922471065849196</v>
      </c>
      <c r="K462" s="1">
        <v>0.988944218861049</v>
      </c>
      <c r="L462" s="1">
        <v>0.97215421690140003</v>
      </c>
    </row>
    <row r="463" spans="1:12" x14ac:dyDescent="0.3">
      <c r="A463" t="s">
        <v>292</v>
      </c>
      <c r="B463" t="s">
        <v>343</v>
      </c>
      <c r="C463" t="s">
        <v>574</v>
      </c>
      <c r="D463" t="s">
        <v>575</v>
      </c>
      <c r="E463" s="2">
        <v>0.78685012285012201</v>
      </c>
      <c r="F463" s="2">
        <v>0.79433660933660899</v>
      </c>
      <c r="G463" s="2">
        <v>0.81767813267813205</v>
      </c>
      <c r="H463" s="2">
        <v>0.79495085995086001</v>
      </c>
      <c r="I463" s="1">
        <v>0.81522113022112996</v>
      </c>
      <c r="J463" s="1">
        <v>0.79925061425061406</v>
      </c>
      <c r="K463" s="1">
        <v>0.81522113022112996</v>
      </c>
      <c r="L463" s="1">
        <v>0.79495085995086001</v>
      </c>
    </row>
    <row r="464" spans="1:12" x14ac:dyDescent="0.3">
      <c r="A464" t="s">
        <v>292</v>
      </c>
      <c r="B464" t="s">
        <v>344</v>
      </c>
      <c r="C464" t="s">
        <v>576</v>
      </c>
      <c r="D464" t="s">
        <v>591</v>
      </c>
      <c r="E464" s="2">
        <v>0.70249999999999901</v>
      </c>
      <c r="F464" s="2">
        <v>0.76043478260869501</v>
      </c>
      <c r="G464" s="2">
        <v>0.78217391304347805</v>
      </c>
      <c r="H464" s="2">
        <v>0.76043478260869501</v>
      </c>
      <c r="I464" s="1">
        <v>0.79304347826086896</v>
      </c>
      <c r="J464" s="1">
        <v>0.76043478260869501</v>
      </c>
      <c r="K464" s="1">
        <v>0.80391304347825998</v>
      </c>
      <c r="L464" s="1">
        <v>0.76043478260869501</v>
      </c>
    </row>
    <row r="465" spans="1:12" x14ac:dyDescent="0.3">
      <c r="A465" t="s">
        <v>292</v>
      </c>
      <c r="B465" t="s">
        <v>345</v>
      </c>
      <c r="C465" t="s">
        <v>574</v>
      </c>
      <c r="D465" t="s">
        <v>575</v>
      </c>
      <c r="E465" s="2">
        <v>0.68960294117647003</v>
      </c>
      <c r="F465" s="2">
        <v>0.80435294117647005</v>
      </c>
      <c r="G465" s="2">
        <v>0.80435294117647005</v>
      </c>
      <c r="H465" s="2">
        <v>0.80435294117647005</v>
      </c>
      <c r="I465" s="1">
        <v>0.80435294117647005</v>
      </c>
      <c r="J465" s="1">
        <v>0.80435294117647005</v>
      </c>
      <c r="K465" s="1">
        <v>0.80435294117647005</v>
      </c>
      <c r="L465" s="1">
        <v>0.80435294117647005</v>
      </c>
    </row>
    <row r="466" spans="1:12" x14ac:dyDescent="0.3">
      <c r="A466" t="s">
        <v>292</v>
      </c>
      <c r="B466" t="s">
        <v>346</v>
      </c>
      <c r="C466" t="s">
        <v>580</v>
      </c>
      <c r="D466" t="s">
        <v>581</v>
      </c>
      <c r="E466" s="2">
        <v>0</v>
      </c>
      <c r="F466" s="2">
        <v>0</v>
      </c>
      <c r="G466" s="2">
        <v>0</v>
      </c>
      <c r="H466" s="2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3">
      <c r="A467" t="s">
        <v>292</v>
      </c>
      <c r="B467" t="s">
        <v>347</v>
      </c>
      <c r="C467" t="s">
        <v>34</v>
      </c>
      <c r="D467" t="s">
        <v>35</v>
      </c>
      <c r="E467" s="2">
        <v>1</v>
      </c>
      <c r="F467" s="2">
        <v>1</v>
      </c>
      <c r="G467" s="2">
        <v>1</v>
      </c>
      <c r="H467" s="2">
        <v>1</v>
      </c>
      <c r="I467" s="1">
        <v>1</v>
      </c>
      <c r="J467" s="1">
        <v>0.83333333333333304</v>
      </c>
      <c r="K467" s="1">
        <v>1</v>
      </c>
      <c r="L467" s="1">
        <v>0.83333333333333304</v>
      </c>
    </row>
    <row r="468" spans="1:12" x14ac:dyDescent="0.3">
      <c r="A468" t="s">
        <v>292</v>
      </c>
      <c r="B468" t="s">
        <v>348</v>
      </c>
      <c r="C468" t="s">
        <v>34</v>
      </c>
      <c r="D468" t="s">
        <v>35</v>
      </c>
      <c r="E468" s="2">
        <v>0.69987879810339004</v>
      </c>
      <c r="F468" s="2">
        <v>0.71829393901724303</v>
      </c>
      <c r="G468" s="2">
        <v>0.73138640762906004</v>
      </c>
      <c r="H468" s="2">
        <v>0.822730017225764</v>
      </c>
      <c r="I468" s="1">
        <v>0.90074319404734404</v>
      </c>
      <c r="J468" s="1">
        <v>0.94653264903837597</v>
      </c>
      <c r="K468" s="1">
        <v>0.98882545151036205</v>
      </c>
      <c r="L468" s="1">
        <v>0.98079726873967699</v>
      </c>
    </row>
    <row r="469" spans="1:12" x14ac:dyDescent="0.3">
      <c r="A469" t="s">
        <v>292</v>
      </c>
      <c r="B469" t="s">
        <v>349</v>
      </c>
      <c r="C469" t="s">
        <v>574</v>
      </c>
      <c r="D469" t="s">
        <v>575</v>
      </c>
      <c r="E469" s="2">
        <v>0.70183009708737798</v>
      </c>
      <c r="F469" s="2">
        <v>0.87598058252427102</v>
      </c>
      <c r="G469" s="2">
        <v>0.77687055016181195</v>
      </c>
      <c r="H469" s="2">
        <v>0.87638511326860802</v>
      </c>
      <c r="I469" s="1">
        <v>0.77606148867313896</v>
      </c>
      <c r="J469" s="1">
        <v>0.878003236245954</v>
      </c>
      <c r="K469" s="1">
        <v>0.77484789644012897</v>
      </c>
      <c r="L469" s="1">
        <v>0.87719417475728101</v>
      </c>
    </row>
    <row r="470" spans="1:12" x14ac:dyDescent="0.3">
      <c r="A470" t="s">
        <v>292</v>
      </c>
      <c r="B470" t="s">
        <v>350</v>
      </c>
      <c r="C470" t="s">
        <v>576</v>
      </c>
      <c r="D470" t="s">
        <v>591</v>
      </c>
      <c r="E470" s="2">
        <v>0.82116071428571402</v>
      </c>
      <c r="F470" s="2">
        <v>0.67842857142857105</v>
      </c>
      <c r="G470" s="2">
        <v>0.82142857142857095</v>
      </c>
      <c r="H470" s="2">
        <v>0.67857142857142805</v>
      </c>
      <c r="I470" s="1">
        <v>0.82142857142857095</v>
      </c>
      <c r="J470" s="1">
        <v>0.67857142857142805</v>
      </c>
      <c r="K470" s="1">
        <v>0.82142857142857095</v>
      </c>
      <c r="L470" s="1">
        <v>0.67857142857142805</v>
      </c>
    </row>
    <row r="471" spans="1:12" x14ac:dyDescent="0.3">
      <c r="A471" t="s">
        <v>292</v>
      </c>
      <c r="B471" t="s">
        <v>351</v>
      </c>
      <c r="C471" t="s">
        <v>576</v>
      </c>
      <c r="D471" t="s">
        <v>595</v>
      </c>
      <c r="E471" s="2">
        <v>0.64321565377055201</v>
      </c>
      <c r="F471" s="2">
        <v>0.87097266230944304</v>
      </c>
      <c r="G471" s="2">
        <v>0.72306738155058403</v>
      </c>
      <c r="H471" s="2">
        <v>0.99591618245080804</v>
      </c>
      <c r="I471" s="1">
        <v>0.91024523050977202</v>
      </c>
      <c r="J471" s="1">
        <v>0.99663998802770903</v>
      </c>
      <c r="K471" s="1">
        <v>0.99816674293246299</v>
      </c>
      <c r="L471" s="1">
        <v>0.99663998802770903</v>
      </c>
    </row>
    <row r="472" spans="1:12" x14ac:dyDescent="0.3">
      <c r="A472" t="s">
        <v>292</v>
      </c>
      <c r="B472" t="s">
        <v>352</v>
      </c>
      <c r="C472" t="s">
        <v>574</v>
      </c>
      <c r="D472" t="s">
        <v>575</v>
      </c>
      <c r="E472" s="2">
        <v>0.98037695283243298</v>
      </c>
      <c r="F472" s="2">
        <v>0.96571033316004096</v>
      </c>
      <c r="G472" s="2">
        <v>0.99980614861352202</v>
      </c>
      <c r="H472" s="2">
        <v>0.99622870939033703</v>
      </c>
      <c r="I472" s="1">
        <v>0.99980614861352202</v>
      </c>
      <c r="J472" s="1">
        <v>0.99690498638634495</v>
      </c>
      <c r="K472" s="1">
        <v>0.99980614861352202</v>
      </c>
      <c r="L472" s="1">
        <v>0.99818704896509802</v>
      </c>
    </row>
    <row r="473" spans="1:12" x14ac:dyDescent="0.3">
      <c r="A473" t="s">
        <v>292</v>
      </c>
      <c r="B473" t="s">
        <v>353</v>
      </c>
      <c r="C473" t="s">
        <v>574</v>
      </c>
      <c r="D473" t="s">
        <v>575</v>
      </c>
      <c r="E473" s="2">
        <v>0.98256399919370996</v>
      </c>
      <c r="F473" s="2">
        <v>0.95872807901632695</v>
      </c>
      <c r="G473" s="2">
        <v>0.99221427131626605</v>
      </c>
      <c r="H473" s="2">
        <v>0.98982689981858496</v>
      </c>
      <c r="I473" s="1">
        <v>0.99221427131626605</v>
      </c>
      <c r="J473" s="1">
        <v>0.98983319895182398</v>
      </c>
      <c r="K473" s="1">
        <v>0.99288512900624804</v>
      </c>
      <c r="L473" s="1">
        <v>0.99000012598266396</v>
      </c>
    </row>
    <row r="474" spans="1:12" x14ac:dyDescent="0.3">
      <c r="A474" t="s">
        <v>292</v>
      </c>
      <c r="B474" t="s">
        <v>719</v>
      </c>
      <c r="C474" t="s">
        <v>574</v>
      </c>
      <c r="D474" t="s">
        <v>575</v>
      </c>
      <c r="E474" s="2">
        <v>0.90854875896801701</v>
      </c>
      <c r="F474" s="2">
        <v>0.85115988510632801</v>
      </c>
      <c r="G474" s="2">
        <v>0.99471257261357304</v>
      </c>
      <c r="H474" s="2">
        <v>0.99161482282932001</v>
      </c>
      <c r="I474" s="1">
        <v>0.99781032239782497</v>
      </c>
      <c r="J474" s="1">
        <v>0.99334080399809299</v>
      </c>
      <c r="K474" s="1">
        <v>0.99666396177080496</v>
      </c>
      <c r="L474" s="1">
        <v>0.997275783453765</v>
      </c>
    </row>
    <row r="475" spans="1:12" x14ac:dyDescent="0.3">
      <c r="A475" t="s">
        <v>292</v>
      </c>
      <c r="B475" t="s">
        <v>720</v>
      </c>
      <c r="C475" t="s">
        <v>574</v>
      </c>
      <c r="D475" t="s">
        <v>575</v>
      </c>
      <c r="E475" s="2">
        <v>0</v>
      </c>
      <c r="F475" s="2">
        <v>0</v>
      </c>
      <c r="G475" s="2">
        <v>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 x14ac:dyDescent="0.3">
      <c r="A476" t="s">
        <v>292</v>
      </c>
      <c r="B476" t="s">
        <v>354</v>
      </c>
      <c r="C476" t="s">
        <v>576</v>
      </c>
      <c r="D476" t="s">
        <v>598</v>
      </c>
      <c r="E476" s="2">
        <v>0</v>
      </c>
      <c r="F476" s="2">
        <v>0</v>
      </c>
      <c r="G476" s="2">
        <v>0</v>
      </c>
      <c r="H476" s="2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3">
      <c r="A477" t="s">
        <v>292</v>
      </c>
      <c r="B477" t="s">
        <v>355</v>
      </c>
      <c r="C477" t="s">
        <v>574</v>
      </c>
      <c r="D477" t="s">
        <v>575</v>
      </c>
      <c r="E477" s="2">
        <v>0.99234082122057399</v>
      </c>
      <c r="F477" s="2">
        <v>0.98507316595702998</v>
      </c>
      <c r="G477" s="2">
        <v>0.99858072725492997</v>
      </c>
      <c r="H477" s="2">
        <v>1</v>
      </c>
      <c r="I477" s="1">
        <v>0.99876425390300005</v>
      </c>
      <c r="J477" s="1">
        <v>1</v>
      </c>
      <c r="K477" s="1">
        <v>0.99877648901287097</v>
      </c>
      <c r="L477" s="1">
        <v>1</v>
      </c>
    </row>
    <row r="478" spans="1:12" x14ac:dyDescent="0.3">
      <c r="A478" t="s">
        <v>292</v>
      </c>
      <c r="B478" t="s">
        <v>721</v>
      </c>
      <c r="C478" t="s">
        <v>574</v>
      </c>
      <c r="D478" t="s">
        <v>575</v>
      </c>
      <c r="E478" s="2">
        <v>0.77821620431768201</v>
      </c>
      <c r="F478" s="2">
        <v>0.756375831600548</v>
      </c>
      <c r="G478" s="2">
        <v>0.88170169530992704</v>
      </c>
      <c r="H478" s="2">
        <v>0.85130199947970897</v>
      </c>
      <c r="I478" s="1">
        <v>0.93116930723149105</v>
      </c>
      <c r="J478" s="1">
        <v>0.91219507979908698</v>
      </c>
      <c r="K478" s="1">
        <v>0.95955924488760003</v>
      </c>
      <c r="L478" s="1">
        <v>0.91944503568355396</v>
      </c>
    </row>
    <row r="479" spans="1:12" x14ac:dyDescent="0.3">
      <c r="A479" t="s">
        <v>292</v>
      </c>
      <c r="B479" t="s">
        <v>722</v>
      </c>
      <c r="C479" t="s">
        <v>574</v>
      </c>
      <c r="D479" t="s">
        <v>575</v>
      </c>
      <c r="E479" s="2">
        <v>0.93313095231896304</v>
      </c>
      <c r="F479" s="2">
        <v>0.94576588022723596</v>
      </c>
      <c r="G479" s="2">
        <v>0.99789895181908606</v>
      </c>
      <c r="H479" s="2">
        <v>0.99716215301462596</v>
      </c>
      <c r="I479" s="1">
        <v>0.99796404005269501</v>
      </c>
      <c r="J479" s="1">
        <v>0.998919535322082</v>
      </c>
      <c r="K479" s="1">
        <v>0.99809421651991403</v>
      </c>
      <c r="L479" s="1">
        <v>0.998919535322082</v>
      </c>
    </row>
    <row r="480" spans="1:12" x14ac:dyDescent="0.3">
      <c r="A480" t="s">
        <v>292</v>
      </c>
      <c r="B480" t="s">
        <v>356</v>
      </c>
      <c r="C480" t="s">
        <v>574</v>
      </c>
      <c r="D480" t="s">
        <v>575</v>
      </c>
      <c r="E480" s="2">
        <v>0.90293951711048503</v>
      </c>
      <c r="F480" s="2">
        <v>0.84393004419194495</v>
      </c>
      <c r="G480" s="2">
        <v>0.96744660315745101</v>
      </c>
      <c r="H480" s="2">
        <v>0.97602717080095602</v>
      </c>
      <c r="I480" s="1">
        <v>0.99910905604259004</v>
      </c>
      <c r="J480" s="1">
        <v>0.99759343128440803</v>
      </c>
      <c r="K480" s="1">
        <v>0.99906508920695003</v>
      </c>
      <c r="L480" s="1">
        <v>0.99924447389636195</v>
      </c>
    </row>
    <row r="481" spans="1:12" x14ac:dyDescent="0.3">
      <c r="A481" t="s">
        <v>292</v>
      </c>
      <c r="B481" t="s">
        <v>357</v>
      </c>
      <c r="C481" t="s">
        <v>574</v>
      </c>
      <c r="D481" t="s">
        <v>575</v>
      </c>
      <c r="E481" s="2">
        <v>0.96233187556729105</v>
      </c>
      <c r="F481" s="2">
        <v>0.98791566960970301</v>
      </c>
      <c r="G481" s="2">
        <v>0.99948015512831001</v>
      </c>
      <c r="H481" s="2">
        <v>0.99832907005528504</v>
      </c>
      <c r="I481" s="1">
        <v>0.99965343675220697</v>
      </c>
      <c r="J481" s="1">
        <v>0.998494100173281</v>
      </c>
      <c r="K481" s="1">
        <v>0.99965343675220697</v>
      </c>
      <c r="L481" s="1">
        <v>0.99860549550292899</v>
      </c>
    </row>
    <row r="482" spans="1:12" x14ac:dyDescent="0.3">
      <c r="A482" t="s">
        <v>292</v>
      </c>
      <c r="B482" t="s">
        <v>723</v>
      </c>
      <c r="C482" t="s">
        <v>574</v>
      </c>
      <c r="D482" t="s">
        <v>575</v>
      </c>
      <c r="E482" s="2">
        <v>1</v>
      </c>
      <c r="F482" s="2">
        <v>1</v>
      </c>
      <c r="G482" s="2">
        <v>0.99170490645958298</v>
      </c>
      <c r="H482" s="2">
        <v>0.99226379574067503</v>
      </c>
      <c r="I482" s="1">
        <v>0.99350904027924802</v>
      </c>
      <c r="J482" s="1">
        <v>0.99249911754324005</v>
      </c>
      <c r="K482" s="1">
        <v>0.99508765737145499</v>
      </c>
      <c r="L482" s="1">
        <v>0.99468564929207304</v>
      </c>
    </row>
    <row r="483" spans="1:12" x14ac:dyDescent="0.3">
      <c r="A483" t="s">
        <v>292</v>
      </c>
      <c r="B483" t="s">
        <v>724</v>
      </c>
      <c r="C483" t="s">
        <v>574</v>
      </c>
      <c r="D483" t="s">
        <v>575</v>
      </c>
      <c r="E483" s="2">
        <v>0.94545953631103996</v>
      </c>
      <c r="F483" s="2">
        <v>0.934673207674657</v>
      </c>
      <c r="G483" s="2">
        <v>0.99386252621799298</v>
      </c>
      <c r="H483" s="2">
        <v>0.994524134630273</v>
      </c>
      <c r="I483" s="1">
        <v>0.99426019510409702</v>
      </c>
      <c r="J483" s="1">
        <v>0.994524134630273</v>
      </c>
      <c r="K483" s="1">
        <v>0.99445375075662601</v>
      </c>
      <c r="L483" s="1">
        <v>0.99459803769760202</v>
      </c>
    </row>
    <row r="484" spans="1:12" x14ac:dyDescent="0.3">
      <c r="A484" t="s">
        <v>292</v>
      </c>
      <c r="B484" t="s">
        <v>725</v>
      </c>
      <c r="C484" t="s">
        <v>576</v>
      </c>
      <c r="D484" t="s">
        <v>14</v>
      </c>
      <c r="E484" s="2">
        <v>0.88064989005619299</v>
      </c>
      <c r="F484" s="2">
        <v>0.94118006352308803</v>
      </c>
      <c r="G484" s="2">
        <v>0.98405814805765901</v>
      </c>
      <c r="H484" s="2">
        <v>1</v>
      </c>
      <c r="I484" s="1">
        <v>1</v>
      </c>
      <c r="J484" s="1">
        <v>1</v>
      </c>
      <c r="K484" s="1">
        <v>1</v>
      </c>
      <c r="L484" s="1">
        <v>1</v>
      </c>
    </row>
    <row r="485" spans="1:12" x14ac:dyDescent="0.3">
      <c r="A485" t="s">
        <v>292</v>
      </c>
      <c r="B485" t="s">
        <v>358</v>
      </c>
      <c r="C485" t="s">
        <v>576</v>
      </c>
      <c r="D485" t="s">
        <v>577</v>
      </c>
      <c r="E485" s="2">
        <v>0.75</v>
      </c>
      <c r="F485" s="2">
        <v>0.75</v>
      </c>
      <c r="G485" s="2">
        <v>0.75</v>
      </c>
      <c r="H485" s="2">
        <v>0.75</v>
      </c>
      <c r="I485" s="1">
        <v>0.75</v>
      </c>
      <c r="J485" s="1">
        <v>0.75</v>
      </c>
      <c r="K485" s="1">
        <v>0.75</v>
      </c>
      <c r="L485" s="1">
        <v>0.98750000000000004</v>
      </c>
    </row>
    <row r="486" spans="1:12" x14ac:dyDescent="0.3">
      <c r="A486" t="s">
        <v>292</v>
      </c>
      <c r="B486" t="s">
        <v>726</v>
      </c>
      <c r="C486" t="s">
        <v>580</v>
      </c>
      <c r="D486" t="s">
        <v>581</v>
      </c>
      <c r="E486" s="2">
        <v>0.92137290664897997</v>
      </c>
      <c r="F486" s="2">
        <v>0.88081578511026304</v>
      </c>
      <c r="G486" s="2">
        <v>0.97126513016083504</v>
      </c>
      <c r="H486" s="2">
        <v>0.96028850936826304</v>
      </c>
      <c r="I486" s="1">
        <v>0.97542696070303403</v>
      </c>
      <c r="J486" s="1">
        <v>0.96435085392140596</v>
      </c>
      <c r="K486" s="1">
        <v>0.97552644669208999</v>
      </c>
      <c r="L486" s="1">
        <v>0.97943956226164797</v>
      </c>
    </row>
    <row r="487" spans="1:12" x14ac:dyDescent="0.3">
      <c r="A487" t="s">
        <v>359</v>
      </c>
      <c r="B487" t="s">
        <v>727</v>
      </c>
      <c r="C487" t="s">
        <v>574</v>
      </c>
      <c r="D487" t="s">
        <v>575</v>
      </c>
      <c r="E487" s="2">
        <v>0.75878946751894005</v>
      </c>
      <c r="F487" s="2">
        <v>0.90439940353509896</v>
      </c>
      <c r="G487" s="2">
        <v>0.93444109909105499</v>
      </c>
      <c r="H487" s="2">
        <v>0.96967811790629399</v>
      </c>
      <c r="I487" s="1">
        <v>0.96451603711759204</v>
      </c>
      <c r="J487" s="1">
        <v>0.98101221739942501</v>
      </c>
      <c r="K487" s="1">
        <v>0.96413770614289196</v>
      </c>
      <c r="L487" s="1">
        <v>0.98258727731502105</v>
      </c>
    </row>
    <row r="488" spans="1:12" x14ac:dyDescent="0.3">
      <c r="A488" t="s">
        <v>359</v>
      </c>
      <c r="B488" t="s">
        <v>360</v>
      </c>
      <c r="C488" t="s">
        <v>576</v>
      </c>
      <c r="D488" t="s">
        <v>14</v>
      </c>
      <c r="E488" s="2">
        <v>1</v>
      </c>
      <c r="F488" s="2">
        <v>1</v>
      </c>
      <c r="G488" s="2">
        <v>1</v>
      </c>
      <c r="H488" s="2">
        <v>1</v>
      </c>
      <c r="I488" s="1">
        <v>1</v>
      </c>
      <c r="J488" s="1">
        <v>1</v>
      </c>
      <c r="K488" s="1">
        <v>1</v>
      </c>
      <c r="L488" s="1">
        <v>1</v>
      </c>
    </row>
    <row r="489" spans="1:12" x14ac:dyDescent="0.3">
      <c r="A489" t="s">
        <v>359</v>
      </c>
      <c r="B489" t="s">
        <v>361</v>
      </c>
      <c r="C489" t="s">
        <v>574</v>
      </c>
      <c r="D489" t="s">
        <v>575</v>
      </c>
      <c r="E489" s="2">
        <v>0.839114659222163</v>
      </c>
      <c r="F489" s="2">
        <v>0.85530767755180304</v>
      </c>
      <c r="G489" s="2">
        <v>0.89756053760412702</v>
      </c>
      <c r="H489" s="2">
        <v>0.86744784970593303</v>
      </c>
      <c r="I489" s="1">
        <v>0.90248884753053904</v>
      </c>
      <c r="J489" s="1">
        <v>0.87054564451682104</v>
      </c>
      <c r="K489" s="1">
        <v>0.90235007938354295</v>
      </c>
      <c r="L489" s="1">
        <v>0.87106806577610096</v>
      </c>
    </row>
    <row r="490" spans="1:12" x14ac:dyDescent="0.3">
      <c r="A490" t="s">
        <v>359</v>
      </c>
      <c r="B490" t="s">
        <v>362</v>
      </c>
      <c r="C490" t="s">
        <v>574</v>
      </c>
      <c r="D490" t="s">
        <v>575</v>
      </c>
      <c r="E490" s="2">
        <v>0.79862833760944196</v>
      </c>
      <c r="F490" s="2">
        <v>0.81358999437727098</v>
      </c>
      <c r="G490" s="2">
        <v>0.85691335799774104</v>
      </c>
      <c r="H490" s="2">
        <v>0.83448150405639698</v>
      </c>
      <c r="I490" s="1">
        <v>0.87129384193043802</v>
      </c>
      <c r="J490" s="1">
        <v>0.85736459381688801</v>
      </c>
      <c r="K490" s="1">
        <v>0.872782211386262</v>
      </c>
      <c r="L490" s="1">
        <v>0.85865687650313405</v>
      </c>
    </row>
    <row r="491" spans="1:12" x14ac:dyDescent="0.3">
      <c r="A491" t="s">
        <v>359</v>
      </c>
      <c r="B491" t="s">
        <v>363</v>
      </c>
      <c r="C491" t="s">
        <v>576</v>
      </c>
      <c r="D491" t="s">
        <v>14</v>
      </c>
      <c r="E491" s="2">
        <v>0.75596855083063397</v>
      </c>
      <c r="F491" s="2">
        <v>0.894577369135931</v>
      </c>
      <c r="G491" s="2">
        <v>0.85934071674851098</v>
      </c>
      <c r="H491" s="2">
        <v>0.921690523456274</v>
      </c>
      <c r="I491" s="1">
        <v>0.92214763347612505</v>
      </c>
      <c r="J491" s="1">
        <v>0.930349493260892</v>
      </c>
      <c r="K491" s="1">
        <v>0.94116341030195305</v>
      </c>
      <c r="L491" s="1">
        <v>0.90078100511963199</v>
      </c>
    </row>
    <row r="492" spans="1:12" x14ac:dyDescent="0.3">
      <c r="A492" t="s">
        <v>359</v>
      </c>
      <c r="B492" t="s">
        <v>364</v>
      </c>
      <c r="C492" t="s">
        <v>576</v>
      </c>
      <c r="D492" t="s">
        <v>14</v>
      </c>
      <c r="E492" s="2">
        <v>0.75596855083063397</v>
      </c>
      <c r="F492" s="2">
        <v>0.894577369135931</v>
      </c>
      <c r="G492" s="2">
        <v>0.85934071674851098</v>
      </c>
      <c r="H492" s="2">
        <v>0.921690523456274</v>
      </c>
      <c r="I492" s="1">
        <v>0.92214763347612505</v>
      </c>
      <c r="J492" s="1">
        <v>0.930349493260892</v>
      </c>
      <c r="K492" s="1">
        <v>0.94116341030195305</v>
      </c>
      <c r="L492" s="1">
        <v>0.90078100511963199</v>
      </c>
    </row>
    <row r="493" spans="1:12" x14ac:dyDescent="0.3">
      <c r="A493" t="s">
        <v>359</v>
      </c>
      <c r="B493" t="s">
        <v>365</v>
      </c>
      <c r="C493" t="s">
        <v>366</v>
      </c>
      <c r="D493" t="s">
        <v>367</v>
      </c>
      <c r="E493" s="2">
        <v>0.99443384248334599</v>
      </c>
      <c r="F493" s="2">
        <v>0.99444689236305694</v>
      </c>
      <c r="G493" s="2">
        <v>0.99443384248334599</v>
      </c>
      <c r="H493" s="2">
        <v>0.994560503080539</v>
      </c>
      <c r="I493" s="1">
        <v>0.99452826220125301</v>
      </c>
      <c r="J493" s="1">
        <v>0.99576876841376405</v>
      </c>
      <c r="K493" s="1">
        <v>0.99452826220125301</v>
      </c>
      <c r="L493" s="1">
        <v>0.996667674833844</v>
      </c>
    </row>
    <row r="494" spans="1:12" x14ac:dyDescent="0.3">
      <c r="A494" t="s">
        <v>359</v>
      </c>
      <c r="B494" t="s">
        <v>368</v>
      </c>
      <c r="C494" t="s">
        <v>366</v>
      </c>
      <c r="D494" t="s">
        <v>367</v>
      </c>
      <c r="E494" s="2">
        <v>0.65681080132237202</v>
      </c>
      <c r="F494" s="2">
        <v>0.89209246364939498</v>
      </c>
      <c r="G494" s="2">
        <v>0.77941619613235402</v>
      </c>
      <c r="H494" s="2">
        <v>0.94571179895263402</v>
      </c>
      <c r="I494" s="1">
        <v>0.92401443784558601</v>
      </c>
      <c r="J494" s="1">
        <v>0.98205508908457895</v>
      </c>
      <c r="K494" s="1">
        <v>0.97833408911383501</v>
      </c>
      <c r="L494" s="1">
        <v>0.98288778853749104</v>
      </c>
    </row>
    <row r="495" spans="1:12" x14ac:dyDescent="0.3">
      <c r="A495" t="s">
        <v>359</v>
      </c>
      <c r="B495" t="s">
        <v>728</v>
      </c>
      <c r="C495" t="s">
        <v>576</v>
      </c>
      <c r="D495" t="s">
        <v>14</v>
      </c>
      <c r="E495" s="2">
        <v>0</v>
      </c>
      <c r="F495" s="2">
        <v>0</v>
      </c>
      <c r="G495" s="2">
        <v>0</v>
      </c>
      <c r="H495" s="2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3">
      <c r="A496" t="s">
        <v>359</v>
      </c>
      <c r="B496" t="s">
        <v>369</v>
      </c>
      <c r="C496" t="s">
        <v>574</v>
      </c>
      <c r="D496" t="s">
        <v>575</v>
      </c>
      <c r="E496" s="2">
        <v>0.88037906137184097</v>
      </c>
      <c r="F496" s="2">
        <v>0.85122743682310398</v>
      </c>
      <c r="G496" s="2">
        <v>0.87839350180505404</v>
      </c>
      <c r="H496" s="2">
        <v>0.97601083032490898</v>
      </c>
      <c r="I496" s="1">
        <v>0.977815884476534</v>
      </c>
      <c r="J496" s="1">
        <v>0.97601083032490898</v>
      </c>
      <c r="K496" s="1">
        <v>0.977815884476534</v>
      </c>
      <c r="L496" s="1">
        <v>0.97601083032490898</v>
      </c>
    </row>
    <row r="497" spans="1:12" x14ac:dyDescent="0.3">
      <c r="A497" t="s">
        <v>359</v>
      </c>
      <c r="B497" t="s">
        <v>370</v>
      </c>
      <c r="C497" t="s">
        <v>574</v>
      </c>
      <c r="D497" t="s">
        <v>575</v>
      </c>
      <c r="E497" s="2">
        <v>0.71985359690844197</v>
      </c>
      <c r="F497" s="2">
        <v>0.79642167063020197</v>
      </c>
      <c r="G497" s="2">
        <v>0.82741156361474399</v>
      </c>
      <c r="H497" s="2">
        <v>0.85023781212841798</v>
      </c>
      <c r="I497" s="1">
        <v>0.84458605826397104</v>
      </c>
      <c r="J497" s="1">
        <v>0.871135552913198</v>
      </c>
      <c r="K497" s="1">
        <v>0.85233353151010605</v>
      </c>
      <c r="L497" s="1">
        <v>0.871135552913198</v>
      </c>
    </row>
    <row r="498" spans="1:12" x14ac:dyDescent="0.3">
      <c r="A498" t="s">
        <v>359</v>
      </c>
      <c r="B498" t="s">
        <v>371</v>
      </c>
      <c r="C498" t="s">
        <v>576</v>
      </c>
      <c r="D498" t="s">
        <v>577</v>
      </c>
      <c r="E498" s="2">
        <v>0.98628269994369999</v>
      </c>
      <c r="F498" s="2">
        <v>0.86202616552920996</v>
      </c>
      <c r="G498" s="2">
        <v>0.98628269994369999</v>
      </c>
      <c r="H498" s="2">
        <v>0.98341567739214297</v>
      </c>
      <c r="I498" s="1">
        <v>0.98632543585989296</v>
      </c>
      <c r="J498" s="1">
        <v>0.987952187800196</v>
      </c>
      <c r="K498" s="1">
        <v>0.98632543585989296</v>
      </c>
      <c r="L498" s="1">
        <v>0.98799027850810694</v>
      </c>
    </row>
    <row r="499" spans="1:12" x14ac:dyDescent="0.3">
      <c r="A499" t="s">
        <v>359</v>
      </c>
      <c r="B499" t="s">
        <v>372</v>
      </c>
      <c r="C499" t="s">
        <v>574</v>
      </c>
      <c r="D499" t="s">
        <v>575</v>
      </c>
      <c r="E499" s="2">
        <v>0.85284971886181604</v>
      </c>
      <c r="F499" s="2">
        <v>0.88449906287272095</v>
      </c>
      <c r="G499" s="2">
        <v>0.91667021639120805</v>
      </c>
      <c r="H499" s="2">
        <v>0.98565201340375896</v>
      </c>
      <c r="I499" s="1">
        <v>0.97469046401999204</v>
      </c>
      <c r="J499" s="1">
        <v>0.98566621230192497</v>
      </c>
      <c r="K499" s="1">
        <v>0.97861645936275299</v>
      </c>
      <c r="L499" s="1">
        <v>0.98574430624183496</v>
      </c>
    </row>
    <row r="500" spans="1:12" x14ac:dyDescent="0.3">
      <c r="A500" t="s">
        <v>359</v>
      </c>
      <c r="B500" t="s">
        <v>373</v>
      </c>
      <c r="C500" t="s">
        <v>576</v>
      </c>
      <c r="D500" t="s">
        <v>14</v>
      </c>
      <c r="E500" s="2">
        <v>0.77232652418624703</v>
      </c>
      <c r="F500" s="2">
        <v>0.85295391033967005</v>
      </c>
      <c r="G500" s="2">
        <v>0.88890856850474198</v>
      </c>
      <c r="H500" s="2">
        <v>0.84876215216278905</v>
      </c>
      <c r="I500" s="1">
        <v>0.85626008580312496</v>
      </c>
      <c r="J500" s="1">
        <v>0.87956075097414099</v>
      </c>
      <c r="K500" s="1">
        <v>0.88518912110835601</v>
      </c>
      <c r="L500" s="1">
        <v>0.91211083559648898</v>
      </c>
    </row>
    <row r="501" spans="1:12" x14ac:dyDescent="0.3">
      <c r="A501" t="s">
        <v>359</v>
      </c>
      <c r="B501" t="s">
        <v>374</v>
      </c>
      <c r="C501" t="s">
        <v>574</v>
      </c>
      <c r="D501" t="s">
        <v>575</v>
      </c>
      <c r="E501" s="2">
        <v>0.80977011913533803</v>
      </c>
      <c r="F501" s="2">
        <v>0.85871555617161899</v>
      </c>
      <c r="G501" s="2">
        <v>0.88431907551560796</v>
      </c>
      <c r="H501" s="2">
        <v>0.87677189193921401</v>
      </c>
      <c r="I501" s="1">
        <v>0.894999671702986</v>
      </c>
      <c r="J501" s="1">
        <v>0.92090230610413504</v>
      </c>
      <c r="K501" s="1">
        <v>0.89520759314515796</v>
      </c>
      <c r="L501" s="1">
        <v>0.92153336591985102</v>
      </c>
    </row>
    <row r="502" spans="1:12" x14ac:dyDescent="0.3">
      <c r="A502" t="s">
        <v>359</v>
      </c>
      <c r="B502" t="s">
        <v>729</v>
      </c>
      <c r="C502" t="s">
        <v>574</v>
      </c>
      <c r="D502" t="s">
        <v>575</v>
      </c>
      <c r="E502" s="2">
        <v>0.65379050178285303</v>
      </c>
      <c r="F502" s="2">
        <v>0.657537078187173</v>
      </c>
      <c r="G502" s="2">
        <v>0.67210996847708104</v>
      </c>
      <c r="H502" s="2">
        <v>0.66840214975970202</v>
      </c>
      <c r="I502" s="1">
        <v>0.69409849620174602</v>
      </c>
      <c r="J502" s="1">
        <v>0.66836339207276096</v>
      </c>
      <c r="K502" s="1">
        <v>0.69409849620174602</v>
      </c>
      <c r="L502" s="1">
        <v>0.67123146090641295</v>
      </c>
    </row>
    <row r="503" spans="1:12" x14ac:dyDescent="0.3">
      <c r="A503" t="s">
        <v>359</v>
      </c>
      <c r="B503" t="s">
        <v>375</v>
      </c>
      <c r="C503" t="s">
        <v>574</v>
      </c>
      <c r="D503" t="s">
        <v>575</v>
      </c>
      <c r="E503" s="2">
        <v>0.78410915816637305</v>
      </c>
      <c r="F503" s="2">
        <v>0.88257412145174996</v>
      </c>
      <c r="G503" s="2">
        <v>0.88039228716040296</v>
      </c>
      <c r="H503" s="2">
        <v>0.92780011296806897</v>
      </c>
      <c r="I503" s="1">
        <v>0.88094051455848299</v>
      </c>
      <c r="J503" s="1">
        <v>0.92655967925928295</v>
      </c>
      <c r="K503" s="1">
        <v>0.87936228417007201</v>
      </c>
      <c r="L503" s="1">
        <v>0.98719141442668701</v>
      </c>
    </row>
    <row r="504" spans="1:12" x14ac:dyDescent="0.3">
      <c r="A504" t="s">
        <v>359</v>
      </c>
      <c r="B504" t="s">
        <v>376</v>
      </c>
      <c r="C504" t="s">
        <v>574</v>
      </c>
      <c r="D504" t="s">
        <v>575</v>
      </c>
      <c r="E504" s="2">
        <v>0.81864683301343499</v>
      </c>
      <c r="F504" s="2">
        <v>0.97623800383877102</v>
      </c>
      <c r="G504" s="2">
        <v>0.87678502879078701</v>
      </c>
      <c r="H504" s="2">
        <v>0.99798464491362704</v>
      </c>
      <c r="I504" s="1">
        <v>0.91374280230326199</v>
      </c>
      <c r="J504" s="1">
        <v>0.99798464491362704</v>
      </c>
      <c r="K504" s="1">
        <v>0.97802303262955803</v>
      </c>
      <c r="L504" s="1">
        <v>0.99798464491362704</v>
      </c>
    </row>
    <row r="505" spans="1:12" x14ac:dyDescent="0.3">
      <c r="A505" t="s">
        <v>359</v>
      </c>
      <c r="B505" t="s">
        <v>377</v>
      </c>
      <c r="C505" t="s">
        <v>576</v>
      </c>
      <c r="D505" t="s">
        <v>589</v>
      </c>
      <c r="E505" s="2">
        <v>0</v>
      </c>
      <c r="F505" s="2">
        <v>0</v>
      </c>
      <c r="G505" s="2">
        <v>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3">
      <c r="A506" t="s">
        <v>359</v>
      </c>
      <c r="B506" t="s">
        <v>378</v>
      </c>
      <c r="C506" t="s">
        <v>576</v>
      </c>
      <c r="D506" t="s">
        <v>14</v>
      </c>
      <c r="E506" s="2">
        <v>0</v>
      </c>
      <c r="F506" s="2">
        <v>0</v>
      </c>
      <c r="G506" s="2">
        <v>0</v>
      </c>
      <c r="H506" s="2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 x14ac:dyDescent="0.3">
      <c r="A507" t="s">
        <v>359</v>
      </c>
      <c r="B507" t="s">
        <v>730</v>
      </c>
      <c r="C507" t="s">
        <v>574</v>
      </c>
      <c r="D507" t="s">
        <v>575</v>
      </c>
      <c r="E507" s="2">
        <v>0.5</v>
      </c>
      <c r="F507" s="2">
        <v>1</v>
      </c>
      <c r="G507" s="2">
        <v>0.5</v>
      </c>
      <c r="H507" s="2">
        <v>1</v>
      </c>
      <c r="I507" s="1">
        <v>0.5</v>
      </c>
      <c r="J507" s="1">
        <v>1</v>
      </c>
      <c r="K507" s="1">
        <v>0.5</v>
      </c>
      <c r="L507" s="1">
        <v>1</v>
      </c>
    </row>
    <row r="508" spans="1:12" x14ac:dyDescent="0.3">
      <c r="A508" t="s">
        <v>359</v>
      </c>
      <c r="B508" t="s">
        <v>379</v>
      </c>
      <c r="C508" t="s">
        <v>576</v>
      </c>
      <c r="D508" t="s">
        <v>14</v>
      </c>
      <c r="E508" s="2">
        <v>0</v>
      </c>
      <c r="F508" s="2">
        <v>0</v>
      </c>
      <c r="G508" s="2">
        <v>0</v>
      </c>
      <c r="H508" s="2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 x14ac:dyDescent="0.3">
      <c r="A509" t="s">
        <v>359</v>
      </c>
      <c r="B509" t="s">
        <v>731</v>
      </c>
      <c r="C509" t="s">
        <v>576</v>
      </c>
      <c r="D509" t="s">
        <v>14</v>
      </c>
      <c r="E509" s="2">
        <v>0.5</v>
      </c>
      <c r="F509" s="2">
        <v>1</v>
      </c>
      <c r="G509" s="2">
        <v>0.5</v>
      </c>
      <c r="H509" s="2">
        <v>1</v>
      </c>
      <c r="I509" s="1">
        <v>0.5</v>
      </c>
      <c r="J509" s="1">
        <v>1</v>
      </c>
      <c r="K509" s="1">
        <v>0.5</v>
      </c>
      <c r="L509" s="1">
        <v>1</v>
      </c>
    </row>
    <row r="510" spans="1:12" x14ac:dyDescent="0.3">
      <c r="A510" t="s">
        <v>359</v>
      </c>
      <c r="B510" t="s">
        <v>380</v>
      </c>
      <c r="C510" t="s">
        <v>574</v>
      </c>
      <c r="D510" t="s">
        <v>575</v>
      </c>
      <c r="E510" s="2">
        <v>0.89259135861146499</v>
      </c>
      <c r="F510" s="2">
        <v>0.89474515277885203</v>
      </c>
      <c r="G510" s="2">
        <v>0.91813134670559504</v>
      </c>
      <c r="H510" s="2">
        <v>0.92135414281676398</v>
      </c>
      <c r="I510" s="1">
        <v>0.93127359659940501</v>
      </c>
      <c r="J510" s="1">
        <v>0.92406217580581695</v>
      </c>
      <c r="K510" s="1">
        <v>0.93147255412513097</v>
      </c>
      <c r="L510" s="1">
        <v>0.92633281804386802</v>
      </c>
    </row>
    <row r="511" spans="1:12" x14ac:dyDescent="0.3">
      <c r="A511" t="s">
        <v>359</v>
      </c>
      <c r="B511" t="s">
        <v>381</v>
      </c>
      <c r="C511" t="s">
        <v>574</v>
      </c>
      <c r="D511" t="s">
        <v>575</v>
      </c>
      <c r="E511" s="2">
        <v>0.77631635350432204</v>
      </c>
      <c r="F511" s="2">
        <v>0.77136529256269204</v>
      </c>
      <c r="G511" s="2">
        <v>0.79097663785096795</v>
      </c>
      <c r="H511" s="2">
        <v>0.79137672358362499</v>
      </c>
      <c r="I511" s="1">
        <v>0.78966207044366599</v>
      </c>
      <c r="J511" s="1">
        <v>0.79485604058012405</v>
      </c>
      <c r="K511" s="1">
        <v>0.78763306422804802</v>
      </c>
      <c r="L511" s="1">
        <v>0.79044080874473099</v>
      </c>
    </row>
    <row r="512" spans="1:12" x14ac:dyDescent="0.3">
      <c r="A512" t="s">
        <v>359</v>
      </c>
      <c r="B512" t="s">
        <v>382</v>
      </c>
      <c r="C512" t="s">
        <v>574</v>
      </c>
      <c r="D512" t="s">
        <v>575</v>
      </c>
      <c r="E512" s="2">
        <v>0.71615880457075798</v>
      </c>
      <c r="F512" s="2">
        <v>0.71871206730567905</v>
      </c>
      <c r="G512" s="2">
        <v>0.72894604662843698</v>
      </c>
      <c r="H512" s="2">
        <v>0.72670670963961304</v>
      </c>
      <c r="I512" s="1">
        <v>0.73566405759491005</v>
      </c>
      <c r="J512" s="1">
        <v>0.73566405759491005</v>
      </c>
      <c r="K512" s="1">
        <v>0.73894981373738999</v>
      </c>
      <c r="L512" s="1">
        <v>0.73518270478422798</v>
      </c>
    </row>
    <row r="513" spans="1:12" x14ac:dyDescent="0.3">
      <c r="A513" t="s">
        <v>359</v>
      </c>
      <c r="B513" t="s">
        <v>383</v>
      </c>
      <c r="C513" t="s">
        <v>576</v>
      </c>
      <c r="D513" t="s">
        <v>577</v>
      </c>
      <c r="E513" s="2">
        <v>1</v>
      </c>
      <c r="F513" s="2">
        <v>1</v>
      </c>
      <c r="G513" s="2">
        <v>1</v>
      </c>
      <c r="H513" s="2">
        <v>1</v>
      </c>
      <c r="I513" s="1">
        <v>1</v>
      </c>
      <c r="J513" s="1">
        <v>1</v>
      </c>
      <c r="K513" s="1">
        <v>1</v>
      </c>
      <c r="L513" s="1">
        <v>1</v>
      </c>
    </row>
    <row r="514" spans="1:12" x14ac:dyDescent="0.3">
      <c r="A514" t="s">
        <v>359</v>
      </c>
      <c r="B514" t="s">
        <v>384</v>
      </c>
      <c r="C514" t="s">
        <v>574</v>
      </c>
      <c r="D514" t="s">
        <v>575</v>
      </c>
      <c r="E514" s="2">
        <v>0.83960939228819198</v>
      </c>
      <c r="F514" s="2">
        <v>0.84049126128080198</v>
      </c>
      <c r="G514" s="2">
        <v>0.85071655963734905</v>
      </c>
      <c r="H514" s="2">
        <v>0.85046678804689502</v>
      </c>
      <c r="I514" s="1">
        <v>0.90263618576871496</v>
      </c>
      <c r="J514" s="1">
        <v>0.85257341422427302</v>
      </c>
      <c r="K514" s="1">
        <v>0.99222202503412404</v>
      </c>
      <c r="L514" s="1">
        <v>0.85233131105984195</v>
      </c>
    </row>
    <row r="515" spans="1:12" x14ac:dyDescent="0.3">
      <c r="A515" t="s">
        <v>359</v>
      </c>
      <c r="B515" t="s">
        <v>385</v>
      </c>
      <c r="C515" t="s">
        <v>574</v>
      </c>
      <c r="D515" t="s">
        <v>575</v>
      </c>
      <c r="E515" s="2">
        <v>0.75341659542306305</v>
      </c>
      <c r="F515" s="2">
        <v>0.78141842917146698</v>
      </c>
      <c r="G515" s="2">
        <v>0.80397477356924196</v>
      </c>
      <c r="H515" s="2">
        <v>0.79423608271692103</v>
      </c>
      <c r="I515" s="1">
        <v>0.81614194203868196</v>
      </c>
      <c r="J515" s="1">
        <v>0.80154010085616201</v>
      </c>
      <c r="K515" s="1">
        <v>0.85140442825459295</v>
      </c>
      <c r="L515" s="1">
        <v>0.80234546333122703</v>
      </c>
    </row>
    <row r="516" spans="1:12" x14ac:dyDescent="0.3">
      <c r="A516" t="s">
        <v>359</v>
      </c>
      <c r="B516" t="s">
        <v>386</v>
      </c>
      <c r="C516" t="s">
        <v>574</v>
      </c>
      <c r="D516" t="s">
        <v>575</v>
      </c>
      <c r="E516" s="2">
        <v>0.801496128003644</v>
      </c>
      <c r="F516" s="2">
        <v>0.81895569980640004</v>
      </c>
      <c r="G516" s="2">
        <v>0.84223750142352805</v>
      </c>
      <c r="H516" s="2">
        <v>0.84050079717572002</v>
      </c>
      <c r="I516" s="1">
        <v>0.84018050335952599</v>
      </c>
      <c r="J516" s="1">
        <v>0.84140473750142297</v>
      </c>
      <c r="K516" s="1">
        <v>0.83822315226056199</v>
      </c>
      <c r="L516" s="1">
        <v>0.84173214895797699</v>
      </c>
    </row>
    <row r="517" spans="1:12" x14ac:dyDescent="0.3">
      <c r="A517" t="s">
        <v>359</v>
      </c>
      <c r="B517" t="s">
        <v>387</v>
      </c>
      <c r="C517" t="s">
        <v>574</v>
      </c>
      <c r="D517" t="s">
        <v>575</v>
      </c>
      <c r="E517" s="2">
        <v>0.80557572975498504</v>
      </c>
      <c r="F517" s="2">
        <v>0.85002828031116495</v>
      </c>
      <c r="G517" s="2">
        <v>0.858277933979818</v>
      </c>
      <c r="H517" s="2">
        <v>0.91313190101071295</v>
      </c>
      <c r="I517" s="1">
        <v>0.87971604928151603</v>
      </c>
      <c r="J517" s="1">
        <v>0.93679555384325297</v>
      </c>
      <c r="K517" s="1">
        <v>0.88984613871287699</v>
      </c>
      <c r="L517" s="1">
        <v>0.93662259309960405</v>
      </c>
    </row>
    <row r="518" spans="1:12" x14ac:dyDescent="0.3">
      <c r="A518" t="s">
        <v>359</v>
      </c>
      <c r="B518" t="s">
        <v>388</v>
      </c>
      <c r="C518" t="s">
        <v>576</v>
      </c>
      <c r="D518" t="s">
        <v>14</v>
      </c>
      <c r="E518" s="2">
        <v>1</v>
      </c>
      <c r="F518" s="2">
        <v>0.5</v>
      </c>
      <c r="G518" s="2">
        <v>1</v>
      </c>
      <c r="H518" s="2">
        <v>0.5</v>
      </c>
      <c r="I518" s="1">
        <v>1</v>
      </c>
      <c r="J518" s="1">
        <v>0.5</v>
      </c>
      <c r="K518" s="1">
        <v>1</v>
      </c>
      <c r="L518" s="1">
        <v>0.5</v>
      </c>
    </row>
    <row r="519" spans="1:12" x14ac:dyDescent="0.3">
      <c r="A519" t="s">
        <v>359</v>
      </c>
      <c r="B519" t="s">
        <v>732</v>
      </c>
      <c r="C519" t="s">
        <v>574</v>
      </c>
      <c r="D519" t="s">
        <v>575</v>
      </c>
      <c r="E519" s="2">
        <v>0.88760441760785902</v>
      </c>
      <c r="F519" s="2">
        <v>0.87749116165566399</v>
      </c>
      <c r="G519" s="2">
        <v>0.96912054563088501</v>
      </c>
      <c r="H519" s="2">
        <v>0.99410255608046805</v>
      </c>
      <c r="I519" s="1">
        <v>0.98962081156337001</v>
      </c>
      <c r="J519" s="1">
        <v>0.99232706566967999</v>
      </c>
      <c r="K519" s="1">
        <v>0.99053593217157299</v>
      </c>
      <c r="L519" s="1">
        <v>0.99232706566967999</v>
      </c>
    </row>
    <row r="520" spans="1:12" x14ac:dyDescent="0.3">
      <c r="A520" t="s">
        <v>359</v>
      </c>
      <c r="B520" t="s">
        <v>733</v>
      </c>
      <c r="C520" t="s">
        <v>576</v>
      </c>
      <c r="D520" t="s">
        <v>14</v>
      </c>
      <c r="E520" s="2">
        <v>0.72386462648465999</v>
      </c>
      <c r="F520" s="2">
        <v>0.80726547333343501</v>
      </c>
      <c r="G520" s="2">
        <v>0.82245219278802795</v>
      </c>
      <c r="H520" s="2">
        <v>0.91515461868876002</v>
      </c>
      <c r="I520" s="1">
        <v>0.86681239395282705</v>
      </c>
      <c r="J520" s="1">
        <v>0.91345022088384098</v>
      </c>
      <c r="K520" s="1">
        <v>0.84134578639233204</v>
      </c>
      <c r="L520" s="1">
        <v>0.91015607086626205</v>
      </c>
    </row>
    <row r="521" spans="1:12" x14ac:dyDescent="0.3">
      <c r="A521" t="s">
        <v>359</v>
      </c>
      <c r="B521" t="s">
        <v>389</v>
      </c>
      <c r="C521" t="s">
        <v>574</v>
      </c>
      <c r="D521" t="s">
        <v>575</v>
      </c>
      <c r="E521" s="2">
        <v>0.73447658202900801</v>
      </c>
      <c r="F521" s="2">
        <v>0.80844513853200395</v>
      </c>
      <c r="G521" s="2">
        <v>0.88565808315412897</v>
      </c>
      <c r="H521" s="2">
        <v>0.81371648962444398</v>
      </c>
      <c r="I521" s="1">
        <v>0.88984048736921395</v>
      </c>
      <c r="J521" s="1">
        <v>0.88030440618092698</v>
      </c>
      <c r="K521" s="1">
        <v>0.89779616111923199</v>
      </c>
      <c r="L521" s="1">
        <v>0.90247501534255004</v>
      </c>
    </row>
    <row r="522" spans="1:12" x14ac:dyDescent="0.3">
      <c r="A522" t="s">
        <v>359</v>
      </c>
      <c r="B522" t="s">
        <v>390</v>
      </c>
      <c r="C522" t="s">
        <v>576</v>
      </c>
      <c r="D522" t="s">
        <v>14</v>
      </c>
      <c r="E522" s="2">
        <v>0</v>
      </c>
      <c r="F522" s="2">
        <v>0</v>
      </c>
      <c r="G522" s="2">
        <v>0</v>
      </c>
      <c r="H522" s="2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3">
      <c r="A523" t="s">
        <v>359</v>
      </c>
      <c r="B523" t="s">
        <v>391</v>
      </c>
      <c r="C523" t="s">
        <v>576</v>
      </c>
      <c r="D523" t="s">
        <v>14</v>
      </c>
      <c r="E523" s="2">
        <v>0.77781173594132003</v>
      </c>
      <c r="F523" s="2">
        <v>0.90198218651763795</v>
      </c>
      <c r="G523" s="2">
        <v>0.89262428687856499</v>
      </c>
      <c r="H523" s="2">
        <v>0.96857899639073197</v>
      </c>
      <c r="I523" s="1">
        <v>0.94082547444405595</v>
      </c>
      <c r="J523" s="1">
        <v>0.98030911631156104</v>
      </c>
      <c r="K523" s="1">
        <v>0.97978519035976197</v>
      </c>
      <c r="L523" s="1">
        <v>0.98030911631156104</v>
      </c>
    </row>
    <row r="524" spans="1:12" x14ac:dyDescent="0.3">
      <c r="A524" t="s">
        <v>359</v>
      </c>
      <c r="B524" t="s">
        <v>734</v>
      </c>
      <c r="C524" t="s">
        <v>574</v>
      </c>
      <c r="D524" t="s">
        <v>575</v>
      </c>
      <c r="E524" s="2">
        <v>0.68236298525708705</v>
      </c>
      <c r="F524" s="2">
        <v>0.78727917189877195</v>
      </c>
      <c r="G524" s="2">
        <v>0.81250955067004105</v>
      </c>
      <c r="H524" s="2">
        <v>0.91384631227867297</v>
      </c>
      <c r="I524" s="1">
        <v>0.92291197438094996</v>
      </c>
      <c r="J524" s="1">
        <v>0.91692245852517695</v>
      </c>
      <c r="K524" s="1">
        <v>0.99270328808807196</v>
      </c>
      <c r="L524" s="1">
        <v>0.96919701288260796</v>
      </c>
    </row>
    <row r="525" spans="1:12" x14ac:dyDescent="0.3">
      <c r="A525" t="s">
        <v>359</v>
      </c>
      <c r="B525" t="s">
        <v>392</v>
      </c>
      <c r="C525" t="s">
        <v>576</v>
      </c>
      <c r="D525" t="s">
        <v>14</v>
      </c>
      <c r="E525" s="2">
        <v>0</v>
      </c>
      <c r="F525" s="2">
        <v>0</v>
      </c>
      <c r="G525" s="2">
        <v>0</v>
      </c>
      <c r="H525" s="2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3">
      <c r="A526" t="s">
        <v>359</v>
      </c>
      <c r="B526" t="s">
        <v>735</v>
      </c>
      <c r="C526" t="s">
        <v>34</v>
      </c>
      <c r="D526" t="s">
        <v>35</v>
      </c>
      <c r="E526" s="2">
        <v>0.94108001997095103</v>
      </c>
      <c r="F526" s="2">
        <v>0.91743259803921495</v>
      </c>
      <c r="G526" s="2">
        <v>0.97752700617283905</v>
      </c>
      <c r="H526" s="2">
        <v>0.97832697893972298</v>
      </c>
      <c r="I526" s="1">
        <v>0.99979575163398604</v>
      </c>
      <c r="J526" s="1">
        <v>1</v>
      </c>
      <c r="K526" s="1">
        <v>0.99988652868554795</v>
      </c>
      <c r="L526" s="1">
        <v>0.99990922294843798</v>
      </c>
    </row>
    <row r="527" spans="1:12" x14ac:dyDescent="0.3">
      <c r="A527" t="s">
        <v>359</v>
      </c>
      <c r="B527" t="s">
        <v>393</v>
      </c>
      <c r="C527" t="s">
        <v>34</v>
      </c>
      <c r="D527" t="s">
        <v>35</v>
      </c>
      <c r="E527" s="2">
        <v>0.85350702880274598</v>
      </c>
      <c r="F527" s="2">
        <v>0.82996409729735199</v>
      </c>
      <c r="G527" s="2">
        <v>0.95029601726895996</v>
      </c>
      <c r="H527" s="2">
        <v>0.92574793010803302</v>
      </c>
      <c r="I527" s="1">
        <v>0.995796349034621</v>
      </c>
      <c r="J527" s="1">
        <v>0.986038838014343</v>
      </c>
      <c r="K527" s="1">
        <v>0.99979682567986194</v>
      </c>
      <c r="L527" s="1">
        <v>0.99559917564377098</v>
      </c>
    </row>
    <row r="528" spans="1:12" x14ac:dyDescent="0.3">
      <c r="A528" t="s">
        <v>359</v>
      </c>
      <c r="B528" t="s">
        <v>736</v>
      </c>
      <c r="C528" t="s">
        <v>576</v>
      </c>
      <c r="D528" t="s">
        <v>14</v>
      </c>
      <c r="E528" s="2">
        <v>0.90952749644262099</v>
      </c>
      <c r="F528" s="2">
        <v>0.86511258056415796</v>
      </c>
      <c r="G528" s="2">
        <v>0.93075667531597805</v>
      </c>
      <c r="H528" s="2">
        <v>0.98203523897212597</v>
      </c>
      <c r="I528" s="1">
        <v>0.92984640495521798</v>
      </c>
      <c r="J528" s="1">
        <v>0.98238051393655301</v>
      </c>
      <c r="K528" s="1">
        <v>0.93055788063949096</v>
      </c>
      <c r="L528" s="1">
        <v>0.98153302084205196</v>
      </c>
    </row>
    <row r="529" spans="1:12" x14ac:dyDescent="0.3">
      <c r="A529" t="s">
        <v>359</v>
      </c>
      <c r="B529" t="s">
        <v>394</v>
      </c>
      <c r="C529" t="s">
        <v>576</v>
      </c>
      <c r="D529" t="s">
        <v>14</v>
      </c>
      <c r="E529" s="2">
        <v>0</v>
      </c>
      <c r="F529" s="2">
        <v>0</v>
      </c>
      <c r="G529" s="2">
        <v>0</v>
      </c>
      <c r="H529" s="2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3">
      <c r="A530" t="s">
        <v>359</v>
      </c>
      <c r="B530" t="s">
        <v>395</v>
      </c>
      <c r="C530" t="s">
        <v>34</v>
      </c>
      <c r="D530" t="s">
        <v>35</v>
      </c>
      <c r="E530" s="2">
        <v>0.802233221203005</v>
      </c>
      <c r="F530" s="2">
        <v>0.84319042891085305</v>
      </c>
      <c r="G530" s="2">
        <v>0.94678996063089305</v>
      </c>
      <c r="H530" s="2">
        <v>0.94339394298641999</v>
      </c>
      <c r="I530" s="1">
        <v>0.98132313787090597</v>
      </c>
      <c r="J530" s="1">
        <v>0.98013514915309397</v>
      </c>
      <c r="K530" s="1">
        <v>0.99732023334963404</v>
      </c>
      <c r="L530" s="1">
        <v>1</v>
      </c>
    </row>
    <row r="531" spans="1:12" x14ac:dyDescent="0.3">
      <c r="A531" t="s">
        <v>359</v>
      </c>
      <c r="B531" t="s">
        <v>396</v>
      </c>
      <c r="C531" t="s">
        <v>34</v>
      </c>
      <c r="D531" t="s">
        <v>35</v>
      </c>
      <c r="E531" s="2">
        <v>0.87937352031611205</v>
      </c>
      <c r="F531" s="2">
        <v>0.98349725465481697</v>
      </c>
      <c r="G531" s="2">
        <v>0.95714389289668</v>
      </c>
      <c r="H531" s="2">
        <v>0.98349725465481697</v>
      </c>
      <c r="I531" s="1">
        <v>0.99947156636652301</v>
      </c>
      <c r="J531" s="1">
        <v>0.99990797725643898</v>
      </c>
      <c r="K531" s="1">
        <v>1</v>
      </c>
      <c r="L531" s="1">
        <v>0.99990797725643898</v>
      </c>
    </row>
    <row r="532" spans="1:12" x14ac:dyDescent="0.3">
      <c r="A532" t="s">
        <v>359</v>
      </c>
      <c r="B532" t="s">
        <v>397</v>
      </c>
      <c r="C532" t="s">
        <v>576</v>
      </c>
      <c r="D532" t="s">
        <v>14</v>
      </c>
      <c r="E532" s="2">
        <v>0.82702658937072904</v>
      </c>
      <c r="F532" s="2">
        <v>0.662496356511319</v>
      </c>
      <c r="G532" s="2">
        <v>0.88474916604592402</v>
      </c>
      <c r="H532" s="2">
        <v>0.75467500080966399</v>
      </c>
      <c r="I532" s="1">
        <v>0.88474916604592402</v>
      </c>
      <c r="J532" s="1">
        <v>0.75467500080966399</v>
      </c>
      <c r="K532" s="1">
        <v>0.88474916604592402</v>
      </c>
      <c r="L532" s="1">
        <v>0.75467500080966399</v>
      </c>
    </row>
    <row r="533" spans="1:12" x14ac:dyDescent="0.3">
      <c r="A533" t="s">
        <v>359</v>
      </c>
      <c r="B533" t="s">
        <v>398</v>
      </c>
      <c r="C533" t="s">
        <v>576</v>
      </c>
      <c r="D533" t="s">
        <v>14</v>
      </c>
      <c r="E533" s="2">
        <v>0.75982863296552305</v>
      </c>
      <c r="F533" s="2">
        <v>0.91254506578433903</v>
      </c>
      <c r="G533" s="2">
        <v>0.849593432491064</v>
      </c>
      <c r="H533" s="2">
        <v>0.96541444914394503</v>
      </c>
      <c r="I533" s="1">
        <v>0.96661620339300403</v>
      </c>
      <c r="J533" s="1">
        <v>0.97828258392770695</v>
      </c>
      <c r="K533" s="1">
        <v>0.96876219312346801</v>
      </c>
      <c r="L533" s="1">
        <v>0.97811090474926998</v>
      </c>
    </row>
    <row r="534" spans="1:12" x14ac:dyDescent="0.3">
      <c r="A534" t="s">
        <v>359</v>
      </c>
      <c r="B534" t="s">
        <v>399</v>
      </c>
      <c r="C534" t="s">
        <v>34</v>
      </c>
      <c r="D534" t="s">
        <v>35</v>
      </c>
      <c r="E534" s="2">
        <v>0.838296882270823</v>
      </c>
      <c r="F534" s="2">
        <v>0.87793588205040296</v>
      </c>
      <c r="G534" s="2">
        <v>0.976527638314026</v>
      </c>
      <c r="H534" s="2">
        <v>0.95095393206142298</v>
      </c>
      <c r="I534" s="1">
        <v>0.99724963875486705</v>
      </c>
      <c r="J534" s="1">
        <v>0.99654674144644995</v>
      </c>
      <c r="K534" s="1">
        <v>0.99964487766647803</v>
      </c>
      <c r="L534" s="1">
        <v>0.99894687859714404</v>
      </c>
    </row>
    <row r="535" spans="1:12" x14ac:dyDescent="0.3">
      <c r="A535" t="s">
        <v>359</v>
      </c>
      <c r="B535" t="s">
        <v>737</v>
      </c>
      <c r="C535" t="s">
        <v>576</v>
      </c>
      <c r="D535" t="s">
        <v>14</v>
      </c>
      <c r="E535" s="2">
        <v>0.56195290405740705</v>
      </c>
      <c r="F535" s="2">
        <v>0.57959704880817198</v>
      </c>
      <c r="G535" s="2">
        <v>0.59299669097135299</v>
      </c>
      <c r="H535" s="2">
        <v>0.62373987571903999</v>
      </c>
      <c r="I535" s="1">
        <v>0.59841233959868401</v>
      </c>
      <c r="J535" s="1">
        <v>0.613230823986609</v>
      </c>
      <c r="K535" s="1">
        <v>0.60959714500086504</v>
      </c>
      <c r="L535" s="1">
        <v>0.66067306027434103</v>
      </c>
    </row>
    <row r="536" spans="1:12" x14ac:dyDescent="0.3">
      <c r="A536" t="s">
        <v>359</v>
      </c>
      <c r="B536" t="s">
        <v>400</v>
      </c>
      <c r="C536" t="s">
        <v>574</v>
      </c>
      <c r="D536" t="s">
        <v>575</v>
      </c>
      <c r="E536" s="2">
        <v>0</v>
      </c>
      <c r="F536" s="2">
        <v>0</v>
      </c>
      <c r="G536" s="2">
        <v>0</v>
      </c>
      <c r="H536" s="2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3">
      <c r="A537" t="s">
        <v>359</v>
      </c>
      <c r="B537" t="s">
        <v>401</v>
      </c>
      <c r="C537" t="s">
        <v>576</v>
      </c>
      <c r="D537" t="s">
        <v>14</v>
      </c>
      <c r="E537" s="2">
        <v>0.76966754876360299</v>
      </c>
      <c r="F537" s="2">
        <v>0.84116997599060594</v>
      </c>
      <c r="G537" s="2">
        <v>0.84245807118697502</v>
      </c>
      <c r="H537" s="2">
        <v>0.91060444086153403</v>
      </c>
      <c r="I537" s="1">
        <v>0.93379891694852801</v>
      </c>
      <c r="J537" s="1">
        <v>0.88406266977445103</v>
      </c>
      <c r="K537" s="1">
        <v>0.94617164087555405</v>
      </c>
      <c r="L537" s="1">
        <v>0.89297418552075802</v>
      </c>
    </row>
    <row r="538" spans="1:12" x14ac:dyDescent="0.3">
      <c r="A538" t="s">
        <v>359</v>
      </c>
      <c r="B538" t="s">
        <v>402</v>
      </c>
      <c r="C538" t="s">
        <v>576</v>
      </c>
      <c r="D538" t="s">
        <v>14</v>
      </c>
      <c r="E538" s="2">
        <v>0</v>
      </c>
      <c r="F538" s="2">
        <v>0</v>
      </c>
      <c r="G538" s="2">
        <v>0</v>
      </c>
      <c r="H538" s="2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3">
      <c r="A539" t="s">
        <v>359</v>
      </c>
      <c r="B539" t="s">
        <v>403</v>
      </c>
      <c r="C539" t="s">
        <v>34</v>
      </c>
      <c r="D539" t="s">
        <v>35</v>
      </c>
      <c r="E539" s="2">
        <v>0.96423486834227001</v>
      </c>
      <c r="F539" s="2">
        <v>0.86032571816331105</v>
      </c>
      <c r="G539" s="2">
        <v>0.96423486834227001</v>
      </c>
      <c r="H539" s="2">
        <v>0.94270660084888902</v>
      </c>
      <c r="I539" s="1">
        <v>0.98859720318799305</v>
      </c>
      <c r="J539" s="1">
        <v>0.99820376012879697</v>
      </c>
      <c r="K539" s="1">
        <v>0.99457136394480805</v>
      </c>
      <c r="L539" s="1">
        <v>1</v>
      </c>
    </row>
    <row r="540" spans="1:12" x14ac:dyDescent="0.3">
      <c r="A540" t="s">
        <v>359</v>
      </c>
      <c r="B540" t="s">
        <v>738</v>
      </c>
      <c r="C540" t="s">
        <v>576</v>
      </c>
      <c r="D540" t="s">
        <v>14</v>
      </c>
      <c r="E540" s="2">
        <v>0.73792751129275103</v>
      </c>
      <c r="F540" s="2">
        <v>0.87941851294185103</v>
      </c>
      <c r="G540" s="2">
        <v>0.84019860901985999</v>
      </c>
      <c r="H540" s="2">
        <v>0.91361941636194099</v>
      </c>
      <c r="I540" s="1">
        <v>0.88747580124757997</v>
      </c>
      <c r="J540" s="1">
        <v>0.92036817953681804</v>
      </c>
      <c r="K540" s="1">
        <v>0.91120850362085004</v>
      </c>
      <c r="L540" s="1">
        <v>0.924078654907865</v>
      </c>
    </row>
    <row r="541" spans="1:12" x14ac:dyDescent="0.3">
      <c r="A541" t="s">
        <v>359</v>
      </c>
      <c r="B541" t="s">
        <v>404</v>
      </c>
      <c r="C541" t="s">
        <v>574</v>
      </c>
      <c r="D541" t="s">
        <v>575</v>
      </c>
      <c r="E541" s="2">
        <v>0.87600204372874702</v>
      </c>
      <c r="F541" s="2">
        <v>0.90410331401187405</v>
      </c>
      <c r="G541" s="2">
        <v>0.87679486953610797</v>
      </c>
      <c r="H541" s="2">
        <v>0.98527105833436102</v>
      </c>
      <c r="I541" s="1">
        <v>0.87782554308567795</v>
      </c>
      <c r="J541" s="1">
        <v>0.98496273718705396</v>
      </c>
      <c r="K541" s="1">
        <v>0.95336422417590105</v>
      </c>
      <c r="L541" s="1">
        <v>0.99139343540231495</v>
      </c>
    </row>
    <row r="542" spans="1:12" x14ac:dyDescent="0.3">
      <c r="A542" t="s">
        <v>359</v>
      </c>
      <c r="B542" t="s">
        <v>739</v>
      </c>
      <c r="C542" t="s">
        <v>34</v>
      </c>
      <c r="D542" t="s">
        <v>35</v>
      </c>
      <c r="E542" s="2">
        <v>0.916187417387473</v>
      </c>
      <c r="F542" s="2">
        <v>0.95164993159102995</v>
      </c>
      <c r="G542" s="2">
        <v>0.99257356862926904</v>
      </c>
      <c r="H542" s="2">
        <v>0.98497321614915401</v>
      </c>
      <c r="I542" s="1">
        <v>0.99815063887020805</v>
      </c>
      <c r="J542" s="1">
        <v>0.99916517867495303</v>
      </c>
      <c r="K542" s="1">
        <v>1</v>
      </c>
      <c r="L542" s="1">
        <v>0.99929851819214799</v>
      </c>
    </row>
    <row r="543" spans="1:12" x14ac:dyDescent="0.3">
      <c r="A543" t="s">
        <v>359</v>
      </c>
      <c r="B543" t="s">
        <v>740</v>
      </c>
      <c r="C543" t="s">
        <v>576</v>
      </c>
      <c r="D543" t="s">
        <v>598</v>
      </c>
      <c r="E543" s="2">
        <v>0.71059440854003397</v>
      </c>
      <c r="F543" s="2">
        <v>0.71019424486406402</v>
      </c>
      <c r="G543" s="2">
        <v>0.73819065843472798</v>
      </c>
      <c r="H543" s="2">
        <v>0.83795778122780995</v>
      </c>
      <c r="I543" s="1">
        <v>0.74649480689846004</v>
      </c>
      <c r="J543" s="1">
        <v>0.83858059236258997</v>
      </c>
      <c r="K543" s="1">
        <v>0.753144143168333</v>
      </c>
      <c r="L543" s="1">
        <v>0.85886858985931003</v>
      </c>
    </row>
    <row r="544" spans="1:12" x14ac:dyDescent="0.3">
      <c r="A544" t="s">
        <v>359</v>
      </c>
      <c r="B544" t="s">
        <v>741</v>
      </c>
      <c r="C544" t="s">
        <v>34</v>
      </c>
      <c r="D544" t="s">
        <v>35</v>
      </c>
      <c r="E544" s="2">
        <v>0.84909479208832905</v>
      </c>
      <c r="F544" s="2">
        <v>0.86030694713920797</v>
      </c>
      <c r="G544" s="2">
        <v>0.91405759271925302</v>
      </c>
      <c r="H544" s="2">
        <v>0.88129702265462495</v>
      </c>
      <c r="I544" s="1">
        <v>0.94837802375734503</v>
      </c>
      <c r="J544" s="1">
        <v>0.93381583171647498</v>
      </c>
      <c r="K544" s="1">
        <v>0.99747002414818298</v>
      </c>
      <c r="L544" s="1">
        <v>1</v>
      </c>
    </row>
    <row r="545" spans="1:12" x14ac:dyDescent="0.3">
      <c r="A545" t="s">
        <v>359</v>
      </c>
      <c r="B545" t="s">
        <v>405</v>
      </c>
      <c r="C545" t="s">
        <v>576</v>
      </c>
      <c r="D545" t="s">
        <v>14</v>
      </c>
      <c r="E545" s="2">
        <v>0.77311938787828105</v>
      </c>
      <c r="F545" s="2">
        <v>0.84215022610988799</v>
      </c>
      <c r="G545" s="2">
        <v>0.74858623283282699</v>
      </c>
      <c r="H545" s="2">
        <v>0.92548588089998196</v>
      </c>
      <c r="I545" s="1">
        <v>0.77204223194138699</v>
      </c>
      <c r="J545" s="1">
        <v>0.89226583465656295</v>
      </c>
      <c r="K545" s="1">
        <v>0.79967685321893101</v>
      </c>
      <c r="L545" s="1">
        <v>0.87538420109387005</v>
      </c>
    </row>
    <row r="546" spans="1:12" x14ac:dyDescent="0.3">
      <c r="A546" t="s">
        <v>359</v>
      </c>
      <c r="B546" t="s">
        <v>406</v>
      </c>
      <c r="C546" t="s">
        <v>34</v>
      </c>
      <c r="D546" t="s">
        <v>35</v>
      </c>
      <c r="E546" s="2">
        <v>0.91035318926727105</v>
      </c>
      <c r="F546" s="2">
        <v>0.90502723996982803</v>
      </c>
      <c r="G546" s="2">
        <v>0.98886592492852299</v>
      </c>
      <c r="H546" s="2">
        <v>0.97913536354305597</v>
      </c>
      <c r="I546" s="1">
        <v>0.99867751597084498</v>
      </c>
      <c r="J546" s="1">
        <v>0.99862249583347495</v>
      </c>
      <c r="K546" s="1">
        <v>0.99917869940398096</v>
      </c>
      <c r="L546" s="1">
        <v>0.99996798828371103</v>
      </c>
    </row>
    <row r="547" spans="1:12" x14ac:dyDescent="0.3">
      <c r="A547" t="s">
        <v>359</v>
      </c>
      <c r="B547" t="s">
        <v>407</v>
      </c>
      <c r="C547" t="s">
        <v>576</v>
      </c>
      <c r="D547" t="s">
        <v>14</v>
      </c>
      <c r="E547" s="2">
        <v>0.71116518861935596</v>
      </c>
      <c r="F547" s="2">
        <v>0.68754208106496295</v>
      </c>
      <c r="G547" s="2">
        <v>0.81833484023623104</v>
      </c>
      <c r="H547" s="2">
        <v>0.796221841755958</v>
      </c>
      <c r="I547" s="1">
        <v>0.83691783852413204</v>
      </c>
      <c r="J547" s="1">
        <v>0.79672200527095305</v>
      </c>
      <c r="K547" s="1">
        <v>0.86496546948040698</v>
      </c>
      <c r="L547" s="1">
        <v>0.79672200527095305</v>
      </c>
    </row>
    <row r="548" spans="1:12" x14ac:dyDescent="0.3">
      <c r="A548" t="s">
        <v>359</v>
      </c>
      <c r="B548" t="s">
        <v>408</v>
      </c>
      <c r="C548" t="s">
        <v>576</v>
      </c>
      <c r="D548" t="s">
        <v>14</v>
      </c>
      <c r="E548" s="2">
        <v>0.78238557378753004</v>
      </c>
      <c r="F548" s="2">
        <v>0.89249197749801801</v>
      </c>
      <c r="G548" s="2">
        <v>0.87450468358212796</v>
      </c>
      <c r="H548" s="2">
        <v>0.92881734679294803</v>
      </c>
      <c r="I548" s="1">
        <v>0.91993088305985304</v>
      </c>
      <c r="J548" s="1">
        <v>0.93129880084707195</v>
      </c>
      <c r="K548" s="1">
        <v>0.94060100557352699</v>
      </c>
      <c r="L548" s="1">
        <v>0.92971378830988205</v>
      </c>
    </row>
    <row r="549" spans="1:12" x14ac:dyDescent="0.3">
      <c r="A549" t="s">
        <v>359</v>
      </c>
      <c r="B549" t="s">
        <v>409</v>
      </c>
      <c r="C549" t="s">
        <v>34</v>
      </c>
      <c r="D549" t="s">
        <v>35</v>
      </c>
      <c r="E549" s="2">
        <v>0.88959134025676601</v>
      </c>
      <c r="F549" s="2">
        <v>0.82268889524899802</v>
      </c>
      <c r="G549" s="2">
        <v>0.94583469621391703</v>
      </c>
      <c r="H549" s="2">
        <v>0.91275247362825995</v>
      </c>
      <c r="I549" s="1">
        <v>0.98807854280807905</v>
      </c>
      <c r="J549" s="1">
        <v>0.99315356938425003</v>
      </c>
      <c r="K549" s="1">
        <v>0.99847084798429897</v>
      </c>
      <c r="L549" s="1">
        <v>0.99875296426527105</v>
      </c>
    </row>
    <row r="550" spans="1:12" x14ac:dyDescent="0.3">
      <c r="A550" t="s">
        <v>359</v>
      </c>
      <c r="B550" t="s">
        <v>742</v>
      </c>
      <c r="C550" t="s">
        <v>34</v>
      </c>
      <c r="D550" t="s">
        <v>35</v>
      </c>
      <c r="E550" s="2">
        <v>0.83789005323010801</v>
      </c>
      <c r="F550" s="2">
        <v>0.80363874965542104</v>
      </c>
      <c r="G550" s="2">
        <v>0.89341010479070904</v>
      </c>
      <c r="H550" s="2">
        <v>0.89167148753110903</v>
      </c>
      <c r="I550" s="1">
        <v>0.98064924425669997</v>
      </c>
      <c r="J550" s="1">
        <v>0.96620645206378197</v>
      </c>
      <c r="K550" s="1">
        <v>1</v>
      </c>
      <c r="L550" s="1">
        <v>0.98939901615539605</v>
      </c>
    </row>
    <row r="551" spans="1:12" x14ac:dyDescent="0.3">
      <c r="A551" t="s">
        <v>359</v>
      </c>
      <c r="B551" t="s">
        <v>743</v>
      </c>
      <c r="C551" t="s">
        <v>576</v>
      </c>
      <c r="D551" t="s">
        <v>14</v>
      </c>
      <c r="E551" s="2">
        <v>0.60502234573149805</v>
      </c>
      <c r="F551" s="2">
        <v>0.65159323510198097</v>
      </c>
      <c r="G551" s="2">
        <v>0.65661713622082296</v>
      </c>
      <c r="H551" s="2">
        <v>0.68103412519831097</v>
      </c>
      <c r="I551" s="1">
        <v>0.68666981200551602</v>
      </c>
      <c r="J551" s="1">
        <v>0.71442310683437105</v>
      </c>
      <c r="K551" s="1">
        <v>0.75074399361254196</v>
      </c>
      <c r="L551" s="1">
        <v>0.77348375657151103</v>
      </c>
    </row>
    <row r="552" spans="1:12" x14ac:dyDescent="0.3">
      <c r="A552" t="s">
        <v>359</v>
      </c>
      <c r="B552" t="s">
        <v>744</v>
      </c>
      <c r="C552" t="s">
        <v>34</v>
      </c>
      <c r="D552" t="s">
        <v>35</v>
      </c>
      <c r="E552" s="2">
        <v>0.897541502978076</v>
      </c>
      <c r="F552" s="2">
        <v>0.87087568115574698</v>
      </c>
      <c r="G552" s="2">
        <v>0.92377898872132802</v>
      </c>
      <c r="H552" s="2">
        <v>0.927649220631098</v>
      </c>
      <c r="I552" s="1">
        <v>0.969788366493473</v>
      </c>
      <c r="J552" s="1">
        <v>0.97695349131922404</v>
      </c>
      <c r="K552" s="1">
        <v>1</v>
      </c>
      <c r="L552" s="1">
        <v>1</v>
      </c>
    </row>
    <row r="553" spans="1:12" x14ac:dyDescent="0.3">
      <c r="A553" t="s">
        <v>359</v>
      </c>
      <c r="B553" t="s">
        <v>745</v>
      </c>
      <c r="C553" t="s">
        <v>34</v>
      </c>
      <c r="D553" t="s">
        <v>35</v>
      </c>
      <c r="E553" s="2">
        <v>0.81011261110460098</v>
      </c>
      <c r="F553" s="2">
        <v>0.81443543797392004</v>
      </c>
      <c r="G553" s="2">
        <v>0.88642431495957497</v>
      </c>
      <c r="H553" s="2">
        <v>0.91005339716442601</v>
      </c>
      <c r="I553" s="1">
        <v>0.97865054987362099</v>
      </c>
      <c r="J553" s="1">
        <v>0.979968740061264</v>
      </c>
      <c r="K553" s="1">
        <v>0.99923628663731701</v>
      </c>
      <c r="L553" s="1">
        <v>0.99879584372541397</v>
      </c>
    </row>
    <row r="554" spans="1:12" x14ac:dyDescent="0.3">
      <c r="A554" t="s">
        <v>359</v>
      </c>
      <c r="B554" t="s">
        <v>410</v>
      </c>
      <c r="C554" t="s">
        <v>34</v>
      </c>
      <c r="D554" t="s">
        <v>35</v>
      </c>
      <c r="E554" s="2">
        <v>0.86091399523856305</v>
      </c>
      <c r="F554" s="2">
        <v>0.86810422488697303</v>
      </c>
      <c r="G554" s="2">
        <v>0.95691819232610198</v>
      </c>
      <c r="H554" s="2">
        <v>0.96278220083732702</v>
      </c>
      <c r="I554" s="1">
        <v>0.99545385189380997</v>
      </c>
      <c r="J554" s="1">
        <v>0.98552757264953605</v>
      </c>
      <c r="K554" s="1">
        <v>1</v>
      </c>
      <c r="L554" s="1">
        <v>0.99279200379577204</v>
      </c>
    </row>
    <row r="555" spans="1:12" x14ac:dyDescent="0.3">
      <c r="A555" t="s">
        <v>359</v>
      </c>
      <c r="B555" t="s">
        <v>411</v>
      </c>
      <c r="C555" t="s">
        <v>34</v>
      </c>
      <c r="D555" t="s">
        <v>35</v>
      </c>
      <c r="E555" s="2">
        <v>0.86417527775619596</v>
      </c>
      <c r="F555" s="2">
        <v>0.87627534768083204</v>
      </c>
      <c r="G555" s="2">
        <v>0.95796907777173401</v>
      </c>
      <c r="H555" s="2">
        <v>0.96771657213891604</v>
      </c>
      <c r="I555" s="1">
        <v>0.97693263926656804</v>
      </c>
      <c r="J555" s="1">
        <v>0.98126175122368098</v>
      </c>
      <c r="K555" s="1">
        <v>0.999804211017015</v>
      </c>
      <c r="L555" s="1">
        <v>0.99687980731877801</v>
      </c>
    </row>
    <row r="556" spans="1:12" x14ac:dyDescent="0.3">
      <c r="A556" t="s">
        <v>359</v>
      </c>
      <c r="B556" t="s">
        <v>412</v>
      </c>
      <c r="C556" t="s">
        <v>574</v>
      </c>
      <c r="D556" t="s">
        <v>575</v>
      </c>
      <c r="E556" s="2">
        <v>0.72942332200509696</v>
      </c>
      <c r="F556" s="2">
        <v>0.93110463572642299</v>
      </c>
      <c r="G556" s="2">
        <v>0.86689544392523299</v>
      </c>
      <c r="H556" s="2">
        <v>0.98359839634664403</v>
      </c>
      <c r="I556" s="1">
        <v>0.92190486937128202</v>
      </c>
      <c r="J556" s="1">
        <v>0.99039533772302402</v>
      </c>
      <c r="K556" s="1">
        <v>0.92190486937128202</v>
      </c>
      <c r="L556" s="1">
        <v>0.99039533772302402</v>
      </c>
    </row>
    <row r="557" spans="1:12" x14ac:dyDescent="0.3">
      <c r="A557" t="s">
        <v>359</v>
      </c>
      <c r="B557" t="s">
        <v>746</v>
      </c>
      <c r="C557" t="s">
        <v>34</v>
      </c>
      <c r="D557" t="s">
        <v>35</v>
      </c>
      <c r="E557" s="2">
        <v>0.87486328837039695</v>
      </c>
      <c r="F557" s="2">
        <v>0.90315689938024002</v>
      </c>
      <c r="G557" s="2">
        <v>0.96296254101348899</v>
      </c>
      <c r="H557" s="2">
        <v>0.95727761574917902</v>
      </c>
      <c r="I557" s="1">
        <v>0.99924238971928503</v>
      </c>
      <c r="J557" s="1">
        <v>0.99581890266131901</v>
      </c>
      <c r="K557" s="1">
        <v>1</v>
      </c>
      <c r="L557" s="1">
        <v>0.99898605541378005</v>
      </c>
    </row>
    <row r="558" spans="1:12" x14ac:dyDescent="0.3">
      <c r="A558" t="s">
        <v>359</v>
      </c>
      <c r="B558" t="s">
        <v>413</v>
      </c>
      <c r="C558" t="s">
        <v>34</v>
      </c>
      <c r="D558" t="s">
        <v>35</v>
      </c>
      <c r="E558" s="2">
        <v>0.82547035626035403</v>
      </c>
      <c r="F558" s="2">
        <v>0.85289967034622005</v>
      </c>
      <c r="G558" s="2">
        <v>0.95414688836952399</v>
      </c>
      <c r="H558" s="2">
        <v>0.90756586103224501</v>
      </c>
      <c r="I558" s="1">
        <v>1</v>
      </c>
      <c r="J558" s="1">
        <v>0.98383664567517604</v>
      </c>
      <c r="K558" s="1">
        <v>1</v>
      </c>
      <c r="L558" s="1">
        <v>0.99113253643761901</v>
      </c>
    </row>
    <row r="559" spans="1:12" x14ac:dyDescent="0.3">
      <c r="A559" t="s">
        <v>359</v>
      </c>
      <c r="B559" t="s">
        <v>414</v>
      </c>
      <c r="C559" t="s">
        <v>34</v>
      </c>
      <c r="D559" t="s">
        <v>35</v>
      </c>
      <c r="E559" s="2">
        <v>0.89801153095068298</v>
      </c>
      <c r="F559" s="2">
        <v>0.90795542605622803</v>
      </c>
      <c r="G559" s="2">
        <v>0.99263816992653597</v>
      </c>
      <c r="H559" s="2">
        <v>0.96154334955519005</v>
      </c>
      <c r="I559" s="1">
        <v>0.99323021605033901</v>
      </c>
      <c r="J559" s="1">
        <v>0.98766157279687505</v>
      </c>
      <c r="K559" s="1">
        <v>1</v>
      </c>
      <c r="L559" s="1">
        <v>0.99462198939896396</v>
      </c>
    </row>
    <row r="560" spans="1:12" x14ac:dyDescent="0.3">
      <c r="A560" t="s">
        <v>359</v>
      </c>
      <c r="B560" t="s">
        <v>747</v>
      </c>
      <c r="C560" t="s">
        <v>576</v>
      </c>
      <c r="D560" t="s">
        <v>14</v>
      </c>
      <c r="E560" s="2">
        <v>0.797325951906104</v>
      </c>
      <c r="F560" s="2">
        <v>0.79151479723998797</v>
      </c>
      <c r="G560" s="2">
        <v>0.79537170758544795</v>
      </c>
      <c r="H560" s="2">
        <v>0.80809435389588002</v>
      </c>
      <c r="I560" s="1">
        <v>0.79278133094926995</v>
      </c>
      <c r="J560" s="1">
        <v>0.82755656419778501</v>
      </c>
      <c r="K560" s="1">
        <v>0.80836370721866901</v>
      </c>
      <c r="L560" s="1">
        <v>0.82059349425761596</v>
      </c>
    </row>
    <row r="561" spans="1:12" x14ac:dyDescent="0.3">
      <c r="A561" t="s">
        <v>359</v>
      </c>
      <c r="B561" t="s">
        <v>415</v>
      </c>
      <c r="C561" t="s">
        <v>576</v>
      </c>
      <c r="D561" t="s">
        <v>14</v>
      </c>
      <c r="E561" s="2">
        <v>0.66116625587335098</v>
      </c>
      <c r="F561" s="2">
        <v>0.86629236073361904</v>
      </c>
      <c r="G561" s="2">
        <v>0.73607336197716899</v>
      </c>
      <c r="H561" s="2">
        <v>0.852460664368209</v>
      </c>
      <c r="I561" s="1">
        <v>0.755039354247801</v>
      </c>
      <c r="J561" s="1">
        <v>0.86577483562061996</v>
      </c>
      <c r="K561" s="1">
        <v>0.81585041662633195</v>
      </c>
      <c r="L561" s="1">
        <v>0.88693379401755801</v>
      </c>
    </row>
    <row r="562" spans="1:12" x14ac:dyDescent="0.3">
      <c r="A562" t="s">
        <v>359</v>
      </c>
      <c r="B562" t="s">
        <v>416</v>
      </c>
      <c r="C562" t="s">
        <v>576</v>
      </c>
      <c r="D562" t="s">
        <v>14</v>
      </c>
      <c r="E562" s="2">
        <v>0.63700554965167</v>
      </c>
      <c r="F562" s="2">
        <v>0.65546109339945602</v>
      </c>
      <c r="G562" s="2">
        <v>0.650702562285984</v>
      </c>
      <c r="H562" s="2">
        <v>0.68488605502420596</v>
      </c>
      <c r="I562" s="1">
        <v>0.72149014051245697</v>
      </c>
      <c r="J562" s="1">
        <v>0.71373833982760604</v>
      </c>
      <c r="K562" s="1">
        <v>0.72154917936001794</v>
      </c>
      <c r="L562" s="1">
        <v>0.772393434880151</v>
      </c>
    </row>
    <row r="563" spans="1:12" x14ac:dyDescent="0.3">
      <c r="A563" t="s">
        <v>359</v>
      </c>
      <c r="B563" t="s">
        <v>748</v>
      </c>
      <c r="C563" t="s">
        <v>574</v>
      </c>
      <c r="D563" t="s">
        <v>575</v>
      </c>
      <c r="E563" s="2">
        <v>0.83430000000000004</v>
      </c>
      <c r="F563" s="2">
        <v>0.98253333333333304</v>
      </c>
      <c r="G563" s="2">
        <v>0.96586666666666599</v>
      </c>
      <c r="H563" s="2">
        <v>0.98253333333333304</v>
      </c>
      <c r="I563" s="1">
        <v>0.96586666666666599</v>
      </c>
      <c r="J563" s="1">
        <v>0.98253333333333304</v>
      </c>
      <c r="K563" s="1">
        <v>0.96586666666666599</v>
      </c>
      <c r="L563" s="1">
        <v>0.98253333333333304</v>
      </c>
    </row>
    <row r="564" spans="1:12" x14ac:dyDescent="0.3">
      <c r="A564" t="s">
        <v>359</v>
      </c>
      <c r="B564" t="s">
        <v>417</v>
      </c>
      <c r="C564" t="s">
        <v>34</v>
      </c>
      <c r="D564" t="s">
        <v>35</v>
      </c>
      <c r="E564" s="2">
        <v>0.91168202239443197</v>
      </c>
      <c r="F564" s="2">
        <v>0.81986590922351399</v>
      </c>
      <c r="G564" s="2">
        <v>0.909886542653915</v>
      </c>
      <c r="H564" s="2">
        <v>0.90426229740075303</v>
      </c>
      <c r="I564" s="1">
        <v>0.96398785686375399</v>
      </c>
      <c r="J564" s="1">
        <v>0.98242003440673098</v>
      </c>
      <c r="K564" s="1">
        <v>0.99886578015407002</v>
      </c>
      <c r="L564" s="1">
        <v>0.99778813869484195</v>
      </c>
    </row>
    <row r="565" spans="1:12" x14ac:dyDescent="0.3">
      <c r="A565" t="s">
        <v>359</v>
      </c>
      <c r="B565" t="s">
        <v>749</v>
      </c>
      <c r="C565" t="s">
        <v>34</v>
      </c>
      <c r="D565" t="s">
        <v>35</v>
      </c>
      <c r="E565" s="2">
        <v>0.83654655125700506</v>
      </c>
      <c r="F565" s="2">
        <v>0.90559984028976004</v>
      </c>
      <c r="G565" s="2">
        <v>0.94789453420223302</v>
      </c>
      <c r="H565" s="2">
        <v>0.98437834215066899</v>
      </c>
      <c r="I565" s="1">
        <v>0.99296989747172903</v>
      </c>
      <c r="J565" s="1">
        <v>0.99842428736435296</v>
      </c>
      <c r="K565" s="1">
        <v>0.99919431887860599</v>
      </c>
      <c r="L565" s="1">
        <v>1</v>
      </c>
    </row>
    <row r="566" spans="1:12" x14ac:dyDescent="0.3">
      <c r="A566" t="s">
        <v>359</v>
      </c>
      <c r="B566" t="s">
        <v>750</v>
      </c>
      <c r="C566" t="s">
        <v>34</v>
      </c>
      <c r="D566" t="s">
        <v>35</v>
      </c>
      <c r="E566" s="2">
        <v>0.86777042890683098</v>
      </c>
      <c r="F566" s="2">
        <v>0.88353948347935596</v>
      </c>
      <c r="G566" s="2">
        <v>0.92467645879860205</v>
      </c>
      <c r="H566" s="2">
        <v>0.95791816984481404</v>
      </c>
      <c r="I566" s="1">
        <v>0.98729456565309504</v>
      </c>
      <c r="J566" s="1">
        <v>0.99216199965641605</v>
      </c>
      <c r="K566" s="1">
        <v>1</v>
      </c>
      <c r="L566" s="1">
        <v>0.99600584092080402</v>
      </c>
    </row>
    <row r="567" spans="1:12" x14ac:dyDescent="0.3">
      <c r="A567" t="s">
        <v>359</v>
      </c>
      <c r="B567" t="s">
        <v>418</v>
      </c>
      <c r="C567" t="s">
        <v>34</v>
      </c>
      <c r="D567" t="s">
        <v>35</v>
      </c>
      <c r="E567" s="2">
        <v>1</v>
      </c>
      <c r="F567" s="2">
        <v>1</v>
      </c>
      <c r="G567" s="2">
        <v>1</v>
      </c>
      <c r="H567" s="2">
        <v>1</v>
      </c>
      <c r="I567" s="1">
        <v>1</v>
      </c>
      <c r="J567" s="1">
        <v>1</v>
      </c>
      <c r="K567" s="1">
        <v>0.98829175084451604</v>
      </c>
      <c r="L567" s="1">
        <v>1</v>
      </c>
    </row>
    <row r="568" spans="1:12" x14ac:dyDescent="0.3">
      <c r="A568" t="s">
        <v>359</v>
      </c>
      <c r="B568" t="s">
        <v>419</v>
      </c>
      <c r="C568" t="s">
        <v>576</v>
      </c>
      <c r="D568" t="s">
        <v>14</v>
      </c>
      <c r="E568" s="2">
        <v>0.88886216021169095</v>
      </c>
      <c r="F568" s="2">
        <v>0.91775920134712496</v>
      </c>
      <c r="G568" s="2">
        <v>0.96313447197498203</v>
      </c>
      <c r="H568" s="2">
        <v>0.90678373827279202</v>
      </c>
      <c r="I568" s="1">
        <v>0.963705797450084</v>
      </c>
      <c r="J568" s="1">
        <v>1</v>
      </c>
      <c r="K568" s="1">
        <v>1</v>
      </c>
      <c r="L568" s="1">
        <v>1</v>
      </c>
    </row>
    <row r="569" spans="1:12" x14ac:dyDescent="0.3">
      <c r="A569" t="s">
        <v>359</v>
      </c>
      <c r="B569" t="s">
        <v>751</v>
      </c>
      <c r="C569" t="s">
        <v>34</v>
      </c>
      <c r="D569" t="s">
        <v>35</v>
      </c>
      <c r="E569" s="2">
        <v>0.90759050265351504</v>
      </c>
      <c r="F569" s="2">
        <v>0.85056164978864002</v>
      </c>
      <c r="G569" s="2">
        <v>0.98666723731514205</v>
      </c>
      <c r="H569" s="2">
        <v>0.97039717133939896</v>
      </c>
      <c r="I569" s="1">
        <v>0.99887340821997095</v>
      </c>
      <c r="J569" s="1">
        <v>0.99872460065580604</v>
      </c>
      <c r="K569" s="1">
        <v>0.99892147438007795</v>
      </c>
      <c r="L569" s="1">
        <v>1</v>
      </c>
    </row>
    <row r="570" spans="1:12" x14ac:dyDescent="0.3">
      <c r="A570" t="s">
        <v>359</v>
      </c>
      <c r="B570" t="s">
        <v>420</v>
      </c>
      <c r="C570" t="s">
        <v>576</v>
      </c>
      <c r="D570" t="s">
        <v>14</v>
      </c>
      <c r="E570" s="2">
        <v>0.73964978379072599</v>
      </c>
      <c r="F570" s="2">
        <v>0.91644903026929803</v>
      </c>
      <c r="G570" s="2">
        <v>0.81939033266258499</v>
      </c>
      <c r="H570" s="2">
        <v>0.92588945498137598</v>
      </c>
      <c r="I570" s="1">
        <v>0.90659117181144799</v>
      </c>
      <c r="J570" s="1">
        <v>0.93591856830928599</v>
      </c>
      <c r="K570" s="1">
        <v>0.94285439054673104</v>
      </c>
      <c r="L570" s="1">
        <v>0.94754249261463297</v>
      </c>
    </row>
    <row r="571" spans="1:12" x14ac:dyDescent="0.3">
      <c r="A571" t="s">
        <v>359</v>
      </c>
      <c r="B571" t="s">
        <v>421</v>
      </c>
      <c r="C571" t="s">
        <v>34</v>
      </c>
      <c r="D571" t="s">
        <v>35</v>
      </c>
      <c r="E571" s="2">
        <v>0.82165446911549</v>
      </c>
      <c r="F571" s="2">
        <v>0.84919403031408303</v>
      </c>
      <c r="G571" s="2">
        <v>0.96481983065711496</v>
      </c>
      <c r="H571" s="2">
        <v>0.92963966131423104</v>
      </c>
      <c r="I571" s="1">
        <v>0.98268542735407505</v>
      </c>
      <c r="J571" s="1">
        <v>0.98688019495386103</v>
      </c>
      <c r="K571" s="1">
        <v>0.99753979402565696</v>
      </c>
      <c r="L571" s="1">
        <v>0.99735741282566603</v>
      </c>
    </row>
    <row r="572" spans="1:12" x14ac:dyDescent="0.3">
      <c r="A572" t="s">
        <v>359</v>
      </c>
      <c r="B572" t="s">
        <v>422</v>
      </c>
      <c r="C572" t="s">
        <v>576</v>
      </c>
      <c r="D572" t="s">
        <v>14</v>
      </c>
      <c r="E572" s="2">
        <v>0</v>
      </c>
      <c r="F572" s="2">
        <v>0</v>
      </c>
      <c r="G572" s="2">
        <v>0</v>
      </c>
      <c r="H572" s="2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3">
      <c r="A573" t="s">
        <v>359</v>
      </c>
      <c r="B573" t="s">
        <v>752</v>
      </c>
      <c r="C573" t="s">
        <v>574</v>
      </c>
      <c r="D573" t="s">
        <v>575</v>
      </c>
      <c r="E573" s="2">
        <v>0.87115477322770996</v>
      </c>
      <c r="F573" s="2">
        <v>0.86914828471290195</v>
      </c>
      <c r="G573" s="2">
        <v>0.89012651300960199</v>
      </c>
      <c r="H573" s="2">
        <v>0.99059556227280399</v>
      </c>
      <c r="I573" s="1">
        <v>0.89151411707990702</v>
      </c>
      <c r="J573" s="1">
        <v>0.99059556227280399</v>
      </c>
      <c r="K573" s="1">
        <v>0.89269586064025197</v>
      </c>
      <c r="L573" s="1">
        <v>0.98988417089028102</v>
      </c>
    </row>
    <row r="574" spans="1:12" x14ac:dyDescent="0.3">
      <c r="A574" t="s">
        <v>359</v>
      </c>
      <c r="B574" t="s">
        <v>753</v>
      </c>
      <c r="C574" t="s">
        <v>574</v>
      </c>
      <c r="D574" t="s">
        <v>575</v>
      </c>
      <c r="E574" s="2">
        <v>0.99110937499999996</v>
      </c>
      <c r="F574" s="2">
        <v>0.97958854166666598</v>
      </c>
      <c r="G574" s="2">
        <v>1</v>
      </c>
      <c r="H574" s="2">
        <v>0.996</v>
      </c>
      <c r="I574" s="1">
        <v>1</v>
      </c>
      <c r="J574" s="1">
        <v>1</v>
      </c>
      <c r="K574" s="1">
        <v>1</v>
      </c>
      <c r="L574" s="1">
        <v>1</v>
      </c>
    </row>
    <row r="575" spans="1:12" x14ac:dyDescent="0.3">
      <c r="A575" t="s">
        <v>359</v>
      </c>
      <c r="B575" t="s">
        <v>754</v>
      </c>
      <c r="C575" t="s">
        <v>574</v>
      </c>
      <c r="D575" t="s">
        <v>575</v>
      </c>
      <c r="E575" s="2">
        <v>0.96801595565491605</v>
      </c>
      <c r="F575" s="2">
        <v>0.96821884666033697</v>
      </c>
      <c r="G575" s="2">
        <v>0.99926882675405004</v>
      </c>
      <c r="H575" s="2">
        <v>0.99605319572474105</v>
      </c>
      <c r="I575" s="1">
        <v>0.99926882675405004</v>
      </c>
      <c r="J575" s="1">
        <v>0.99603788319603004</v>
      </c>
      <c r="K575" s="1">
        <v>0.99926882675405004</v>
      </c>
      <c r="L575" s="1">
        <v>0.99615272716136305</v>
      </c>
    </row>
    <row r="576" spans="1:12" x14ac:dyDescent="0.3">
      <c r="A576" t="s">
        <v>359</v>
      </c>
      <c r="B576" t="s">
        <v>755</v>
      </c>
      <c r="C576" t="s">
        <v>576</v>
      </c>
      <c r="D576" t="s">
        <v>577</v>
      </c>
      <c r="E576" s="2">
        <v>0.74319066147859902</v>
      </c>
      <c r="F576" s="2">
        <v>0.90008555100055498</v>
      </c>
      <c r="G576" s="2">
        <v>0.88541377153974399</v>
      </c>
      <c r="H576" s="2">
        <v>0.97410453724291202</v>
      </c>
      <c r="I576" s="1">
        <v>0.89909324624791498</v>
      </c>
      <c r="J576" s="1">
        <v>0.97410453724291202</v>
      </c>
      <c r="K576" s="1">
        <v>0.89909324624791498</v>
      </c>
      <c r="L576" s="1">
        <v>0.971257903696498</v>
      </c>
    </row>
    <row r="577" spans="1:12" x14ac:dyDescent="0.3">
      <c r="A577" t="s">
        <v>359</v>
      </c>
      <c r="B577" t="s">
        <v>756</v>
      </c>
      <c r="C577" t="s">
        <v>576</v>
      </c>
      <c r="D577" t="s">
        <v>577</v>
      </c>
      <c r="E577" s="2">
        <v>0.60340758800488403</v>
      </c>
      <c r="F577" s="2">
        <v>0.80691109298876396</v>
      </c>
      <c r="G577" s="2">
        <v>0.62265647777641597</v>
      </c>
      <c r="H577" s="2">
        <v>0.92493123132893595</v>
      </c>
      <c r="I577" s="1">
        <v>0.65299286326971195</v>
      </c>
      <c r="J577" s="1">
        <v>1</v>
      </c>
      <c r="K577" s="1">
        <v>0.71463853665338395</v>
      </c>
      <c r="L577" s="1">
        <v>1</v>
      </c>
    </row>
    <row r="578" spans="1:12" x14ac:dyDescent="0.3">
      <c r="A578" t="s">
        <v>359</v>
      </c>
      <c r="B578" t="s">
        <v>423</v>
      </c>
      <c r="C578" t="s">
        <v>576</v>
      </c>
      <c r="D578" t="s">
        <v>14</v>
      </c>
      <c r="E578" s="2">
        <v>0.79137144718625296</v>
      </c>
      <c r="F578" s="2">
        <v>0.91074191709422503</v>
      </c>
      <c r="G578" s="2">
        <v>0.80482938350028499</v>
      </c>
      <c r="H578" s="2">
        <v>0.97803159866438605</v>
      </c>
      <c r="I578" s="1">
        <v>0.90875682058799501</v>
      </c>
      <c r="J578" s="1">
        <v>0.98886309960094398</v>
      </c>
      <c r="K578" s="1">
        <v>0.90040923527974503</v>
      </c>
      <c r="L578" s="1">
        <v>0.981146673181855</v>
      </c>
    </row>
    <row r="579" spans="1:12" x14ac:dyDescent="0.3">
      <c r="A579" t="s">
        <v>359</v>
      </c>
      <c r="B579" t="s">
        <v>424</v>
      </c>
      <c r="C579" t="s">
        <v>576</v>
      </c>
      <c r="D579" t="s">
        <v>589</v>
      </c>
      <c r="E579" s="2">
        <v>0</v>
      </c>
      <c r="F579" s="2">
        <v>0</v>
      </c>
      <c r="G579" s="2">
        <v>0</v>
      </c>
      <c r="H579" s="2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3">
      <c r="A580" t="s">
        <v>359</v>
      </c>
      <c r="B580" t="s">
        <v>425</v>
      </c>
      <c r="C580" t="s">
        <v>574</v>
      </c>
      <c r="D580" t="s">
        <v>575</v>
      </c>
      <c r="E580" s="2">
        <v>0.77508874015808304</v>
      </c>
      <c r="F580" s="2">
        <v>0.95712872881161004</v>
      </c>
      <c r="G580" s="2">
        <v>0.90914196125332503</v>
      </c>
      <c r="H580" s="2">
        <v>0.99274362335840205</v>
      </c>
      <c r="I580" s="1">
        <v>0.98911351840352002</v>
      </c>
      <c r="J580" s="1">
        <v>0.99306370125041199</v>
      </c>
      <c r="K580" s="1">
        <v>0.99253279360917501</v>
      </c>
      <c r="L580" s="1">
        <v>0.99309628402983796</v>
      </c>
    </row>
    <row r="581" spans="1:12" x14ac:dyDescent="0.3">
      <c r="A581" t="s">
        <v>359</v>
      </c>
      <c r="B581" t="s">
        <v>426</v>
      </c>
      <c r="C581" t="s">
        <v>576</v>
      </c>
      <c r="D581" t="s">
        <v>14</v>
      </c>
      <c r="E581" s="2">
        <v>1</v>
      </c>
      <c r="F581" s="2">
        <v>1</v>
      </c>
      <c r="G581" s="2">
        <v>1</v>
      </c>
      <c r="H581" s="2">
        <v>1</v>
      </c>
      <c r="I581" s="1">
        <v>1</v>
      </c>
      <c r="J581" s="1">
        <v>0.99643370562866296</v>
      </c>
      <c r="K581" s="1">
        <v>1</v>
      </c>
      <c r="L581" s="1">
        <v>0.99930194625677304</v>
      </c>
    </row>
    <row r="582" spans="1:12" x14ac:dyDescent="0.3">
      <c r="A582" t="s">
        <v>359</v>
      </c>
      <c r="B582" t="s">
        <v>757</v>
      </c>
      <c r="C582" t="s">
        <v>576</v>
      </c>
      <c r="D582" t="s">
        <v>598</v>
      </c>
      <c r="E582" s="2">
        <v>0.64189217856599101</v>
      </c>
      <c r="F582" s="2">
        <v>0.76119531497625204</v>
      </c>
      <c r="G582" s="2">
        <v>0.75021401064687299</v>
      </c>
      <c r="H582" s="2">
        <v>0.84442736241548699</v>
      </c>
      <c r="I582" s="1">
        <v>0.84549180021014203</v>
      </c>
      <c r="J582" s="1">
        <v>0.88607271120916598</v>
      </c>
      <c r="K582" s="1">
        <v>0.82279419288661004</v>
      </c>
      <c r="L582" s="1">
        <v>0.89643631717001804</v>
      </c>
    </row>
    <row r="583" spans="1:12" x14ac:dyDescent="0.3">
      <c r="A583" t="s">
        <v>359</v>
      </c>
      <c r="B583" t="s">
        <v>427</v>
      </c>
      <c r="C583" t="s">
        <v>576</v>
      </c>
      <c r="D583" t="s">
        <v>14</v>
      </c>
      <c r="E583" s="2">
        <v>0.70893236299982099</v>
      </c>
      <c r="F583" s="2">
        <v>0.85117590806684196</v>
      </c>
      <c r="G583" s="2">
        <v>0.73029482794949496</v>
      </c>
      <c r="H583" s="2">
        <v>0.95227482697700006</v>
      </c>
      <c r="I583" s="1">
        <v>0.80460962445499695</v>
      </c>
      <c r="J583" s="1">
        <v>0.96312624600871999</v>
      </c>
      <c r="K583" s="1">
        <v>0.91371541566040404</v>
      </c>
      <c r="L583" s="1">
        <v>0.96326401607857703</v>
      </c>
    </row>
    <row r="584" spans="1:12" x14ac:dyDescent="0.3">
      <c r="A584" t="s">
        <v>359</v>
      </c>
      <c r="B584" t="s">
        <v>428</v>
      </c>
      <c r="C584" t="s">
        <v>576</v>
      </c>
      <c r="D584" t="s">
        <v>598</v>
      </c>
      <c r="E584" s="2">
        <v>0.5</v>
      </c>
      <c r="F584" s="2">
        <v>1</v>
      </c>
      <c r="G584" s="2">
        <v>0.5</v>
      </c>
      <c r="H584" s="2">
        <v>1</v>
      </c>
      <c r="I584" s="1">
        <v>0.5</v>
      </c>
      <c r="J584" s="1">
        <v>1</v>
      </c>
      <c r="K584" s="1">
        <v>0.5</v>
      </c>
      <c r="L584" s="1">
        <v>1</v>
      </c>
    </row>
    <row r="585" spans="1:12" x14ac:dyDescent="0.3">
      <c r="A585" t="s">
        <v>359</v>
      </c>
      <c r="B585" t="s">
        <v>429</v>
      </c>
      <c r="C585" t="s">
        <v>574</v>
      </c>
      <c r="D585" t="s">
        <v>575</v>
      </c>
      <c r="E585" s="2">
        <v>0.94342577343841905</v>
      </c>
      <c r="F585" s="2">
        <v>0.74316992118574199</v>
      </c>
      <c r="G585" s="2">
        <v>0.987927890836372</v>
      </c>
      <c r="H585" s="2">
        <v>0.85149541230443404</v>
      </c>
      <c r="I585" s="1">
        <v>0.952343841900952</v>
      </c>
      <c r="J585" s="1">
        <v>0.85131896247500205</v>
      </c>
      <c r="K585" s="1">
        <v>0.952343841900952</v>
      </c>
      <c r="L585" s="1">
        <v>0.85132631455122898</v>
      </c>
    </row>
    <row r="586" spans="1:12" x14ac:dyDescent="0.3">
      <c r="A586" t="s">
        <v>359</v>
      </c>
      <c r="B586" t="s">
        <v>430</v>
      </c>
      <c r="C586" t="s">
        <v>574</v>
      </c>
      <c r="D586" t="s">
        <v>575</v>
      </c>
      <c r="E586" s="2">
        <v>0.85157800099206304</v>
      </c>
      <c r="F586" s="2">
        <v>0.90490141369047605</v>
      </c>
      <c r="G586" s="2">
        <v>0.9931640625</v>
      </c>
      <c r="H586" s="2">
        <v>0.98494853670634896</v>
      </c>
      <c r="I586" s="1">
        <v>0.993985615079365</v>
      </c>
      <c r="J586" s="1">
        <v>0.98479352678571397</v>
      </c>
      <c r="K586" s="1">
        <v>0.99145895337301504</v>
      </c>
      <c r="L586" s="1">
        <v>0.984452504960317</v>
      </c>
    </row>
    <row r="587" spans="1:12" x14ac:dyDescent="0.3">
      <c r="A587" t="s">
        <v>359</v>
      </c>
      <c r="B587" t="s">
        <v>431</v>
      </c>
      <c r="C587" t="s">
        <v>574</v>
      </c>
      <c r="D587" t="s">
        <v>575</v>
      </c>
      <c r="E587" s="2">
        <v>0.78441971044158698</v>
      </c>
      <c r="F587" s="2">
        <v>0.73986652167423606</v>
      </c>
      <c r="G587" s="2">
        <v>0.83081728821510004</v>
      </c>
      <c r="H587" s="2">
        <v>0.79024606068359604</v>
      </c>
      <c r="I587" s="1">
        <v>0.83299750527729799</v>
      </c>
      <c r="J587" s="1">
        <v>0.80152561888313101</v>
      </c>
      <c r="K587" s="1">
        <v>0.83302948890168205</v>
      </c>
      <c r="L587" s="1">
        <v>0.79439860124949302</v>
      </c>
    </row>
    <row r="588" spans="1:12" x14ac:dyDescent="0.3">
      <c r="A588" t="s">
        <v>359</v>
      </c>
      <c r="B588" t="s">
        <v>432</v>
      </c>
      <c r="C588" t="s">
        <v>576</v>
      </c>
      <c r="D588" t="s">
        <v>14</v>
      </c>
      <c r="E588" s="2">
        <v>0</v>
      </c>
      <c r="F588" s="2">
        <v>0</v>
      </c>
      <c r="G588" s="2">
        <v>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3">
      <c r="A589" t="s">
        <v>359</v>
      </c>
      <c r="B589" t="s">
        <v>433</v>
      </c>
      <c r="C589" t="s">
        <v>576</v>
      </c>
      <c r="D589" t="s">
        <v>14</v>
      </c>
      <c r="E589" s="2">
        <v>0</v>
      </c>
      <c r="F589" s="2">
        <v>0</v>
      </c>
      <c r="G589" s="2">
        <v>0</v>
      </c>
      <c r="H589" s="2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3">
      <c r="A590" t="s">
        <v>359</v>
      </c>
      <c r="B590" t="s">
        <v>434</v>
      </c>
      <c r="C590" t="s">
        <v>574</v>
      </c>
      <c r="D590" t="s">
        <v>575</v>
      </c>
      <c r="E590" s="2">
        <v>0.66346944474610903</v>
      </c>
      <c r="F590" s="2">
        <v>0.66364397970740097</v>
      </c>
      <c r="G590" s="2">
        <v>0.77233659649068298</v>
      </c>
      <c r="H590" s="2">
        <v>0.66628527545495397</v>
      </c>
      <c r="I590" s="1">
        <v>0.79166731309244898</v>
      </c>
      <c r="J590" s="1">
        <v>0.69630916735187798</v>
      </c>
      <c r="K590" s="1">
        <v>0.79165567742836296</v>
      </c>
      <c r="L590" s="1">
        <v>0.78990257070605197</v>
      </c>
    </row>
    <row r="591" spans="1:12" x14ac:dyDescent="0.3">
      <c r="A591" t="s">
        <v>359</v>
      </c>
      <c r="B591" t="s">
        <v>435</v>
      </c>
      <c r="C591" t="s">
        <v>574</v>
      </c>
      <c r="D591" t="s">
        <v>575</v>
      </c>
      <c r="E591" s="2">
        <v>0.68391353874364402</v>
      </c>
      <c r="F591" s="2">
        <v>0.64012169032867505</v>
      </c>
      <c r="G591" s="2">
        <v>0.69262078737532295</v>
      </c>
      <c r="H591" s="2">
        <v>0.72208484983191101</v>
      </c>
      <c r="I591" s="1">
        <v>0.69413219237073798</v>
      </c>
      <c r="J591" s="1">
        <v>0.72228488872836305</v>
      </c>
      <c r="K591" s="1">
        <v>0.70909065651654402</v>
      </c>
      <c r="L591" s="1">
        <v>0.722334898452476</v>
      </c>
    </row>
    <row r="592" spans="1:12" x14ac:dyDescent="0.3">
      <c r="A592" t="s">
        <v>359</v>
      </c>
      <c r="B592" t="s">
        <v>436</v>
      </c>
      <c r="C592" t="s">
        <v>574</v>
      </c>
      <c r="D592" t="s">
        <v>575</v>
      </c>
      <c r="E592" s="2">
        <v>0.67246929920585896</v>
      </c>
      <c r="F592" s="2">
        <v>0.62146716955595704</v>
      </c>
      <c r="G592" s="2">
        <v>0.69383794757478601</v>
      </c>
      <c r="H592" s="2">
        <v>0.670180423143522</v>
      </c>
      <c r="I592" s="1">
        <v>0.70759359512767905</v>
      </c>
      <c r="J592" s="1">
        <v>0.67059092808948495</v>
      </c>
      <c r="K592" s="1">
        <v>0.70778516410246195</v>
      </c>
      <c r="L592" s="1">
        <v>0.68153026292219798</v>
      </c>
    </row>
    <row r="593" spans="1:12" x14ac:dyDescent="0.3">
      <c r="A593" t="s">
        <v>359</v>
      </c>
      <c r="B593" t="s">
        <v>437</v>
      </c>
      <c r="C593" t="s">
        <v>574</v>
      </c>
      <c r="D593" t="s">
        <v>575</v>
      </c>
      <c r="E593" s="2">
        <v>0.84206273042007396</v>
      </c>
      <c r="F593" s="2">
        <v>0.83230456413441301</v>
      </c>
      <c r="G593" s="2">
        <v>0.94264563539780899</v>
      </c>
      <c r="H593" s="2">
        <v>0.94112601913395</v>
      </c>
      <c r="I593" s="1">
        <v>0.94399594658879105</v>
      </c>
      <c r="J593" s="1">
        <v>0.94634433183133504</v>
      </c>
      <c r="K593" s="1">
        <v>0.94428211345587099</v>
      </c>
      <c r="L593" s="1">
        <v>0.94629601794468599</v>
      </c>
    </row>
    <row r="594" spans="1:12" x14ac:dyDescent="0.3">
      <c r="A594" t="s">
        <v>359</v>
      </c>
      <c r="B594" t="s">
        <v>438</v>
      </c>
      <c r="C594" t="s">
        <v>576</v>
      </c>
      <c r="D594" t="s">
        <v>577</v>
      </c>
      <c r="E594" s="2">
        <v>0.77644888932595002</v>
      </c>
      <c r="F594" s="2">
        <v>0.93449119276107995</v>
      </c>
      <c r="G594" s="2">
        <v>0.86545808511409095</v>
      </c>
      <c r="H594" s="2">
        <v>0.98964041266810898</v>
      </c>
      <c r="I594" s="1">
        <v>0.97573027659824596</v>
      </c>
      <c r="J594" s="1">
        <v>0.99087112661528798</v>
      </c>
      <c r="K594" s="1">
        <v>0.99055134062420702</v>
      </c>
      <c r="L594" s="1">
        <v>0.99126817881693197</v>
      </c>
    </row>
    <row r="595" spans="1:12" x14ac:dyDescent="0.3">
      <c r="A595" t="s">
        <v>359</v>
      </c>
      <c r="B595" t="s">
        <v>439</v>
      </c>
      <c r="C595" t="s">
        <v>576</v>
      </c>
      <c r="D595" t="s">
        <v>577</v>
      </c>
      <c r="E595" s="2">
        <v>0</v>
      </c>
      <c r="F595" s="2">
        <v>0</v>
      </c>
      <c r="G595" s="2">
        <v>0</v>
      </c>
      <c r="H595" s="2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3">
      <c r="A596" t="s">
        <v>359</v>
      </c>
      <c r="B596" t="s">
        <v>440</v>
      </c>
      <c r="C596" t="s">
        <v>576</v>
      </c>
      <c r="D596" t="s">
        <v>14</v>
      </c>
      <c r="E596" s="2">
        <v>0.796381619363558</v>
      </c>
      <c r="F596" s="2">
        <v>0.86779702666175196</v>
      </c>
      <c r="G596" s="2">
        <v>0.90172830405045601</v>
      </c>
      <c r="H596" s="2">
        <v>0.97345087439079303</v>
      </c>
      <c r="I596" s="1">
        <v>0.93754351476430298</v>
      </c>
      <c r="J596" s="1">
        <v>0.97345087439079303</v>
      </c>
      <c r="K596" s="1">
        <v>0.90172830405045601</v>
      </c>
      <c r="L596" s="1">
        <v>0.95854322807879699</v>
      </c>
    </row>
    <row r="597" spans="1:12" x14ac:dyDescent="0.3">
      <c r="A597" t="s">
        <v>359</v>
      </c>
      <c r="B597" t="s">
        <v>758</v>
      </c>
      <c r="C597" t="s">
        <v>576</v>
      </c>
      <c r="D597" t="s">
        <v>589</v>
      </c>
      <c r="E597" s="2">
        <v>0</v>
      </c>
      <c r="F597" s="2">
        <v>0</v>
      </c>
      <c r="G597" s="2">
        <v>0</v>
      </c>
      <c r="H597" s="2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3">
      <c r="A598" t="s">
        <v>359</v>
      </c>
      <c r="B598" t="s">
        <v>759</v>
      </c>
      <c r="C598" t="s">
        <v>574</v>
      </c>
      <c r="D598" t="s">
        <v>575</v>
      </c>
      <c r="E598" s="2">
        <v>0.72874605637175704</v>
      </c>
      <c r="F598" s="2">
        <v>0.75854582938536597</v>
      </c>
      <c r="G598" s="2">
        <v>0.77066565321060798</v>
      </c>
      <c r="H598" s="2">
        <v>0.79765933299320002</v>
      </c>
      <c r="I598" s="1">
        <v>0.83194677273247797</v>
      </c>
      <c r="J598" s="1">
        <v>0.79748232525692098</v>
      </c>
      <c r="K598" s="1">
        <v>0.86782207598837902</v>
      </c>
      <c r="L598" s="1">
        <v>0.79764371466352901</v>
      </c>
    </row>
    <row r="599" spans="1:12" x14ac:dyDescent="0.3">
      <c r="A599" t="s">
        <v>359</v>
      </c>
      <c r="B599" t="s">
        <v>441</v>
      </c>
      <c r="C599" t="s">
        <v>574</v>
      </c>
      <c r="D599" t="s">
        <v>575</v>
      </c>
      <c r="E599" s="2">
        <v>0.81294005845848105</v>
      </c>
      <c r="F599" s="2">
        <v>0.78815279837583296</v>
      </c>
      <c r="G599" s="2">
        <v>0.98969417287008099</v>
      </c>
      <c r="H599" s="2">
        <v>0.97191185152121595</v>
      </c>
      <c r="I599" s="1">
        <v>0.99004333990871196</v>
      </c>
      <c r="J599" s="1">
        <v>0.97230421448215298</v>
      </c>
      <c r="K599" s="1">
        <v>0.99023412189889204</v>
      </c>
      <c r="L599" s="1">
        <v>0.97234381074426501</v>
      </c>
    </row>
    <row r="600" spans="1:12" x14ac:dyDescent="0.3">
      <c r="A600" t="s">
        <v>359</v>
      </c>
      <c r="B600" t="s">
        <v>442</v>
      </c>
      <c r="C600" t="s">
        <v>574</v>
      </c>
      <c r="D600" t="s">
        <v>575</v>
      </c>
      <c r="E600" s="2">
        <v>0.95571945944915004</v>
      </c>
      <c r="F600" s="2">
        <v>0.951671897416553</v>
      </c>
      <c r="G600" s="2">
        <v>0.97905439626691804</v>
      </c>
      <c r="H600" s="2">
        <v>0.97963080300663896</v>
      </c>
      <c r="I600" s="1">
        <v>0.97924088080035698</v>
      </c>
      <c r="J600" s="1">
        <v>0.983001299034306</v>
      </c>
      <c r="K600" s="1">
        <v>0.98149776748345396</v>
      </c>
      <c r="L600" s="1">
        <v>0.97933200392465103</v>
      </c>
    </row>
    <row r="601" spans="1:12" x14ac:dyDescent="0.3">
      <c r="A601" t="s">
        <v>359</v>
      </c>
      <c r="B601" t="s">
        <v>760</v>
      </c>
      <c r="C601" t="s">
        <v>574</v>
      </c>
      <c r="D601" t="s">
        <v>575</v>
      </c>
      <c r="E601" s="2">
        <v>0.93270694113485397</v>
      </c>
      <c r="F601" s="2">
        <v>0.93011563530866703</v>
      </c>
      <c r="G601" s="2">
        <v>0.96464444267729799</v>
      </c>
      <c r="H601" s="2">
        <v>0.96454161308102104</v>
      </c>
      <c r="I601" s="1">
        <v>0.97844143237514403</v>
      </c>
      <c r="J601" s="1">
        <v>0.97868548128364197</v>
      </c>
      <c r="K601" s="1">
        <v>0.97861829928074096</v>
      </c>
      <c r="L601" s="1">
        <v>0.97920374244887998</v>
      </c>
    </row>
    <row r="602" spans="1:12" x14ac:dyDescent="0.3">
      <c r="A602" t="s">
        <v>359</v>
      </c>
      <c r="B602" t="s">
        <v>761</v>
      </c>
      <c r="C602" t="s">
        <v>576</v>
      </c>
      <c r="D602" t="s">
        <v>577</v>
      </c>
      <c r="E602" s="2">
        <v>0.90506099695015196</v>
      </c>
      <c r="F602" s="2">
        <v>0.95701673249670804</v>
      </c>
      <c r="G602" s="2">
        <v>0.97980517640784603</v>
      </c>
      <c r="H602" s="2">
        <v>0.99513565988367203</v>
      </c>
      <c r="I602" s="1">
        <v>0.99007966268353198</v>
      </c>
      <c r="J602" s="1">
        <v>0.99529190207156304</v>
      </c>
      <c r="K602" s="1">
        <v>0.99625227071979705</v>
      </c>
      <c r="L602" s="1">
        <v>0.99529190207156304</v>
      </c>
    </row>
    <row r="603" spans="1:12" x14ac:dyDescent="0.3">
      <c r="A603" t="s">
        <v>359</v>
      </c>
      <c r="B603" t="s">
        <v>443</v>
      </c>
      <c r="C603" t="s">
        <v>574</v>
      </c>
      <c r="D603" t="s">
        <v>575</v>
      </c>
      <c r="E603" s="2">
        <v>0.82176800100704905</v>
      </c>
      <c r="F603" s="2">
        <v>0.88442535246727005</v>
      </c>
      <c r="G603" s="2">
        <v>0.91344489551862995</v>
      </c>
      <c r="H603" s="2">
        <v>0.91672567346424905</v>
      </c>
      <c r="I603" s="1">
        <v>0.91599005538771405</v>
      </c>
      <c r="J603" s="1">
        <v>0.91800022029204398</v>
      </c>
      <c r="K603" s="1">
        <v>0.91608840005035197</v>
      </c>
      <c r="L603" s="1">
        <v>0.91806316087613304</v>
      </c>
    </row>
    <row r="604" spans="1:12" x14ac:dyDescent="0.3">
      <c r="A604" t="s">
        <v>359</v>
      </c>
      <c r="B604" t="s">
        <v>444</v>
      </c>
      <c r="C604" t="s">
        <v>574</v>
      </c>
      <c r="D604" t="s">
        <v>575</v>
      </c>
      <c r="E604" s="2">
        <v>0.83894410903897998</v>
      </c>
      <c r="F604" s="2">
        <v>0.84205230440048795</v>
      </c>
      <c r="G604" s="2">
        <v>0.89551844887148202</v>
      </c>
      <c r="H604" s="2">
        <v>0.894330783623415</v>
      </c>
      <c r="I604" s="1">
        <v>0.91471668056988997</v>
      </c>
      <c r="J604" s="1">
        <v>0.89478558400610797</v>
      </c>
      <c r="K604" s="1">
        <v>0.91450695396854498</v>
      </c>
      <c r="L604" s="1">
        <v>0.90991889000428805</v>
      </c>
    </row>
    <row r="605" spans="1:12" x14ac:dyDescent="0.3">
      <c r="A605" t="s">
        <v>359</v>
      </c>
      <c r="B605" t="s">
        <v>445</v>
      </c>
      <c r="C605" t="s">
        <v>574</v>
      </c>
      <c r="D605" t="s">
        <v>575</v>
      </c>
      <c r="E605" s="2">
        <v>0.67299981585562496</v>
      </c>
      <c r="F605" s="2">
        <v>0.67438594580771705</v>
      </c>
      <c r="G605" s="2">
        <v>0.76008679868370399</v>
      </c>
      <c r="H605" s="2">
        <v>0.72678924401087197</v>
      </c>
      <c r="I605" s="1">
        <v>0.85927286219699495</v>
      </c>
      <c r="J605" s="1">
        <v>0.79066883561413304</v>
      </c>
      <c r="K605" s="1">
        <v>0.86049595402386003</v>
      </c>
      <c r="L605" s="1">
        <v>0.862874383559883</v>
      </c>
    </row>
    <row r="606" spans="1:12" x14ac:dyDescent="0.3">
      <c r="A606" t="s">
        <v>359</v>
      </c>
      <c r="B606" t="s">
        <v>446</v>
      </c>
      <c r="C606" t="s">
        <v>574</v>
      </c>
      <c r="D606" t="s">
        <v>575</v>
      </c>
      <c r="E606" s="2">
        <v>0.86481172313955601</v>
      </c>
      <c r="F606" s="2">
        <v>0.77864087901360501</v>
      </c>
      <c r="G606" s="2">
        <v>0.97257519704037299</v>
      </c>
      <c r="H606" s="2">
        <v>0.81846216991230902</v>
      </c>
      <c r="I606" s="1">
        <v>0.89898942277293004</v>
      </c>
      <c r="J606" s="1">
        <v>0.85184394291514298</v>
      </c>
      <c r="K606" s="1">
        <v>0.898287787102105</v>
      </c>
      <c r="L606" s="1">
        <v>0.86556605081728</v>
      </c>
    </row>
    <row r="607" spans="1:12" x14ac:dyDescent="0.3">
      <c r="A607" t="s">
        <v>359</v>
      </c>
      <c r="B607" t="s">
        <v>447</v>
      </c>
      <c r="C607" t="s">
        <v>576</v>
      </c>
      <c r="D607" t="s">
        <v>14</v>
      </c>
      <c r="E607" s="2">
        <v>0.75813802742722802</v>
      </c>
      <c r="F607" s="2">
        <v>0.81994044604695404</v>
      </c>
      <c r="G607" s="2">
        <v>0.85999756922640602</v>
      </c>
      <c r="H607" s="2">
        <v>0.92946705288958198</v>
      </c>
      <c r="I607" s="1">
        <v>0.87468349302165405</v>
      </c>
      <c r="J607" s="1">
        <v>0.94768772661899603</v>
      </c>
      <c r="K607" s="1">
        <v>0.88178337755990799</v>
      </c>
      <c r="L607" s="1">
        <v>0.97659367593736701</v>
      </c>
    </row>
    <row r="608" spans="1:12" x14ac:dyDescent="0.3">
      <c r="A608" t="s">
        <v>359</v>
      </c>
      <c r="B608" t="s">
        <v>762</v>
      </c>
      <c r="C608" t="s">
        <v>574</v>
      </c>
      <c r="D608" t="s">
        <v>575</v>
      </c>
      <c r="E608" s="2">
        <v>0.64627817149424904</v>
      </c>
      <c r="F608" s="2">
        <v>0.60085159728526305</v>
      </c>
      <c r="G608" s="2">
        <v>0.71253950938435195</v>
      </c>
      <c r="H608" s="2">
        <v>0.69147843289825295</v>
      </c>
      <c r="I608" s="1">
        <v>0.85374217122979301</v>
      </c>
      <c r="J608" s="1">
        <v>0.85031696506899901</v>
      </c>
      <c r="K608" s="1">
        <v>0.88620407312192095</v>
      </c>
      <c r="L608" s="1">
        <v>0.88823453126549501</v>
      </c>
    </row>
    <row r="609" spans="1:12" x14ac:dyDescent="0.3">
      <c r="A609" t="s">
        <v>359</v>
      </c>
      <c r="B609" t="s">
        <v>448</v>
      </c>
      <c r="C609" t="s">
        <v>574</v>
      </c>
      <c r="D609" t="s">
        <v>575</v>
      </c>
      <c r="E609" s="2">
        <v>0.639928517041638</v>
      </c>
      <c r="F609" s="2">
        <v>0.65035163860589995</v>
      </c>
      <c r="G609" s="2">
        <v>0.70492596441633204</v>
      </c>
      <c r="H609" s="2">
        <v>0.65029848352085995</v>
      </c>
      <c r="I609" s="1">
        <v>0.79422048304033799</v>
      </c>
      <c r="J609" s="1">
        <v>0.68798886436405104</v>
      </c>
      <c r="K609" s="1">
        <v>0.79608150162878999</v>
      </c>
      <c r="L609" s="1">
        <v>0.70188632040892995</v>
      </c>
    </row>
    <row r="610" spans="1:12" x14ac:dyDescent="0.3">
      <c r="A610" t="s">
        <v>359</v>
      </c>
      <c r="B610" t="s">
        <v>449</v>
      </c>
      <c r="C610" t="s">
        <v>574</v>
      </c>
      <c r="D610" t="s">
        <v>575</v>
      </c>
      <c r="E610" s="2">
        <v>0.47299059532704602</v>
      </c>
      <c r="F610" s="2">
        <v>0.468445081810974</v>
      </c>
      <c r="G610" s="2">
        <v>0.52732604448725195</v>
      </c>
      <c r="H610" s="2">
        <v>0.51848564905958205</v>
      </c>
      <c r="I610" s="1">
        <v>0.566368403652036</v>
      </c>
      <c r="J610" s="1">
        <v>0.56127892831180504</v>
      </c>
      <c r="K610" s="1">
        <v>0.57961196011735405</v>
      </c>
      <c r="L610" s="1">
        <v>0.58142226734921698</v>
      </c>
    </row>
    <row r="611" spans="1:12" x14ac:dyDescent="0.3">
      <c r="A611" t="s">
        <v>359</v>
      </c>
      <c r="B611" t="s">
        <v>450</v>
      </c>
      <c r="C611" t="s">
        <v>574</v>
      </c>
      <c r="D611" t="s">
        <v>575</v>
      </c>
      <c r="E611" s="2">
        <v>0.87142225569819198</v>
      </c>
      <c r="F611" s="2">
        <v>0.95451270631385898</v>
      </c>
      <c r="G611" s="2">
        <v>0.99959064710505596</v>
      </c>
      <c r="H611" s="2">
        <v>0.99941871888917999</v>
      </c>
      <c r="I611" s="1">
        <v>0.99948421535237097</v>
      </c>
      <c r="J611" s="1">
        <v>0.99928772596279802</v>
      </c>
      <c r="K611" s="1">
        <v>0.99948421535237097</v>
      </c>
      <c r="L611" s="1">
        <v>1</v>
      </c>
    </row>
    <row r="612" spans="1:12" x14ac:dyDescent="0.3">
      <c r="A612" t="s">
        <v>359</v>
      </c>
      <c r="B612" t="s">
        <v>451</v>
      </c>
      <c r="C612" t="s">
        <v>574</v>
      </c>
      <c r="D612" t="s">
        <v>575</v>
      </c>
      <c r="E612" s="2">
        <v>0.795402597402597</v>
      </c>
      <c r="F612" s="2">
        <v>0.94636883116883097</v>
      </c>
      <c r="G612" s="2">
        <v>0.99324675324675304</v>
      </c>
      <c r="H612" s="2">
        <v>0.99684155844155797</v>
      </c>
      <c r="I612" s="1">
        <v>0.99661818181818096</v>
      </c>
      <c r="J612" s="1">
        <v>0.99995324675324604</v>
      </c>
      <c r="K612" s="1">
        <v>0.99732467532467495</v>
      </c>
      <c r="L612" s="1">
        <v>0.99995324675324604</v>
      </c>
    </row>
    <row r="613" spans="1:12" x14ac:dyDescent="0.3">
      <c r="A613" t="s">
        <v>359</v>
      </c>
      <c r="B613" t="s">
        <v>452</v>
      </c>
      <c r="C613" t="s">
        <v>576</v>
      </c>
      <c r="D613" t="s">
        <v>14</v>
      </c>
      <c r="E613" s="2">
        <v>0.723948275862069</v>
      </c>
      <c r="F613" s="2">
        <v>0.93067241379310295</v>
      </c>
      <c r="G613" s="2">
        <v>0.84434482758620599</v>
      </c>
      <c r="H613" s="2">
        <v>0.93067241379310295</v>
      </c>
      <c r="I613" s="1">
        <v>0.84434482758620599</v>
      </c>
      <c r="J613" s="1">
        <v>0.93067241379310295</v>
      </c>
      <c r="K613" s="1">
        <v>0.83572413793103395</v>
      </c>
      <c r="L613" s="1">
        <v>0.91343103448275798</v>
      </c>
    </row>
    <row r="614" spans="1:12" x14ac:dyDescent="0.3">
      <c r="A614" t="s">
        <v>359</v>
      </c>
      <c r="B614" t="s">
        <v>453</v>
      </c>
      <c r="C614" t="s">
        <v>574</v>
      </c>
      <c r="D614" t="s">
        <v>575</v>
      </c>
      <c r="E614" s="2">
        <v>0.78907057211911302</v>
      </c>
      <c r="F614" s="2">
        <v>0.75514059885569496</v>
      </c>
      <c r="G614" s="2">
        <v>0.88944853600214102</v>
      </c>
      <c r="H614" s="2">
        <v>0.87007461803014596</v>
      </c>
      <c r="I614" s="1">
        <v>0.893245530074256</v>
      </c>
      <c r="J614" s="1">
        <v>0.90372381676478297</v>
      </c>
      <c r="K614" s="1">
        <v>0.89387911527256503</v>
      </c>
      <c r="L614" s="1">
        <v>0.90395276331111396</v>
      </c>
    </row>
    <row r="615" spans="1:12" x14ac:dyDescent="0.3">
      <c r="A615" t="s">
        <v>359</v>
      </c>
      <c r="B615" t="s">
        <v>454</v>
      </c>
      <c r="C615" t="s">
        <v>574</v>
      </c>
      <c r="D615" t="s">
        <v>575</v>
      </c>
      <c r="E615" s="2">
        <v>0.62403921568627396</v>
      </c>
      <c r="F615" s="2">
        <v>0.584372549019607</v>
      </c>
      <c r="G615" s="2">
        <v>0.65226470588235297</v>
      </c>
      <c r="H615" s="2">
        <v>0.62801960784313704</v>
      </c>
      <c r="I615" s="1">
        <v>0.65476470588235203</v>
      </c>
      <c r="J615" s="1">
        <v>0.65375490196078401</v>
      </c>
      <c r="K615" s="1">
        <v>0.67853921568627396</v>
      </c>
      <c r="L615" s="1">
        <v>0.67227450980392101</v>
      </c>
    </row>
    <row r="616" spans="1:12" x14ac:dyDescent="0.3">
      <c r="A616" t="s">
        <v>359</v>
      </c>
      <c r="B616" t="s">
        <v>455</v>
      </c>
      <c r="C616" t="s">
        <v>574</v>
      </c>
      <c r="D616" t="s">
        <v>575</v>
      </c>
      <c r="E616" s="2">
        <v>0.88435897498719795</v>
      </c>
      <c r="F616" s="2">
        <v>0.86485393886086204</v>
      </c>
      <c r="G616" s="2">
        <v>0.89715325945544599</v>
      </c>
      <c r="H616" s="2">
        <v>0.90042165767081295</v>
      </c>
      <c r="I616" s="1">
        <v>0.98914127369527405</v>
      </c>
      <c r="J616" s="1">
        <v>0.99324147190623002</v>
      </c>
      <c r="K616" s="1">
        <v>0.99087225071113305</v>
      </c>
      <c r="L616" s="1">
        <v>0.99341175202314802</v>
      </c>
    </row>
    <row r="617" spans="1:12" x14ac:dyDescent="0.3">
      <c r="A617" t="s">
        <v>359</v>
      </c>
      <c r="B617" t="s">
        <v>456</v>
      </c>
      <c r="C617" t="s">
        <v>574</v>
      </c>
      <c r="D617" t="s">
        <v>575</v>
      </c>
      <c r="E617" s="2">
        <v>0.74348419820522804</v>
      </c>
      <c r="F617" s="2">
        <v>0.73581740148263697</v>
      </c>
      <c r="G617" s="2">
        <v>0.89319157237612101</v>
      </c>
      <c r="H617" s="2">
        <v>0.89451814280140396</v>
      </c>
      <c r="I617" s="1">
        <v>0.89832227857978897</v>
      </c>
      <c r="J617" s="1">
        <v>0.89451814280140396</v>
      </c>
      <c r="K617" s="1">
        <v>0.89832227857978897</v>
      </c>
      <c r="L617" s="1">
        <v>0.89451814280140396</v>
      </c>
    </row>
    <row r="618" spans="1:12" x14ac:dyDescent="0.3">
      <c r="A618" t="s">
        <v>359</v>
      </c>
      <c r="B618" t="s">
        <v>457</v>
      </c>
      <c r="C618" t="s">
        <v>574</v>
      </c>
      <c r="D618" t="s">
        <v>575</v>
      </c>
      <c r="E618" s="2">
        <v>0.78986621363346698</v>
      </c>
      <c r="F618" s="2">
        <v>0.72710554257804205</v>
      </c>
      <c r="G618" s="2">
        <v>0.83951582076873998</v>
      </c>
      <c r="H618" s="2">
        <v>0.76794648545338695</v>
      </c>
      <c r="I618" s="1">
        <v>0.84044595455510696</v>
      </c>
      <c r="J618" s="1">
        <v>0.78294754724994697</v>
      </c>
      <c r="K618" s="1">
        <v>0.84044595455510696</v>
      </c>
      <c r="L618" s="1">
        <v>0.78291781694627305</v>
      </c>
    </row>
    <row r="619" spans="1:12" x14ac:dyDescent="0.3">
      <c r="A619" t="s">
        <v>359</v>
      </c>
      <c r="B619" t="s">
        <v>458</v>
      </c>
      <c r="C619" t="s">
        <v>574</v>
      </c>
      <c r="D619" t="s">
        <v>575</v>
      </c>
      <c r="E619" s="2">
        <v>0.67019169551135005</v>
      </c>
      <c r="F619" s="2">
        <v>0.68369698486175401</v>
      </c>
      <c r="G619" s="2">
        <v>0.76111277923738796</v>
      </c>
      <c r="H619" s="2">
        <v>0.736765642159111</v>
      </c>
      <c r="I619" s="1">
        <v>0.86062763251178098</v>
      </c>
      <c r="J619" s="1">
        <v>0.77892558766698605</v>
      </c>
      <c r="K619" s="1">
        <v>0.91984875655087095</v>
      </c>
      <c r="L619" s="1">
        <v>0.86037463335974496</v>
      </c>
    </row>
    <row r="620" spans="1:12" x14ac:dyDescent="0.3">
      <c r="A620" t="s">
        <v>359</v>
      </c>
      <c r="B620" t="s">
        <v>459</v>
      </c>
      <c r="C620" t="s">
        <v>576</v>
      </c>
      <c r="D620" t="s">
        <v>577</v>
      </c>
      <c r="E620" s="2">
        <v>0.964768883878241</v>
      </c>
      <c r="F620" s="2">
        <v>0.98648816234498204</v>
      </c>
      <c r="G620" s="2">
        <v>0.99887260428410296</v>
      </c>
      <c r="H620" s="2">
        <v>0.99915445321307705</v>
      </c>
      <c r="I620" s="1">
        <v>1</v>
      </c>
      <c r="J620" s="1">
        <v>0.99915445321307705</v>
      </c>
      <c r="K620" s="1">
        <v>1</v>
      </c>
      <c r="L620" s="1">
        <v>1</v>
      </c>
    </row>
    <row r="621" spans="1:12" x14ac:dyDescent="0.3">
      <c r="A621" t="s">
        <v>359</v>
      </c>
      <c r="B621" t="s">
        <v>763</v>
      </c>
      <c r="C621" t="s">
        <v>574</v>
      </c>
      <c r="D621" t="s">
        <v>575</v>
      </c>
      <c r="E621" s="2">
        <v>0.59240900532717</v>
      </c>
      <c r="F621" s="2">
        <v>0.57287641916591503</v>
      </c>
      <c r="G621" s="2">
        <v>0.633061397794771</v>
      </c>
      <c r="H621" s="2">
        <v>0.65921874116971602</v>
      </c>
      <c r="I621" s="1">
        <v>0.66953585801350901</v>
      </c>
      <c r="J621" s="1">
        <v>0.72045294332854404</v>
      </c>
      <c r="K621" s="1">
        <v>0.70504586541979297</v>
      </c>
      <c r="L621" s="1">
        <v>0.752116665328181</v>
      </c>
    </row>
    <row r="622" spans="1:12" x14ac:dyDescent="0.3">
      <c r="A622" t="s">
        <v>359</v>
      </c>
      <c r="B622" t="s">
        <v>460</v>
      </c>
      <c r="C622" t="s">
        <v>574</v>
      </c>
      <c r="D622" t="s">
        <v>575</v>
      </c>
      <c r="E622" s="2">
        <v>0.71388291884146904</v>
      </c>
      <c r="F622" s="2">
        <v>0.61935318800532102</v>
      </c>
      <c r="G622" s="2">
        <v>0.77785282980247605</v>
      </c>
      <c r="H622" s="2">
        <v>0.63305188824071201</v>
      </c>
      <c r="I622" s="1">
        <v>0.846182581107358</v>
      </c>
      <c r="J622" s="1">
        <v>0.66424112168662297</v>
      </c>
      <c r="K622" s="1">
        <v>0.84626445604339295</v>
      </c>
      <c r="L622" s="1">
        <v>0.664655613550302</v>
      </c>
    </row>
    <row r="623" spans="1:12" x14ac:dyDescent="0.3">
      <c r="A623" t="s">
        <v>359</v>
      </c>
      <c r="B623" t="s">
        <v>461</v>
      </c>
      <c r="C623" t="s">
        <v>576</v>
      </c>
      <c r="D623" t="s">
        <v>577</v>
      </c>
      <c r="E623" s="2">
        <v>0.87801061018466797</v>
      </c>
      <c r="F623" s="2">
        <v>0.92041371003846995</v>
      </c>
      <c r="G623" s="2">
        <v>0.94246411435861399</v>
      </c>
      <c r="H623" s="2">
        <v>0.980606103827669</v>
      </c>
      <c r="I623" s="1">
        <v>0.98062789472224499</v>
      </c>
      <c r="J623" s="1">
        <v>0.98067940047306001</v>
      </c>
      <c r="K623" s="1">
        <v>0.98066949552098004</v>
      </c>
      <c r="L623" s="1">
        <v>0.98068534344430802</v>
      </c>
    </row>
    <row r="624" spans="1:12" x14ac:dyDescent="0.3">
      <c r="A624" t="s">
        <v>359</v>
      </c>
      <c r="B624" t="s">
        <v>462</v>
      </c>
      <c r="C624" t="s">
        <v>576</v>
      </c>
      <c r="D624" t="s">
        <v>577</v>
      </c>
      <c r="E624" s="2">
        <v>0.87206144409033204</v>
      </c>
      <c r="F624" s="2">
        <v>0.928339501730578</v>
      </c>
      <c r="G624" s="2">
        <v>0.96924796956923998</v>
      </c>
      <c r="H624" s="2">
        <v>0.999434563585894</v>
      </c>
      <c r="I624" s="1">
        <v>0.97226363044446695</v>
      </c>
      <c r="J624" s="1">
        <v>0.999901476988451</v>
      </c>
      <c r="K624" s="1">
        <v>0.98182036256468197</v>
      </c>
      <c r="L624" s="1">
        <v>1</v>
      </c>
    </row>
    <row r="625" spans="1:12" x14ac:dyDescent="0.3">
      <c r="A625" t="s">
        <v>359</v>
      </c>
      <c r="B625" t="s">
        <v>463</v>
      </c>
      <c r="C625" t="s">
        <v>576</v>
      </c>
      <c r="D625" t="s">
        <v>14</v>
      </c>
      <c r="E625" s="2">
        <v>0.981235873598021</v>
      </c>
      <c r="F625" s="2">
        <v>0.501066143545567</v>
      </c>
      <c r="G625" s="2">
        <v>1</v>
      </c>
      <c r="H625" s="2">
        <v>0.501066143545567</v>
      </c>
      <c r="I625" s="1">
        <v>1</v>
      </c>
      <c r="J625" s="1">
        <v>0.501066143545567</v>
      </c>
      <c r="K625" s="1">
        <v>1</v>
      </c>
      <c r="L625" s="1">
        <v>0.501066143545567</v>
      </c>
    </row>
    <row r="626" spans="1:12" x14ac:dyDescent="0.3">
      <c r="A626" t="s">
        <v>359</v>
      </c>
      <c r="B626" t="s">
        <v>464</v>
      </c>
      <c r="C626" t="s">
        <v>574</v>
      </c>
      <c r="D626" t="s">
        <v>575</v>
      </c>
      <c r="E626" s="2">
        <v>0</v>
      </c>
      <c r="F626" s="2">
        <v>0</v>
      </c>
      <c r="G626" s="2">
        <v>0</v>
      </c>
      <c r="H626" s="2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3">
      <c r="A627" t="s">
        <v>359</v>
      </c>
      <c r="B627" t="s">
        <v>465</v>
      </c>
      <c r="C627" t="s">
        <v>574</v>
      </c>
      <c r="D627" t="s">
        <v>575</v>
      </c>
      <c r="E627" s="2">
        <v>0.77581627490121396</v>
      </c>
      <c r="F627" s="2">
        <v>0.78554702680080901</v>
      </c>
      <c r="G627" s="2">
        <v>0.82899828280848797</v>
      </c>
      <c r="H627" s="2">
        <v>0.83053334794772904</v>
      </c>
      <c r="I627" s="1">
        <v>0.82952085817503796</v>
      </c>
      <c r="J627" s="1">
        <v>0.83058981265894505</v>
      </c>
      <c r="K627" s="1">
        <v>0.831777785896886</v>
      </c>
      <c r="L627" s="1">
        <v>0.83060420562454895</v>
      </c>
    </row>
    <row r="628" spans="1:12" x14ac:dyDescent="0.3">
      <c r="A628" t="s">
        <v>359</v>
      </c>
      <c r="B628" t="s">
        <v>466</v>
      </c>
      <c r="C628" t="s">
        <v>574</v>
      </c>
      <c r="D628" t="s">
        <v>575</v>
      </c>
      <c r="E628" s="2">
        <v>0.83011347198559904</v>
      </c>
      <c r="F628" s="2">
        <v>0.81002282297727302</v>
      </c>
      <c r="G628" s="2">
        <v>0.84324472017744001</v>
      </c>
      <c r="H628" s="2">
        <v>0.84581632325050604</v>
      </c>
      <c r="I628" s="1">
        <v>0.84711819730624505</v>
      </c>
      <c r="J628" s="1">
        <v>0.84607348355781198</v>
      </c>
      <c r="K628" s="1">
        <v>0.84625028126908597</v>
      </c>
      <c r="L628" s="1">
        <v>0.84795396830499203</v>
      </c>
    </row>
    <row r="629" spans="1:12" x14ac:dyDescent="0.3">
      <c r="A629" t="s">
        <v>359</v>
      </c>
      <c r="B629" t="s">
        <v>467</v>
      </c>
      <c r="C629" t="s">
        <v>574</v>
      </c>
      <c r="D629" t="s">
        <v>575</v>
      </c>
      <c r="E629" s="2">
        <v>0.80052724891298899</v>
      </c>
      <c r="F629" s="2">
        <v>0.82635707312012396</v>
      </c>
      <c r="G629" s="2">
        <v>0.89236554319050398</v>
      </c>
      <c r="H629" s="2">
        <v>0.91102211444228498</v>
      </c>
      <c r="I629" s="1">
        <v>0.93298186493461199</v>
      </c>
      <c r="J629" s="1">
        <v>0.92987320830778297</v>
      </c>
      <c r="K629" s="1">
        <v>0.932693323057599</v>
      </c>
      <c r="L629" s="1">
        <v>0.92927806173962402</v>
      </c>
    </row>
    <row r="630" spans="1:12" x14ac:dyDescent="0.3">
      <c r="A630" t="s">
        <v>359</v>
      </c>
      <c r="B630" t="s">
        <v>468</v>
      </c>
      <c r="C630" t="s">
        <v>576</v>
      </c>
      <c r="D630" t="s">
        <v>577</v>
      </c>
      <c r="E630" s="2">
        <v>0.76605225423502699</v>
      </c>
      <c r="F630" s="2">
        <v>0.917260654261704</v>
      </c>
      <c r="G630" s="2">
        <v>0.82085750967053395</v>
      </c>
      <c r="H630" s="2">
        <v>0.92657062825129999</v>
      </c>
      <c r="I630" s="1">
        <v>0.91249833266639901</v>
      </c>
      <c r="J630" s="1">
        <v>0.92809415432839804</v>
      </c>
      <c r="K630" s="1">
        <v>0.91457207883153202</v>
      </c>
      <c r="L630" s="1">
        <v>0.92657062825129999</v>
      </c>
    </row>
    <row r="631" spans="1:12" x14ac:dyDescent="0.3">
      <c r="A631" t="s">
        <v>359</v>
      </c>
      <c r="B631" t="s">
        <v>469</v>
      </c>
      <c r="C631" t="s">
        <v>574</v>
      </c>
      <c r="D631" t="s">
        <v>575</v>
      </c>
      <c r="E631" s="2">
        <v>0.74906534325889096</v>
      </c>
      <c r="F631" s="2">
        <v>0.76095671353735805</v>
      </c>
      <c r="G631" s="2">
        <v>0.85161014612627495</v>
      </c>
      <c r="H631" s="2">
        <v>0.84505100634132801</v>
      </c>
      <c r="I631" s="1">
        <v>0.85033636614281705</v>
      </c>
      <c r="J631" s="1">
        <v>0.84762338020402495</v>
      </c>
      <c r="K631" s="1">
        <v>0.85092638544251398</v>
      </c>
      <c r="L631" s="1">
        <v>0.84764267990074404</v>
      </c>
    </row>
    <row r="632" spans="1:12" x14ac:dyDescent="0.3">
      <c r="A632" t="s">
        <v>359</v>
      </c>
      <c r="B632" t="s">
        <v>470</v>
      </c>
      <c r="C632" t="s">
        <v>574</v>
      </c>
      <c r="D632" t="s">
        <v>575</v>
      </c>
      <c r="E632" s="2">
        <v>0.803039409506767</v>
      </c>
      <c r="F632" s="2">
        <v>0.73567635429593903</v>
      </c>
      <c r="G632" s="2">
        <v>0.85908467776847797</v>
      </c>
      <c r="H632" s="2">
        <v>0.86250901901930699</v>
      </c>
      <c r="I632" s="1">
        <v>0.89011840168547396</v>
      </c>
      <c r="J632" s="1">
        <v>0.87753614822938597</v>
      </c>
      <c r="K632" s="1">
        <v>0.88994595803630705</v>
      </c>
      <c r="L632" s="1">
        <v>0.88820276198447201</v>
      </c>
    </row>
    <row r="633" spans="1:12" x14ac:dyDescent="0.3">
      <c r="A633" t="s">
        <v>359</v>
      </c>
      <c r="B633" t="s">
        <v>471</v>
      </c>
      <c r="C633" t="s">
        <v>576</v>
      </c>
      <c r="D633" t="s">
        <v>577</v>
      </c>
      <c r="E633" s="2">
        <v>0.76733224798102395</v>
      </c>
      <c r="F633" s="2">
        <v>0.95442450123665901</v>
      </c>
      <c r="G633" s="2">
        <v>0.88217165134155895</v>
      </c>
      <c r="H633" s="2">
        <v>0.98236978730813995</v>
      </c>
      <c r="I633" s="1">
        <v>0.97710616672837203</v>
      </c>
      <c r="J633" s="1">
        <v>0.99810147875025501</v>
      </c>
      <c r="K633" s="1">
        <v>0.98286428193463105</v>
      </c>
      <c r="L633" s="1">
        <v>0.99832294471972705</v>
      </c>
    </row>
    <row r="634" spans="1:12" x14ac:dyDescent="0.3">
      <c r="A634" t="s">
        <v>359</v>
      </c>
      <c r="B634" t="s">
        <v>472</v>
      </c>
      <c r="C634" t="s">
        <v>574</v>
      </c>
      <c r="D634" t="s">
        <v>575</v>
      </c>
      <c r="E634" s="2">
        <v>0.85228032223996497</v>
      </c>
      <c r="F634" s="2">
        <v>0.90457799115319604</v>
      </c>
      <c r="G634" s="2">
        <v>0.91816961985275702</v>
      </c>
      <c r="H634" s="2">
        <v>0.97058973587138897</v>
      </c>
      <c r="I634" s="1">
        <v>0.92197823502701404</v>
      </c>
      <c r="J634" s="1">
        <v>0.96337300959679195</v>
      </c>
      <c r="K634" s="1">
        <v>0.92138130538818297</v>
      </c>
      <c r="L634" s="1">
        <v>0.965230124028713</v>
      </c>
    </row>
    <row r="635" spans="1:12" x14ac:dyDescent="0.3">
      <c r="A635" t="s">
        <v>359</v>
      </c>
      <c r="B635" t="s">
        <v>473</v>
      </c>
      <c r="C635" t="s">
        <v>574</v>
      </c>
      <c r="D635" t="s">
        <v>575</v>
      </c>
      <c r="E635" s="2">
        <v>0.70406234917441002</v>
      </c>
      <c r="F635" s="2">
        <v>0.72139327156423505</v>
      </c>
      <c r="G635" s="2">
        <v>0.77852402219699401</v>
      </c>
      <c r="H635" s="2">
        <v>0.78596418479972596</v>
      </c>
      <c r="I635" s="1">
        <v>0.82066228436897404</v>
      </c>
      <c r="J635" s="1">
        <v>0.81819242682763704</v>
      </c>
      <c r="K635" s="1">
        <v>0.82374054259824403</v>
      </c>
      <c r="L635" s="1">
        <v>0.81901495736663299</v>
      </c>
    </row>
    <row r="636" spans="1:12" x14ac:dyDescent="0.3">
      <c r="A636" t="s">
        <v>359</v>
      </c>
      <c r="B636" t="s">
        <v>474</v>
      </c>
      <c r="C636" t="s">
        <v>576</v>
      </c>
      <c r="D636" t="s">
        <v>14</v>
      </c>
      <c r="E636" s="2">
        <v>0</v>
      </c>
      <c r="F636" s="2">
        <v>0</v>
      </c>
      <c r="G636" s="2">
        <v>0</v>
      </c>
      <c r="H636" s="2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 x14ac:dyDescent="0.3">
      <c r="A637" t="s">
        <v>359</v>
      </c>
      <c r="B637" t="s">
        <v>475</v>
      </c>
      <c r="C637" t="s">
        <v>574</v>
      </c>
      <c r="D637" t="s">
        <v>575</v>
      </c>
      <c r="E637" s="2">
        <v>0.87374990395792496</v>
      </c>
      <c r="F637" s="2">
        <v>0.87824095531502999</v>
      </c>
      <c r="G637" s="2">
        <v>0.89108580832728101</v>
      </c>
      <c r="H637" s="2">
        <v>0.89591393638668604</v>
      </c>
      <c r="I637" s="1">
        <v>0.89743202079961504</v>
      </c>
      <c r="J637" s="1">
        <v>0.89942597820402503</v>
      </c>
      <c r="K637" s="1">
        <v>0.89761419092916594</v>
      </c>
      <c r="L637" s="1">
        <v>0.89879272013463196</v>
      </c>
    </row>
    <row r="638" spans="1:12" x14ac:dyDescent="0.3">
      <c r="A638" t="s">
        <v>359</v>
      </c>
      <c r="B638" t="s">
        <v>764</v>
      </c>
      <c r="C638" t="s">
        <v>574</v>
      </c>
      <c r="D638" t="s">
        <v>575</v>
      </c>
      <c r="E638" s="2">
        <v>0</v>
      </c>
      <c r="F638" s="2">
        <v>0</v>
      </c>
      <c r="G638" s="2">
        <v>0</v>
      </c>
      <c r="H638" s="2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 x14ac:dyDescent="0.3">
      <c r="A639" t="s">
        <v>359</v>
      </c>
      <c r="B639" t="s">
        <v>765</v>
      </c>
      <c r="C639" t="s">
        <v>574</v>
      </c>
      <c r="D639" t="s">
        <v>575</v>
      </c>
      <c r="E639" s="2">
        <v>0.43976211227616102</v>
      </c>
      <c r="F639" s="2">
        <v>0.44736286299399503</v>
      </c>
      <c r="G639" s="2">
        <v>0.48475171237454601</v>
      </c>
      <c r="H639" s="2">
        <v>0.45336753626597998</v>
      </c>
      <c r="I639" s="1">
        <v>0.48517278808262099</v>
      </c>
      <c r="J639" s="1">
        <v>0.45474706049053298</v>
      </c>
      <c r="K639" s="1">
        <v>0.48536394308660502</v>
      </c>
      <c r="L639" s="1">
        <v>0.45515610546409202</v>
      </c>
    </row>
    <row r="640" spans="1:12" x14ac:dyDescent="0.3">
      <c r="A640" t="s">
        <v>359</v>
      </c>
      <c r="B640" t="s">
        <v>476</v>
      </c>
      <c r="C640" t="s">
        <v>576</v>
      </c>
      <c r="D640" t="s">
        <v>577</v>
      </c>
      <c r="E640" s="2">
        <v>0.65970821325648399</v>
      </c>
      <c r="F640" s="2">
        <v>0.79429034582132496</v>
      </c>
      <c r="G640" s="2">
        <v>0.80593780019212202</v>
      </c>
      <c r="H640" s="2">
        <v>0.96141330451488904</v>
      </c>
      <c r="I640" s="1">
        <v>0.89245917387127705</v>
      </c>
      <c r="J640" s="1">
        <v>0.99313160422670499</v>
      </c>
      <c r="K640" s="1">
        <v>0.93505643611911604</v>
      </c>
      <c r="L640" s="1">
        <v>0.99890129682997097</v>
      </c>
    </row>
    <row r="641" spans="1:12" x14ac:dyDescent="0.3">
      <c r="A641" t="s">
        <v>359</v>
      </c>
      <c r="B641" t="s">
        <v>477</v>
      </c>
      <c r="C641" t="s">
        <v>574</v>
      </c>
      <c r="D641" t="s">
        <v>575</v>
      </c>
      <c r="E641" s="2">
        <v>0.87890119078595297</v>
      </c>
      <c r="F641" s="2">
        <v>0.89252228520975396</v>
      </c>
      <c r="G641" s="2">
        <v>0.905082109559324</v>
      </c>
      <c r="H641" s="2">
        <v>0.91418768985186005</v>
      </c>
      <c r="I641" s="1">
        <v>0.92169697961952102</v>
      </c>
      <c r="J641" s="1">
        <v>0.92164727826618198</v>
      </c>
      <c r="K641" s="1">
        <v>0.92169113240148104</v>
      </c>
      <c r="L641" s="1">
        <v>0.921612194957943</v>
      </c>
    </row>
    <row r="642" spans="1:12" x14ac:dyDescent="0.3">
      <c r="A642" t="s">
        <v>359</v>
      </c>
      <c r="B642" t="s">
        <v>478</v>
      </c>
      <c r="C642" t="s">
        <v>576</v>
      </c>
      <c r="D642" t="s">
        <v>577</v>
      </c>
      <c r="E642" s="2">
        <v>0.84433764239088704</v>
      </c>
      <c r="F642" s="2">
        <v>0.90035837706386701</v>
      </c>
      <c r="G642" s="2">
        <v>0.97492512479201299</v>
      </c>
      <c r="H642" s="2">
        <v>1</v>
      </c>
      <c r="I642" s="1">
        <v>0.99714066299756798</v>
      </c>
      <c r="J642" s="1">
        <v>1</v>
      </c>
      <c r="K642" s="1">
        <v>0.99993600409573702</v>
      </c>
      <c r="L642" s="1">
        <v>1</v>
      </c>
    </row>
    <row r="643" spans="1:12" x14ac:dyDescent="0.3">
      <c r="A643" t="s">
        <v>359</v>
      </c>
      <c r="B643" t="s">
        <v>479</v>
      </c>
      <c r="C643" t="s">
        <v>574</v>
      </c>
      <c r="D643" t="s">
        <v>575</v>
      </c>
      <c r="E643" s="2">
        <v>0.84142774982589796</v>
      </c>
      <c r="F643" s="2">
        <v>0.84759563846352404</v>
      </c>
      <c r="G643" s="2">
        <v>0.96709383485003797</v>
      </c>
      <c r="H643" s="2">
        <v>0.93603040712368601</v>
      </c>
      <c r="I643" s="1">
        <v>0.99715764599097001</v>
      </c>
      <c r="J643" s="1">
        <v>0.96141206112723798</v>
      </c>
      <c r="K643" s="1">
        <v>0.99733663800186201</v>
      </c>
      <c r="L643" s="1">
        <v>0.991054311849075</v>
      </c>
    </row>
    <row r="644" spans="1:12" x14ac:dyDescent="0.3">
      <c r="A644" t="s">
        <v>359</v>
      </c>
      <c r="B644" t="s">
        <v>766</v>
      </c>
      <c r="C644" t="s">
        <v>576</v>
      </c>
      <c r="D644" t="s">
        <v>14</v>
      </c>
      <c r="E644" s="2">
        <v>0.84739196108048698</v>
      </c>
      <c r="F644" s="2">
        <v>0.88768464209349296</v>
      </c>
      <c r="G644" s="2">
        <v>0.99739098024599304</v>
      </c>
      <c r="H644" s="2">
        <v>0.99723404672695504</v>
      </c>
      <c r="I644" s="1">
        <v>0.99764599721443004</v>
      </c>
      <c r="J644" s="1">
        <v>0.99723404672695504</v>
      </c>
      <c r="K644" s="1">
        <v>0.997783314043588</v>
      </c>
      <c r="L644" s="1">
        <v>0.99756753045491098</v>
      </c>
    </row>
    <row r="645" spans="1:12" x14ac:dyDescent="0.3">
      <c r="A645" t="s">
        <v>359</v>
      </c>
      <c r="B645" t="s">
        <v>480</v>
      </c>
      <c r="C645" t="s">
        <v>574</v>
      </c>
      <c r="D645" t="s">
        <v>575</v>
      </c>
      <c r="E645" s="2">
        <v>0.92410894978690905</v>
      </c>
      <c r="F645" s="2">
        <v>0.74716078188614499</v>
      </c>
      <c r="G645" s="2">
        <v>0.97826242232327798</v>
      </c>
      <c r="H645" s="2">
        <v>0.83411109259303295</v>
      </c>
      <c r="I645" s="1">
        <v>0.97826242232327798</v>
      </c>
      <c r="J645" s="1">
        <v>0.85314635365824598</v>
      </c>
      <c r="K645" s="1">
        <v>0.98350039284778901</v>
      </c>
      <c r="L645" s="1">
        <v>0.97298873836337196</v>
      </c>
    </row>
    <row r="646" spans="1:12" x14ac:dyDescent="0.3">
      <c r="A646" t="s">
        <v>359</v>
      </c>
      <c r="B646" t="s">
        <v>481</v>
      </c>
      <c r="C646" t="s">
        <v>576</v>
      </c>
      <c r="D646" t="s">
        <v>14</v>
      </c>
      <c r="E646" s="2">
        <v>0</v>
      </c>
      <c r="F646" s="2">
        <v>0</v>
      </c>
      <c r="G646" s="2">
        <v>0</v>
      </c>
      <c r="H646" s="2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 x14ac:dyDescent="0.3">
      <c r="A647" t="s">
        <v>359</v>
      </c>
      <c r="B647" t="s">
        <v>482</v>
      </c>
      <c r="C647" t="s">
        <v>34</v>
      </c>
      <c r="D647" t="s">
        <v>35</v>
      </c>
      <c r="E647" s="2">
        <v>0.73014407247079205</v>
      </c>
      <c r="F647" s="2">
        <v>0.75785963798031097</v>
      </c>
      <c r="G647" s="2">
        <v>0.87393240962043095</v>
      </c>
      <c r="H647" s="2">
        <v>0.85710166970299595</v>
      </c>
      <c r="I647" s="1">
        <v>0.92001777228081305</v>
      </c>
      <c r="J647" s="1">
        <v>0.91431281442730294</v>
      </c>
      <c r="K647" s="1">
        <v>0.99801663574624</v>
      </c>
      <c r="L647" s="1">
        <v>0.99892474915456297</v>
      </c>
    </row>
    <row r="648" spans="1:12" x14ac:dyDescent="0.3">
      <c r="A648" t="s">
        <v>359</v>
      </c>
      <c r="B648" t="s">
        <v>483</v>
      </c>
      <c r="C648" t="s">
        <v>574</v>
      </c>
      <c r="D648" t="s">
        <v>575</v>
      </c>
      <c r="E648" s="2">
        <v>0.829059829059829</v>
      </c>
      <c r="F648" s="2">
        <v>0.829059829059829</v>
      </c>
      <c r="G648" s="2">
        <v>0.829059829059829</v>
      </c>
      <c r="H648" s="2">
        <v>0.829059829059829</v>
      </c>
      <c r="I648" s="1">
        <v>0.829059829059829</v>
      </c>
      <c r="J648" s="1">
        <v>0.829059829059829</v>
      </c>
      <c r="K648" s="1">
        <v>0.829059829059829</v>
      </c>
      <c r="L648" s="1">
        <v>0.829059829059829</v>
      </c>
    </row>
    <row r="649" spans="1:12" x14ac:dyDescent="0.3">
      <c r="A649" t="s">
        <v>359</v>
      </c>
      <c r="B649" t="s">
        <v>484</v>
      </c>
      <c r="C649" t="s">
        <v>34</v>
      </c>
      <c r="D649" t="s">
        <v>35</v>
      </c>
      <c r="E649" s="2">
        <v>0.63727753654210695</v>
      </c>
      <c r="F649" s="2">
        <v>0.67346033881719702</v>
      </c>
      <c r="G649" s="2">
        <v>0.74490092349091797</v>
      </c>
      <c r="H649" s="2">
        <v>0.76810286832609598</v>
      </c>
      <c r="I649" s="1">
        <v>0.91239832426151302</v>
      </c>
      <c r="J649" s="1">
        <v>0.91787199559659904</v>
      </c>
      <c r="K649" s="1">
        <v>0.99640694758730297</v>
      </c>
      <c r="L649" s="1">
        <v>0.99339489939453196</v>
      </c>
    </row>
    <row r="650" spans="1:12" x14ac:dyDescent="0.3">
      <c r="A650" t="s">
        <v>359</v>
      </c>
      <c r="B650" t="s">
        <v>485</v>
      </c>
      <c r="C650" t="s">
        <v>574</v>
      </c>
      <c r="D650" t="s">
        <v>575</v>
      </c>
      <c r="E650" s="2">
        <v>0.97509868989595205</v>
      </c>
      <c r="F650" s="2">
        <v>0.97509868989595205</v>
      </c>
      <c r="G650" s="2">
        <v>0.97509868989595205</v>
      </c>
      <c r="H650" s="2">
        <v>0.97509868989595205</v>
      </c>
      <c r="I650" s="1">
        <v>0.97475301600470099</v>
      </c>
      <c r="J650" s="1">
        <v>0.97509868989595205</v>
      </c>
      <c r="K650" s="1">
        <v>0.97473607798402995</v>
      </c>
      <c r="L650" s="1">
        <v>0.97509868989595205</v>
      </c>
    </row>
    <row r="651" spans="1:12" x14ac:dyDescent="0.3">
      <c r="A651" t="s">
        <v>359</v>
      </c>
      <c r="B651" t="s">
        <v>486</v>
      </c>
      <c r="C651" t="s">
        <v>34</v>
      </c>
      <c r="D651" t="s">
        <v>35</v>
      </c>
      <c r="E651" s="2">
        <v>0.62384953981592595</v>
      </c>
      <c r="F651" s="2">
        <v>0.74642407298489799</v>
      </c>
      <c r="G651" s="2">
        <v>0.73551366855467004</v>
      </c>
      <c r="H651" s="2">
        <v>0.83268072329602905</v>
      </c>
      <c r="I651" s="1">
        <v>0.91322703578075504</v>
      </c>
      <c r="J651" s="1">
        <v>0.89994319875601203</v>
      </c>
      <c r="K651" s="1">
        <v>0.98946625630117802</v>
      </c>
      <c r="L651" s="1">
        <v>0.98302676775408104</v>
      </c>
    </row>
    <row r="652" spans="1:12" x14ac:dyDescent="0.3">
      <c r="A652" t="s">
        <v>359</v>
      </c>
      <c r="B652" t="s">
        <v>487</v>
      </c>
      <c r="C652" t="s">
        <v>574</v>
      </c>
      <c r="D652" t="s">
        <v>575</v>
      </c>
      <c r="E652" s="2">
        <v>0.98067632850241504</v>
      </c>
      <c r="F652" s="2">
        <v>0.98067632850241504</v>
      </c>
      <c r="G652" s="2">
        <v>0.98188405797101397</v>
      </c>
      <c r="H652" s="2">
        <v>0.98429951690821205</v>
      </c>
      <c r="I652" s="1">
        <v>0.98067632850241504</v>
      </c>
      <c r="J652" s="1">
        <v>0.99033816425120702</v>
      </c>
      <c r="K652" s="1">
        <v>0.98188405797101397</v>
      </c>
      <c r="L652" s="1">
        <v>0.99045652173913001</v>
      </c>
    </row>
    <row r="653" spans="1:12" x14ac:dyDescent="0.3">
      <c r="A653" t="s">
        <v>359</v>
      </c>
      <c r="B653" t="s">
        <v>488</v>
      </c>
      <c r="C653" t="s">
        <v>576</v>
      </c>
      <c r="D653" t="s">
        <v>591</v>
      </c>
      <c r="E653" s="2">
        <v>0.75932633587786202</v>
      </c>
      <c r="F653" s="2">
        <v>0.75741793893129705</v>
      </c>
      <c r="G653" s="2">
        <v>0.75954198473282397</v>
      </c>
      <c r="H653" s="2">
        <v>0.757633587786259</v>
      </c>
      <c r="I653" s="1">
        <v>0.75954198473282397</v>
      </c>
      <c r="J653" s="1">
        <v>0.757633587786259</v>
      </c>
      <c r="K653" s="1">
        <v>0.75954198473282397</v>
      </c>
      <c r="L653" s="1">
        <v>0.757633587786259</v>
      </c>
    </row>
    <row r="654" spans="1:12" x14ac:dyDescent="0.3">
      <c r="A654" t="s">
        <v>359</v>
      </c>
      <c r="B654" t="s">
        <v>489</v>
      </c>
      <c r="C654" t="s">
        <v>34</v>
      </c>
      <c r="D654" t="s">
        <v>35</v>
      </c>
      <c r="E654" s="2">
        <v>0.652472158740523</v>
      </c>
      <c r="F654" s="2">
        <v>0.69104528800904896</v>
      </c>
      <c r="G654" s="2">
        <v>0.73721610489485101</v>
      </c>
      <c r="H654" s="2">
        <v>0.76595369298601401</v>
      </c>
      <c r="I654" s="1">
        <v>0.92525516345300796</v>
      </c>
      <c r="J654" s="1">
        <v>0.88305220009431495</v>
      </c>
      <c r="K654" s="1">
        <v>0.99950203965874795</v>
      </c>
      <c r="L654" s="1">
        <v>0.99047840468016701</v>
      </c>
    </row>
    <row r="655" spans="1:12" x14ac:dyDescent="0.3">
      <c r="A655" t="s">
        <v>359</v>
      </c>
      <c r="B655" t="s">
        <v>490</v>
      </c>
      <c r="C655" t="s">
        <v>574</v>
      </c>
      <c r="D655" t="s">
        <v>575</v>
      </c>
      <c r="E655" s="2">
        <v>0.68495390070921902</v>
      </c>
      <c r="F655" s="2">
        <v>0.68318085106382898</v>
      </c>
      <c r="G655" s="2">
        <v>0.68672695035460896</v>
      </c>
      <c r="H655" s="2">
        <v>0.68672695035460896</v>
      </c>
      <c r="I655" s="1">
        <v>0.68318085106382898</v>
      </c>
      <c r="J655" s="1">
        <v>0.68672695035460896</v>
      </c>
      <c r="K655" s="1">
        <v>0.68672695035460896</v>
      </c>
      <c r="L655" s="1">
        <v>0.68672695035460896</v>
      </c>
    </row>
    <row r="656" spans="1:12" x14ac:dyDescent="0.3">
      <c r="A656" t="s">
        <v>359</v>
      </c>
      <c r="B656" t="s">
        <v>491</v>
      </c>
      <c r="C656" t="s">
        <v>576</v>
      </c>
      <c r="D656" t="s">
        <v>591</v>
      </c>
      <c r="E656" s="2">
        <v>0.99939209282985597</v>
      </c>
      <c r="F656" s="2">
        <v>0.99939209282985597</v>
      </c>
      <c r="G656" s="2">
        <v>0.99939209282985597</v>
      </c>
      <c r="H656" s="2">
        <v>0.99939209282985597</v>
      </c>
      <c r="I656" s="1">
        <v>0.99939209282985597</v>
      </c>
      <c r="J656" s="1">
        <v>0.99939209282985597</v>
      </c>
      <c r="K656" s="1">
        <v>0.99939209282985597</v>
      </c>
      <c r="L656" s="1">
        <v>0.99939209282985597</v>
      </c>
    </row>
    <row r="657" spans="1:12" x14ac:dyDescent="0.3">
      <c r="A657" t="s">
        <v>359</v>
      </c>
      <c r="B657" t="s">
        <v>492</v>
      </c>
      <c r="C657" t="s">
        <v>574</v>
      </c>
      <c r="D657" t="s">
        <v>575</v>
      </c>
      <c r="E657" s="2">
        <v>0.72807608695652104</v>
      </c>
      <c r="F657" s="2">
        <v>0.64118478260869505</v>
      </c>
      <c r="G657" s="2">
        <v>0.72807608695652104</v>
      </c>
      <c r="H657" s="2">
        <v>0.64661956521739095</v>
      </c>
      <c r="I657" s="1">
        <v>0.72807608695652104</v>
      </c>
      <c r="J657" s="1">
        <v>0.65217391304347805</v>
      </c>
      <c r="K657" s="1">
        <v>0.72807608695652104</v>
      </c>
      <c r="L657" s="1">
        <v>0.65217391304347805</v>
      </c>
    </row>
    <row r="658" spans="1:12" x14ac:dyDescent="0.3">
      <c r="A658" t="s">
        <v>359</v>
      </c>
      <c r="B658" t="s">
        <v>493</v>
      </c>
      <c r="C658" t="s">
        <v>34</v>
      </c>
      <c r="D658" t="s">
        <v>35</v>
      </c>
      <c r="E658" s="2">
        <v>0.85135135135135098</v>
      </c>
      <c r="F658" s="2">
        <v>0.83108108108108103</v>
      </c>
      <c r="G658" s="2">
        <v>0.88513513513513498</v>
      </c>
      <c r="H658" s="2">
        <v>0.83108108108108103</v>
      </c>
      <c r="I658" s="1">
        <v>0.96621621621621601</v>
      </c>
      <c r="J658" s="1">
        <v>0.94599999999999895</v>
      </c>
      <c r="K658" s="1">
        <v>1</v>
      </c>
      <c r="L658" s="1">
        <v>0.99667567567567505</v>
      </c>
    </row>
    <row r="659" spans="1:12" x14ac:dyDescent="0.3">
      <c r="A659" t="s">
        <v>359</v>
      </c>
      <c r="B659" t="s">
        <v>494</v>
      </c>
      <c r="C659" t="s">
        <v>34</v>
      </c>
      <c r="D659" t="s">
        <v>35</v>
      </c>
      <c r="E659" s="2">
        <v>0.65806114800573101</v>
      </c>
      <c r="F659" s="2">
        <v>0.74145191629802498</v>
      </c>
      <c r="G659" s="2">
        <v>0.73980962883344803</v>
      </c>
      <c r="H659" s="2">
        <v>0.82986144291838904</v>
      </c>
      <c r="I659" s="1">
        <v>0.90336282741802498</v>
      </c>
      <c r="J659" s="1">
        <v>0.90347812017000095</v>
      </c>
      <c r="K659" s="1">
        <v>0.99478603328380499</v>
      </c>
      <c r="L659" s="1">
        <v>0.99267214490466604</v>
      </c>
    </row>
    <row r="660" spans="1:12" x14ac:dyDescent="0.3">
      <c r="A660" t="s">
        <v>359</v>
      </c>
      <c r="B660" t="s">
        <v>495</v>
      </c>
      <c r="C660" t="s">
        <v>574</v>
      </c>
      <c r="D660" t="s">
        <v>575</v>
      </c>
      <c r="E660" s="2">
        <v>0.67049853157121797</v>
      </c>
      <c r="F660" s="2">
        <v>0.66976431718061602</v>
      </c>
      <c r="G660" s="2">
        <v>0.67159985315712101</v>
      </c>
      <c r="H660" s="2">
        <v>0.67306828193832602</v>
      </c>
      <c r="I660" s="1">
        <v>0.66939720998531504</v>
      </c>
      <c r="J660" s="1">
        <v>0.67563803230543296</v>
      </c>
      <c r="K660" s="1">
        <v>0.67233406754772396</v>
      </c>
      <c r="L660" s="1">
        <v>0.67710646108663697</v>
      </c>
    </row>
    <row r="661" spans="1:12" x14ac:dyDescent="0.3">
      <c r="A661" t="s">
        <v>359</v>
      </c>
      <c r="B661" t="s">
        <v>496</v>
      </c>
      <c r="C661" t="s">
        <v>576</v>
      </c>
      <c r="D661" t="s">
        <v>591</v>
      </c>
      <c r="E661" s="2">
        <v>0.82290165876777199</v>
      </c>
      <c r="F661" s="2">
        <v>0.971170616113744</v>
      </c>
      <c r="G661" s="2">
        <v>0.94865876777251101</v>
      </c>
      <c r="H661" s="2">
        <v>0.96880094786729798</v>
      </c>
      <c r="I661" s="1">
        <v>0.94865876777251101</v>
      </c>
      <c r="J661" s="1">
        <v>0.96761611374407497</v>
      </c>
      <c r="K661" s="1">
        <v>0.947473933649289</v>
      </c>
      <c r="L661" s="1">
        <v>0.96287677725118404</v>
      </c>
    </row>
    <row r="662" spans="1:12" x14ac:dyDescent="0.3">
      <c r="A662" t="s">
        <v>359</v>
      </c>
      <c r="B662" t="s">
        <v>497</v>
      </c>
      <c r="C662" t="s">
        <v>574</v>
      </c>
      <c r="D662" t="s">
        <v>575</v>
      </c>
      <c r="E662" s="2">
        <v>0.703595011005135</v>
      </c>
      <c r="F662" s="2">
        <v>0.703595011005135</v>
      </c>
      <c r="G662" s="2">
        <v>0.703595011005135</v>
      </c>
      <c r="H662" s="2">
        <v>0.703595011005135</v>
      </c>
      <c r="I662" s="1">
        <v>0.703595011005135</v>
      </c>
      <c r="J662" s="1">
        <v>0.703595011005135</v>
      </c>
      <c r="K662" s="1">
        <v>0.703595011005135</v>
      </c>
      <c r="L662" s="1">
        <v>0.703595011005135</v>
      </c>
    </row>
    <row r="663" spans="1:12" x14ac:dyDescent="0.3">
      <c r="A663" t="s">
        <v>359</v>
      </c>
      <c r="B663" t="s">
        <v>498</v>
      </c>
      <c r="C663" t="s">
        <v>34</v>
      </c>
      <c r="D663" t="s">
        <v>35</v>
      </c>
      <c r="E663" s="2">
        <v>0.66789690557046399</v>
      </c>
      <c r="F663" s="2">
        <v>0.63899667247718395</v>
      </c>
      <c r="G663" s="2">
        <v>0.74733065645980701</v>
      </c>
      <c r="H663" s="2">
        <v>0.72625970819914598</v>
      </c>
      <c r="I663" s="1">
        <v>0.93244637407041198</v>
      </c>
      <c r="J663" s="1">
        <v>0.90240787025380598</v>
      </c>
      <c r="K663" s="1">
        <v>1</v>
      </c>
      <c r="L663" s="1">
        <v>0.97556073540622801</v>
      </c>
    </row>
    <row r="664" spans="1:12" x14ac:dyDescent="0.3">
      <c r="A664" t="s">
        <v>359</v>
      </c>
      <c r="B664" t="s">
        <v>499</v>
      </c>
      <c r="C664" t="s">
        <v>574</v>
      </c>
      <c r="D664" t="s">
        <v>575</v>
      </c>
      <c r="E664" s="2">
        <v>0.66207673267326705</v>
      </c>
      <c r="F664" s="2">
        <v>0.74462376237623695</v>
      </c>
      <c r="G664" s="2">
        <v>0.72729702970297005</v>
      </c>
      <c r="H664" s="2">
        <v>0.74709900990098999</v>
      </c>
      <c r="I664" s="1">
        <v>0.72234653465346499</v>
      </c>
      <c r="J664" s="1">
        <v>0.74957425742574202</v>
      </c>
      <c r="K664" s="1">
        <v>0.72234653465346499</v>
      </c>
      <c r="L664" s="1">
        <v>0.74709900990098999</v>
      </c>
    </row>
    <row r="665" spans="1:12" x14ac:dyDescent="0.3">
      <c r="A665" t="s">
        <v>359</v>
      </c>
      <c r="B665" t="s">
        <v>500</v>
      </c>
      <c r="C665" t="s">
        <v>576</v>
      </c>
      <c r="D665" t="s">
        <v>591</v>
      </c>
      <c r="E665" s="2">
        <v>0.70714634146341404</v>
      </c>
      <c r="F665" s="2">
        <v>0.768073170731707</v>
      </c>
      <c r="G665" s="2">
        <v>0.78026829268292597</v>
      </c>
      <c r="H665" s="2">
        <v>0.768073170731707</v>
      </c>
      <c r="I665" s="1">
        <v>0.78026829268292597</v>
      </c>
      <c r="J665" s="1">
        <v>0.768073170731707</v>
      </c>
      <c r="K665" s="1">
        <v>0.78026829268292597</v>
      </c>
      <c r="L665" s="1">
        <v>0.768073170731707</v>
      </c>
    </row>
    <row r="666" spans="1:12" x14ac:dyDescent="0.3">
      <c r="A666" t="s">
        <v>359</v>
      </c>
      <c r="B666" t="s">
        <v>501</v>
      </c>
      <c r="C666" t="s">
        <v>574</v>
      </c>
      <c r="D666" t="s">
        <v>575</v>
      </c>
      <c r="E666" s="2">
        <v>0.63254081632653003</v>
      </c>
      <c r="F666" s="2">
        <v>0.94885714285714196</v>
      </c>
      <c r="G666" s="2">
        <v>0.63254081632653003</v>
      </c>
      <c r="H666" s="2">
        <v>0.96428571428571397</v>
      </c>
      <c r="I666" s="1">
        <v>0.63254081632653003</v>
      </c>
      <c r="J666" s="1">
        <v>0.96938775510204001</v>
      </c>
      <c r="K666" s="1">
        <v>0.64274489795918299</v>
      </c>
      <c r="L666" s="1">
        <v>0.96938775510204001</v>
      </c>
    </row>
    <row r="667" spans="1:12" x14ac:dyDescent="0.3">
      <c r="A667" t="s">
        <v>359</v>
      </c>
      <c r="B667" t="s">
        <v>502</v>
      </c>
      <c r="C667" t="s">
        <v>576</v>
      </c>
      <c r="D667" t="s">
        <v>591</v>
      </c>
      <c r="E667" s="2">
        <v>0</v>
      </c>
      <c r="F667" s="2">
        <v>0</v>
      </c>
      <c r="G667" s="2">
        <v>0</v>
      </c>
      <c r="H667" s="2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 x14ac:dyDescent="0.3">
      <c r="A668" t="s">
        <v>359</v>
      </c>
      <c r="B668" t="s">
        <v>503</v>
      </c>
      <c r="C668" t="s">
        <v>574</v>
      </c>
      <c r="D668" t="s">
        <v>575</v>
      </c>
      <c r="E668" s="2">
        <v>0.91019831299353904</v>
      </c>
      <c r="F668" s="2">
        <v>0.91019831299353904</v>
      </c>
      <c r="G668" s="2">
        <v>0.91019831299353904</v>
      </c>
      <c r="H668" s="2">
        <v>0.91019831299353904</v>
      </c>
      <c r="I668" s="1">
        <v>0.91019831299353904</v>
      </c>
      <c r="J668" s="1">
        <v>0.91019831299353904</v>
      </c>
      <c r="K668" s="1">
        <v>0.91019831299353904</v>
      </c>
      <c r="L668" s="1">
        <v>0.91019831299353904</v>
      </c>
    </row>
    <row r="669" spans="1:12" x14ac:dyDescent="0.3">
      <c r="A669" t="s">
        <v>359</v>
      </c>
      <c r="B669" t="s">
        <v>504</v>
      </c>
      <c r="C669" t="s">
        <v>576</v>
      </c>
      <c r="D669" t="s">
        <v>591</v>
      </c>
      <c r="E669" s="2">
        <v>0.96199999999999997</v>
      </c>
      <c r="F669" s="2">
        <v>0.97960000000000003</v>
      </c>
      <c r="G669" s="2">
        <v>0.97960000000000003</v>
      </c>
      <c r="H669" s="2">
        <v>0.97960000000000003</v>
      </c>
      <c r="I669" s="1">
        <v>0.97960000000000003</v>
      </c>
      <c r="J669" s="1">
        <v>0.97960000000000003</v>
      </c>
      <c r="K669" s="1">
        <v>0.97960000000000003</v>
      </c>
      <c r="L669" s="1">
        <v>0.97960000000000003</v>
      </c>
    </row>
    <row r="670" spans="1:12" x14ac:dyDescent="0.3">
      <c r="A670" t="s">
        <v>359</v>
      </c>
      <c r="B670" t="s">
        <v>505</v>
      </c>
      <c r="C670" t="s">
        <v>34</v>
      </c>
      <c r="D670" t="s">
        <v>35</v>
      </c>
      <c r="E670" s="2">
        <v>1</v>
      </c>
      <c r="F670" s="2">
        <v>1</v>
      </c>
      <c r="G670" s="2">
        <v>1</v>
      </c>
      <c r="H670" s="2">
        <v>1</v>
      </c>
      <c r="I670" s="1">
        <v>1</v>
      </c>
      <c r="J670" s="1">
        <v>1</v>
      </c>
      <c r="K670" s="1">
        <v>0.999999999999999</v>
      </c>
      <c r="L670" s="1">
        <v>0.999999999999999</v>
      </c>
    </row>
    <row r="671" spans="1:12" x14ac:dyDescent="0.3">
      <c r="A671" t="s">
        <v>359</v>
      </c>
      <c r="B671" t="s">
        <v>506</v>
      </c>
      <c r="C671" t="s">
        <v>34</v>
      </c>
      <c r="D671" t="s">
        <v>35</v>
      </c>
      <c r="E671" s="2">
        <v>0.64510326342962598</v>
      </c>
      <c r="F671" s="2">
        <v>0.639569235195101</v>
      </c>
      <c r="G671" s="2">
        <v>0.74617449318073703</v>
      </c>
      <c r="H671" s="2">
        <v>0.72629124580418503</v>
      </c>
      <c r="I671" s="1">
        <v>0.91331916519623302</v>
      </c>
      <c r="J671" s="1">
        <v>0.89180755197210104</v>
      </c>
      <c r="K671" s="1">
        <v>0.98844359847989904</v>
      </c>
      <c r="L671" s="1">
        <v>0.972255193367071</v>
      </c>
    </row>
    <row r="672" spans="1:12" x14ac:dyDescent="0.3">
      <c r="A672" t="s">
        <v>359</v>
      </c>
      <c r="B672" t="s">
        <v>507</v>
      </c>
      <c r="C672" t="s">
        <v>574</v>
      </c>
      <c r="D672" t="s">
        <v>575</v>
      </c>
      <c r="E672" s="2">
        <v>0.61718095238095205</v>
      </c>
      <c r="F672" s="2">
        <v>0.69723809523809499</v>
      </c>
      <c r="G672" s="2">
        <v>0.67263492063492003</v>
      </c>
      <c r="H672" s="2">
        <v>0.69842857142857095</v>
      </c>
      <c r="I672" s="1">
        <v>0.67263492063492003</v>
      </c>
      <c r="J672" s="1">
        <v>0.69961904761904703</v>
      </c>
      <c r="K672" s="1">
        <v>0.67184126984126902</v>
      </c>
      <c r="L672" s="1">
        <v>0.698031746031746</v>
      </c>
    </row>
    <row r="673" spans="1:12" x14ac:dyDescent="0.3">
      <c r="A673" t="s">
        <v>359</v>
      </c>
      <c r="B673" t="s">
        <v>508</v>
      </c>
      <c r="C673" t="s">
        <v>576</v>
      </c>
      <c r="D673" t="s">
        <v>591</v>
      </c>
      <c r="E673" s="2">
        <v>0.71896666666666598</v>
      </c>
      <c r="F673" s="2">
        <v>0.80668333333333297</v>
      </c>
      <c r="G673" s="2">
        <v>0.80668333333333297</v>
      </c>
      <c r="H673" s="2">
        <v>0.80668333333333297</v>
      </c>
      <c r="I673" s="1">
        <v>0.80668333333333297</v>
      </c>
      <c r="J673" s="1">
        <v>0.79557222222222201</v>
      </c>
      <c r="K673" s="1">
        <v>0.80112777777777699</v>
      </c>
      <c r="L673" s="1">
        <v>0.79557222222222201</v>
      </c>
    </row>
    <row r="674" spans="1:12" x14ac:dyDescent="0.3">
      <c r="A674" t="s">
        <v>359</v>
      </c>
      <c r="B674" t="s">
        <v>509</v>
      </c>
      <c r="C674" t="s">
        <v>574</v>
      </c>
      <c r="D674" t="s">
        <v>575</v>
      </c>
      <c r="E674" s="2">
        <v>0.91774193548387095</v>
      </c>
      <c r="F674" s="2">
        <v>0.91774193548387095</v>
      </c>
      <c r="G674" s="2">
        <v>0.91774193548387095</v>
      </c>
      <c r="H674" s="2">
        <v>0.91774193548387095</v>
      </c>
      <c r="I674" s="1">
        <v>0.91774193548387095</v>
      </c>
      <c r="J674" s="1">
        <v>0.91774193548387095</v>
      </c>
      <c r="K674" s="1">
        <v>0.91774193548386995</v>
      </c>
      <c r="L674" s="1">
        <v>0.929838709677419</v>
      </c>
    </row>
    <row r="675" spans="1:12" x14ac:dyDescent="0.3">
      <c r="A675" t="s">
        <v>359</v>
      </c>
      <c r="B675" t="s">
        <v>510</v>
      </c>
      <c r="C675" t="s">
        <v>34</v>
      </c>
      <c r="D675" t="s">
        <v>35</v>
      </c>
      <c r="E675" s="2">
        <v>0.64646990997383402</v>
      </c>
      <c r="F675" s="2">
        <v>0.62206380179460996</v>
      </c>
      <c r="G675" s="2">
        <v>0.73239020207843597</v>
      </c>
      <c r="H675" s="2">
        <v>0.73172128845329398</v>
      </c>
      <c r="I675" s="1">
        <v>0.917708841485949</v>
      </c>
      <c r="J675" s="1">
        <v>0.90876535544813497</v>
      </c>
      <c r="K675" s="1">
        <v>0.996049344390734</v>
      </c>
      <c r="L675" s="1">
        <v>0.99696217127145303</v>
      </c>
    </row>
    <row r="676" spans="1:12" x14ac:dyDescent="0.3">
      <c r="A676" t="s">
        <v>359</v>
      </c>
      <c r="B676" t="s">
        <v>511</v>
      </c>
      <c r="C676" t="s">
        <v>574</v>
      </c>
      <c r="D676" t="s">
        <v>575</v>
      </c>
      <c r="E676" s="2">
        <v>0.88855555555555499</v>
      </c>
      <c r="F676" s="2">
        <v>0.74980555555555495</v>
      </c>
      <c r="G676" s="2">
        <v>0.88888888888888795</v>
      </c>
      <c r="H676" s="2">
        <v>0.75</v>
      </c>
      <c r="I676" s="1">
        <v>0.88888888888888795</v>
      </c>
      <c r="J676" s="1">
        <v>0.75</v>
      </c>
      <c r="K676" s="1">
        <v>0.88888888888888795</v>
      </c>
      <c r="L676" s="1">
        <v>0.75</v>
      </c>
    </row>
    <row r="677" spans="1:12" x14ac:dyDescent="0.3">
      <c r="A677" t="s">
        <v>359</v>
      </c>
      <c r="B677" t="s">
        <v>512</v>
      </c>
      <c r="C677" t="s">
        <v>574</v>
      </c>
      <c r="D677" t="s">
        <v>575</v>
      </c>
      <c r="E677" s="2">
        <v>0.84837931034482705</v>
      </c>
      <c r="F677" s="2">
        <v>0.84837931034482705</v>
      </c>
      <c r="G677" s="2">
        <v>0.84837931034482705</v>
      </c>
      <c r="H677" s="2">
        <v>0.84837931034482705</v>
      </c>
      <c r="I677" s="1">
        <v>0.84837931034482705</v>
      </c>
      <c r="J677" s="1">
        <v>0.84837931034482705</v>
      </c>
      <c r="K677" s="1">
        <v>0.84837931034482705</v>
      </c>
      <c r="L677" s="1">
        <v>0.84837931034482705</v>
      </c>
    </row>
    <row r="678" spans="1:12" x14ac:dyDescent="0.3">
      <c r="A678" t="s">
        <v>359</v>
      </c>
      <c r="B678" t="s">
        <v>513</v>
      </c>
      <c r="C678" t="s">
        <v>580</v>
      </c>
      <c r="D678" t="s">
        <v>581</v>
      </c>
      <c r="E678" s="2">
        <v>0.76099999999999901</v>
      </c>
      <c r="F678" s="2">
        <v>0.76120454545454497</v>
      </c>
      <c r="G678" s="2">
        <v>0.76099999999999901</v>
      </c>
      <c r="H678" s="2">
        <v>0.77238636363636304</v>
      </c>
      <c r="I678" s="1">
        <v>0.76099999999999901</v>
      </c>
      <c r="J678" s="1">
        <v>0.78413636363636297</v>
      </c>
      <c r="K678" s="1">
        <v>0.78372727272727205</v>
      </c>
      <c r="L678" s="1">
        <v>0.79531818181818104</v>
      </c>
    </row>
    <row r="679" spans="1:12" x14ac:dyDescent="0.3">
      <c r="A679" t="s">
        <v>359</v>
      </c>
      <c r="B679" t="s">
        <v>514</v>
      </c>
      <c r="C679" t="s">
        <v>34</v>
      </c>
      <c r="D679" t="s">
        <v>35</v>
      </c>
      <c r="E679" s="2">
        <v>0.78153962931485199</v>
      </c>
      <c r="F679" s="2">
        <v>0.742185539066753</v>
      </c>
      <c r="G679" s="2">
        <v>0.82668655820529302</v>
      </c>
      <c r="H679" s="2">
        <v>0.76815187014782005</v>
      </c>
      <c r="I679" s="1">
        <v>0.95326901556398502</v>
      </c>
      <c r="J679" s="1">
        <v>0.81279612720625405</v>
      </c>
      <c r="K679" s="1">
        <v>1</v>
      </c>
      <c r="L679" s="1">
        <v>0.91968488465128195</v>
      </c>
    </row>
    <row r="680" spans="1:12" x14ac:dyDescent="0.3">
      <c r="A680" t="s">
        <v>359</v>
      </c>
      <c r="B680" t="s">
        <v>515</v>
      </c>
      <c r="C680" t="s">
        <v>574</v>
      </c>
      <c r="D680" t="s">
        <v>575</v>
      </c>
      <c r="E680" s="2">
        <v>0.68594105691056895</v>
      </c>
      <c r="F680" s="2">
        <v>0.68390853658536499</v>
      </c>
      <c r="G680" s="2">
        <v>0.68594105691056895</v>
      </c>
      <c r="H680" s="2">
        <v>0.68695731707316998</v>
      </c>
      <c r="I680" s="1">
        <v>0.68289227642276396</v>
      </c>
      <c r="J680" s="1">
        <v>0.68797357723577202</v>
      </c>
      <c r="K680" s="1">
        <v>0.68695731707316998</v>
      </c>
      <c r="L680" s="1">
        <v>0.69010569105691</v>
      </c>
    </row>
    <row r="681" spans="1:12" x14ac:dyDescent="0.3">
      <c r="A681" t="s">
        <v>359</v>
      </c>
      <c r="B681" t="s">
        <v>516</v>
      </c>
      <c r="C681" t="s">
        <v>576</v>
      </c>
      <c r="D681" t="s">
        <v>591</v>
      </c>
      <c r="E681" s="2">
        <v>0.67391304347825998</v>
      </c>
      <c r="F681" s="2">
        <v>0.69554347826086904</v>
      </c>
      <c r="G681" s="2">
        <v>0.69565217391304301</v>
      </c>
      <c r="H681" s="2">
        <v>0.69565217391304301</v>
      </c>
      <c r="I681" s="1">
        <v>0.69565217391304301</v>
      </c>
      <c r="J681" s="1">
        <v>0.69565217391304301</v>
      </c>
      <c r="K681" s="1">
        <v>0.69565217391304301</v>
      </c>
      <c r="L681" s="1">
        <v>0.69565217391304301</v>
      </c>
    </row>
    <row r="682" spans="1:12" x14ac:dyDescent="0.3">
      <c r="A682" t="s">
        <v>359</v>
      </c>
      <c r="B682" t="s">
        <v>517</v>
      </c>
      <c r="C682" t="s">
        <v>574</v>
      </c>
      <c r="D682" t="s">
        <v>575</v>
      </c>
      <c r="E682" s="2">
        <v>0.66649999999999998</v>
      </c>
      <c r="F682" s="2">
        <v>0.66649999999999998</v>
      </c>
      <c r="G682" s="2">
        <v>0.66649999999999998</v>
      </c>
      <c r="H682" s="2">
        <v>0.66649999999999998</v>
      </c>
      <c r="I682" s="1">
        <v>0.66649999999999998</v>
      </c>
      <c r="J682" s="1">
        <v>0.66649999999999998</v>
      </c>
      <c r="K682" s="1">
        <v>0.66649999999999998</v>
      </c>
      <c r="L682" s="1">
        <v>0.66649999999999998</v>
      </c>
    </row>
    <row r="683" spans="1:12" x14ac:dyDescent="0.3">
      <c r="A683" t="s">
        <v>359</v>
      </c>
      <c r="B683" t="s">
        <v>518</v>
      </c>
      <c r="C683" t="s">
        <v>34</v>
      </c>
      <c r="D683" t="s">
        <v>35</v>
      </c>
      <c r="E683" s="2">
        <v>0.63233590023420905</v>
      </c>
      <c r="F683" s="2">
        <v>0.63901730205638096</v>
      </c>
      <c r="G683" s="2">
        <v>0.74854079042562305</v>
      </c>
      <c r="H683" s="2">
        <v>0.74788169366408697</v>
      </c>
      <c r="I683" s="1">
        <v>0.92994567816458396</v>
      </c>
      <c r="J683" s="1">
        <v>0.90911055658422302</v>
      </c>
      <c r="K683" s="1">
        <v>0.99768396463562603</v>
      </c>
      <c r="L683" s="1">
        <v>0.97451594707606204</v>
      </c>
    </row>
    <row r="684" spans="1:12" x14ac:dyDescent="0.3">
      <c r="A684" t="s">
        <v>359</v>
      </c>
      <c r="B684" t="s">
        <v>519</v>
      </c>
      <c r="C684" t="s">
        <v>574</v>
      </c>
      <c r="D684" t="s">
        <v>575</v>
      </c>
      <c r="E684" s="2">
        <v>0.74387195902688796</v>
      </c>
      <c r="F684" s="2">
        <v>0.74387195902688796</v>
      </c>
      <c r="G684" s="2">
        <v>0.74387195902688796</v>
      </c>
      <c r="H684" s="2">
        <v>0.74387195902688796</v>
      </c>
      <c r="I684" s="1">
        <v>0.74387195902688796</v>
      </c>
      <c r="J684" s="1">
        <v>0.74387195902688796</v>
      </c>
      <c r="K684" s="1">
        <v>0.73606402048655495</v>
      </c>
      <c r="L684" s="1">
        <v>0.74387195902688796</v>
      </c>
    </row>
    <row r="685" spans="1:12" x14ac:dyDescent="0.3">
      <c r="A685" t="s">
        <v>359</v>
      </c>
      <c r="B685" t="s">
        <v>520</v>
      </c>
      <c r="C685" t="s">
        <v>34</v>
      </c>
      <c r="D685" t="s">
        <v>35</v>
      </c>
      <c r="E685" s="2">
        <v>0.73076656421159603</v>
      </c>
      <c r="F685" s="2">
        <v>0.63151995562848096</v>
      </c>
      <c r="G685" s="2">
        <v>0.73702941924152399</v>
      </c>
      <c r="H685" s="2">
        <v>0.71068382981673595</v>
      </c>
      <c r="I685" s="1">
        <v>0.90155069214947603</v>
      </c>
      <c r="J685" s="1">
        <v>0.86649257008157798</v>
      </c>
      <c r="K685" s="1">
        <v>0.98849113725127602</v>
      </c>
      <c r="L685" s="1">
        <v>0.97375840632294097</v>
      </c>
    </row>
    <row r="686" spans="1:12" x14ac:dyDescent="0.3">
      <c r="A686" t="s">
        <v>359</v>
      </c>
      <c r="B686" t="s">
        <v>521</v>
      </c>
      <c r="C686" t="s">
        <v>574</v>
      </c>
      <c r="D686" t="s">
        <v>575</v>
      </c>
      <c r="E686" s="2">
        <v>0.82499999999999996</v>
      </c>
      <c r="F686" s="2">
        <v>0.83299999999999996</v>
      </c>
      <c r="G686" s="2">
        <v>0.83333333333333304</v>
      </c>
      <c r="H686" s="2">
        <v>0.83333333333333304</v>
      </c>
      <c r="I686" s="1">
        <v>0.83333333333333304</v>
      </c>
      <c r="J686" s="1">
        <v>0.83333333333333304</v>
      </c>
      <c r="K686" s="1">
        <v>0.83333333333333304</v>
      </c>
      <c r="L686" s="1">
        <v>0.83333333333333304</v>
      </c>
    </row>
    <row r="687" spans="1:12" x14ac:dyDescent="0.3">
      <c r="A687" t="s">
        <v>359</v>
      </c>
      <c r="B687" t="s">
        <v>522</v>
      </c>
      <c r="C687" t="s">
        <v>34</v>
      </c>
      <c r="D687" t="s">
        <v>35</v>
      </c>
      <c r="E687" s="2">
        <v>0.62559304532261595</v>
      </c>
      <c r="F687" s="2">
        <v>0.62513256307211396</v>
      </c>
      <c r="G687" s="2">
        <v>0.74037871176601899</v>
      </c>
      <c r="H687" s="2">
        <v>0.71445914266577304</v>
      </c>
      <c r="I687" s="1">
        <v>0.92180871846394197</v>
      </c>
      <c r="J687" s="1">
        <v>0.88267470417503902</v>
      </c>
      <c r="K687" s="1">
        <v>0.99674871623130101</v>
      </c>
      <c r="L687" s="1">
        <v>0.98985543648135699</v>
      </c>
    </row>
    <row r="688" spans="1:12" x14ac:dyDescent="0.3">
      <c r="A688" t="s">
        <v>359</v>
      </c>
      <c r="B688" t="s">
        <v>523</v>
      </c>
      <c r="C688" t="s">
        <v>34</v>
      </c>
      <c r="D688" t="s">
        <v>35</v>
      </c>
      <c r="E688" s="2">
        <v>0.88500000000000001</v>
      </c>
      <c r="F688" s="2">
        <v>0.88500000000000001</v>
      </c>
      <c r="G688" s="2">
        <v>0.88500000000000001</v>
      </c>
      <c r="H688" s="2">
        <v>0.85</v>
      </c>
      <c r="I688" s="1">
        <v>0.95079999999999898</v>
      </c>
      <c r="J688" s="1">
        <v>1</v>
      </c>
      <c r="K688" s="1">
        <v>1</v>
      </c>
      <c r="L688" s="1">
        <v>1</v>
      </c>
    </row>
    <row r="689" spans="1:12" x14ac:dyDescent="0.3">
      <c r="A689" t="s">
        <v>359</v>
      </c>
      <c r="B689" t="s">
        <v>524</v>
      </c>
      <c r="C689" t="s">
        <v>34</v>
      </c>
      <c r="D689" t="s">
        <v>35</v>
      </c>
      <c r="E689" s="2">
        <v>0.68833194295154598</v>
      </c>
      <c r="F689" s="2">
        <v>0.69155988223419995</v>
      </c>
      <c r="G689" s="2">
        <v>0.74504539321148899</v>
      </c>
      <c r="H689" s="2">
        <v>0.75858603848149597</v>
      </c>
      <c r="I689" s="1">
        <v>0.92566834815832599</v>
      </c>
      <c r="J689" s="1">
        <v>0.89420376026168602</v>
      </c>
      <c r="K689" s="1">
        <v>0.99876921571115396</v>
      </c>
      <c r="L689" s="1">
        <v>0.99099880200971702</v>
      </c>
    </row>
    <row r="690" spans="1:12" x14ac:dyDescent="0.3">
      <c r="A690" t="s">
        <v>359</v>
      </c>
      <c r="B690" t="s">
        <v>525</v>
      </c>
      <c r="C690" t="s">
        <v>574</v>
      </c>
      <c r="D690" t="s">
        <v>575</v>
      </c>
      <c r="E690" s="2">
        <v>0.91123655913978496</v>
      </c>
      <c r="F690" s="2">
        <v>0.91123655913978496</v>
      </c>
      <c r="G690" s="2">
        <v>0.91123655913978496</v>
      </c>
      <c r="H690" s="2">
        <v>0.91258064516129</v>
      </c>
      <c r="I690" s="1">
        <v>0.91123655913978496</v>
      </c>
      <c r="J690" s="1">
        <v>0.91392473118279505</v>
      </c>
      <c r="K690" s="1">
        <v>0.91258064516129</v>
      </c>
      <c r="L690" s="1">
        <v>0.91661290322580602</v>
      </c>
    </row>
    <row r="691" spans="1:12" x14ac:dyDescent="0.3">
      <c r="A691" t="s">
        <v>359</v>
      </c>
      <c r="B691" t="s">
        <v>526</v>
      </c>
      <c r="C691" t="s">
        <v>576</v>
      </c>
      <c r="D691" t="s">
        <v>591</v>
      </c>
      <c r="E691" s="2">
        <v>0.82737684911242604</v>
      </c>
      <c r="F691" s="2">
        <v>0.97482544378698199</v>
      </c>
      <c r="G691" s="2">
        <v>0.95522522189349102</v>
      </c>
      <c r="H691" s="2">
        <v>0.97353106508875698</v>
      </c>
      <c r="I691" s="1">
        <v>0.95263609467455601</v>
      </c>
      <c r="J691" s="1">
        <v>0.96909319526627202</v>
      </c>
      <c r="K691" s="1">
        <v>0.95060207100591698</v>
      </c>
      <c r="L691" s="1">
        <v>0.96373076923076895</v>
      </c>
    </row>
    <row r="692" spans="1:12" x14ac:dyDescent="0.3">
      <c r="A692" t="s">
        <v>359</v>
      </c>
      <c r="B692" t="s">
        <v>767</v>
      </c>
      <c r="C692" t="s">
        <v>576</v>
      </c>
      <c r="D692" t="s">
        <v>589</v>
      </c>
      <c r="E692" s="2">
        <v>0.94234395295892204</v>
      </c>
      <c r="F692" s="2">
        <v>0.83953238264173002</v>
      </c>
      <c r="G692" s="2">
        <v>0.99521628001173201</v>
      </c>
      <c r="H692" s="2">
        <v>0.99508359288796999</v>
      </c>
      <c r="I692" s="1">
        <v>1</v>
      </c>
      <c r="J692" s="1">
        <v>0.99508359288796999</v>
      </c>
      <c r="K692" s="1">
        <v>1</v>
      </c>
      <c r="L692" s="1">
        <v>1</v>
      </c>
    </row>
    <row r="693" spans="1:12" x14ac:dyDescent="0.3">
      <c r="A693" t="s">
        <v>359</v>
      </c>
      <c r="B693" t="s">
        <v>527</v>
      </c>
      <c r="C693" t="s">
        <v>574</v>
      </c>
      <c r="D693" t="s">
        <v>575</v>
      </c>
      <c r="E693" s="2">
        <v>0.95062374955866702</v>
      </c>
      <c r="F693" s="2">
        <v>0.85313051665293604</v>
      </c>
      <c r="G693" s="2">
        <v>0.98252324349770503</v>
      </c>
      <c r="H693" s="2">
        <v>0.97477344945274802</v>
      </c>
      <c r="I693" s="1">
        <v>0.98252324349770503</v>
      </c>
      <c r="J693" s="1">
        <v>0.97530304813463498</v>
      </c>
      <c r="K693" s="1">
        <v>0.98252324349770503</v>
      </c>
      <c r="L693" s="1">
        <v>0.97535012357302497</v>
      </c>
    </row>
    <row r="694" spans="1:12" x14ac:dyDescent="0.3">
      <c r="A694" t="s">
        <v>359</v>
      </c>
      <c r="B694" t="s">
        <v>528</v>
      </c>
      <c r="C694" t="s">
        <v>574</v>
      </c>
      <c r="D694" t="s">
        <v>575</v>
      </c>
      <c r="E694" s="2">
        <v>0.99995170068027195</v>
      </c>
      <c r="F694" s="2">
        <v>0.99995170068027195</v>
      </c>
      <c r="G694" s="2">
        <v>0.72789047619047598</v>
      </c>
      <c r="H694" s="2">
        <v>0.77683673469387704</v>
      </c>
      <c r="I694" s="1">
        <v>0.94000884353741498</v>
      </c>
      <c r="J694" s="1">
        <v>1</v>
      </c>
      <c r="K694" s="1">
        <v>1</v>
      </c>
      <c r="L694" s="1">
        <v>1</v>
      </c>
    </row>
    <row r="695" spans="1:12" x14ac:dyDescent="0.3">
      <c r="A695" t="s">
        <v>359</v>
      </c>
      <c r="B695" t="s">
        <v>529</v>
      </c>
      <c r="C695" t="s">
        <v>574</v>
      </c>
      <c r="D695" t="s">
        <v>575</v>
      </c>
      <c r="E695" s="2">
        <v>0.5</v>
      </c>
      <c r="F695" s="2">
        <v>1</v>
      </c>
      <c r="G695" s="2">
        <v>0.5</v>
      </c>
      <c r="H695" s="2">
        <v>1</v>
      </c>
      <c r="I695" s="1">
        <v>0.5</v>
      </c>
      <c r="J695" s="1">
        <v>1</v>
      </c>
      <c r="K695" s="1">
        <v>0.5</v>
      </c>
      <c r="L695" s="1">
        <v>0.999999999999999</v>
      </c>
    </row>
    <row r="696" spans="1:12" x14ac:dyDescent="0.3">
      <c r="A696" t="s">
        <v>359</v>
      </c>
      <c r="B696" t="s">
        <v>768</v>
      </c>
      <c r="C696" t="s">
        <v>576</v>
      </c>
      <c r="D696" t="s">
        <v>577</v>
      </c>
      <c r="E696" s="2">
        <v>1</v>
      </c>
      <c r="F696" s="2">
        <v>0.76879831342234695</v>
      </c>
      <c r="G696" s="2">
        <v>0.77556219255094805</v>
      </c>
      <c r="H696" s="2">
        <v>0.82689739985945099</v>
      </c>
      <c r="I696" s="1">
        <v>0.82580815179198797</v>
      </c>
      <c r="J696" s="1">
        <v>0.82868938861560004</v>
      </c>
      <c r="K696" s="1">
        <v>0.82475404075895997</v>
      </c>
      <c r="L696" s="1">
        <v>0.81410751932536796</v>
      </c>
    </row>
    <row r="697" spans="1:12" x14ac:dyDescent="0.3">
      <c r="A697" t="s">
        <v>359</v>
      </c>
      <c r="B697" t="s">
        <v>530</v>
      </c>
      <c r="C697" t="s">
        <v>574</v>
      </c>
      <c r="D697" t="s">
        <v>575</v>
      </c>
      <c r="E697" s="2">
        <v>0.93416888402096099</v>
      </c>
      <c r="F697" s="2">
        <v>0.90697429853227995</v>
      </c>
      <c r="G697" s="2">
        <v>0.99233698229489697</v>
      </c>
      <c r="H697" s="2">
        <v>0.95904392841765196</v>
      </c>
      <c r="I697" s="1">
        <v>0.99234987965768395</v>
      </c>
      <c r="J697" s="1">
        <v>0.89631314003162799</v>
      </c>
      <c r="K697" s="1">
        <v>0.99237567438325802</v>
      </c>
      <c r="L697" s="1">
        <v>0.89618714271824795</v>
      </c>
    </row>
    <row r="698" spans="1:12" x14ac:dyDescent="0.3">
      <c r="A698" t="s">
        <v>359</v>
      </c>
      <c r="B698" t="s">
        <v>531</v>
      </c>
      <c r="C698" t="s">
        <v>574</v>
      </c>
      <c r="D698" t="s">
        <v>575</v>
      </c>
      <c r="E698" s="2">
        <v>0.76156307440942195</v>
      </c>
      <c r="F698" s="2">
        <v>0.81175028933215299</v>
      </c>
      <c r="G698" s="2">
        <v>0.79147661515419698</v>
      </c>
      <c r="H698" s="2">
        <v>0.85235210021104202</v>
      </c>
      <c r="I698" s="1">
        <v>0.855728776635577</v>
      </c>
      <c r="J698" s="1">
        <v>0.85570835318946104</v>
      </c>
      <c r="K698" s="1">
        <v>0.85549050309755503</v>
      </c>
      <c r="L698" s="1">
        <v>0.85444209953025996</v>
      </c>
    </row>
    <row r="699" spans="1:12" x14ac:dyDescent="0.3">
      <c r="A699" t="s">
        <v>359</v>
      </c>
      <c r="B699" t="s">
        <v>532</v>
      </c>
      <c r="C699" t="s">
        <v>574</v>
      </c>
      <c r="D699" t="s">
        <v>575</v>
      </c>
      <c r="E699" s="2">
        <v>0.95471356625747505</v>
      </c>
      <c r="F699" s="2">
        <v>0.97793712621970397</v>
      </c>
      <c r="G699" s="2">
        <v>0.990183349071451</v>
      </c>
      <c r="H699" s="2">
        <v>0.99665564998426104</v>
      </c>
      <c r="I699" s="1">
        <v>0.99401951526597399</v>
      </c>
      <c r="J699" s="1">
        <v>0.99666548630783702</v>
      </c>
      <c r="K699" s="1">
        <v>0.999999999999999</v>
      </c>
      <c r="L699" s="1">
        <v>0.99661630468995899</v>
      </c>
    </row>
    <row r="700" spans="1:12" x14ac:dyDescent="0.3">
      <c r="A700" t="s">
        <v>359</v>
      </c>
      <c r="B700" t="s">
        <v>533</v>
      </c>
      <c r="C700" t="s">
        <v>576</v>
      </c>
      <c r="D700" t="s">
        <v>14</v>
      </c>
      <c r="E700" s="2">
        <v>0</v>
      </c>
      <c r="F700" s="2">
        <v>0</v>
      </c>
      <c r="G700" s="2">
        <v>0</v>
      </c>
      <c r="H700" s="2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 x14ac:dyDescent="0.3">
      <c r="A701" t="s">
        <v>359</v>
      </c>
      <c r="B701" t="s">
        <v>769</v>
      </c>
      <c r="C701" t="s">
        <v>574</v>
      </c>
      <c r="D701" t="s">
        <v>575</v>
      </c>
      <c r="E701" s="2">
        <v>0.73123975761271298</v>
      </c>
      <c r="F701" s="2">
        <v>0.63887089192931601</v>
      </c>
      <c r="G701" s="2">
        <v>0.83511820826505001</v>
      </c>
      <c r="H701" s="2">
        <v>0.63925200401437998</v>
      </c>
      <c r="I701" s="1">
        <v>0.85033093232719703</v>
      </c>
      <c r="J701" s="1">
        <v>0.67381251826162003</v>
      </c>
      <c r="K701" s="1">
        <v>0.85110586023349399</v>
      </c>
      <c r="L701" s="1">
        <v>0.73108096091060304</v>
      </c>
    </row>
    <row r="702" spans="1:12" x14ac:dyDescent="0.3">
      <c r="A702" t="s">
        <v>359</v>
      </c>
      <c r="B702" t="s">
        <v>534</v>
      </c>
      <c r="C702" t="s">
        <v>576</v>
      </c>
      <c r="D702" t="s">
        <v>577</v>
      </c>
      <c r="E702" s="2">
        <v>0</v>
      </c>
      <c r="F702" s="2">
        <v>0</v>
      </c>
      <c r="G702" s="2">
        <v>0</v>
      </c>
      <c r="H702" s="2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 x14ac:dyDescent="0.3">
      <c r="A703" t="s">
        <v>359</v>
      </c>
      <c r="B703" t="s">
        <v>535</v>
      </c>
      <c r="C703" t="s">
        <v>574</v>
      </c>
      <c r="D703" t="s">
        <v>575</v>
      </c>
      <c r="E703" s="2">
        <v>0.72852260852373796</v>
      </c>
      <c r="F703" s="2">
        <v>0.84810348236224398</v>
      </c>
      <c r="G703" s="2">
        <v>0.90737424803004996</v>
      </c>
      <c r="H703" s="2">
        <v>0.90915355720620195</v>
      </c>
      <c r="I703" s="1">
        <v>0.90605812409975395</v>
      </c>
      <c r="J703" s="1">
        <v>0.91056853164628404</v>
      </c>
      <c r="K703" s="1">
        <v>0.905860423080181</v>
      </c>
      <c r="L703" s="1">
        <v>0.90769904256220502</v>
      </c>
    </row>
    <row r="704" spans="1:12" x14ac:dyDescent="0.3">
      <c r="A704" t="s">
        <v>359</v>
      </c>
      <c r="B704" t="s">
        <v>536</v>
      </c>
      <c r="C704" t="s">
        <v>576</v>
      </c>
      <c r="D704" t="s">
        <v>577</v>
      </c>
      <c r="E704" s="2">
        <v>0.92462834019275397</v>
      </c>
      <c r="F704" s="2">
        <v>0.93355421530815597</v>
      </c>
      <c r="G704" s="2">
        <v>0.98818367716718802</v>
      </c>
      <c r="H704" s="2">
        <v>0.98419744777780604</v>
      </c>
      <c r="I704" s="1">
        <v>1</v>
      </c>
      <c r="J704" s="1">
        <v>0.99959878860041895</v>
      </c>
      <c r="K704" s="1">
        <v>1</v>
      </c>
      <c r="L704" s="1">
        <v>0.98818367716718802</v>
      </c>
    </row>
    <row r="705" spans="1:12" x14ac:dyDescent="0.3">
      <c r="A705" t="s">
        <v>359</v>
      </c>
      <c r="B705" t="s">
        <v>537</v>
      </c>
      <c r="C705" t="s">
        <v>576</v>
      </c>
      <c r="D705" t="s">
        <v>577</v>
      </c>
      <c r="E705" s="2">
        <v>0.94406474094205295</v>
      </c>
      <c r="F705" s="2">
        <v>0.95778788327256503</v>
      </c>
      <c r="G705" s="2">
        <v>0.99858059655306897</v>
      </c>
      <c r="H705" s="2">
        <v>1</v>
      </c>
      <c r="I705" s="1">
        <v>0.99985200532780805</v>
      </c>
      <c r="J705" s="1">
        <v>1</v>
      </c>
      <c r="K705" s="1">
        <v>1</v>
      </c>
      <c r="L705" s="1">
        <v>1</v>
      </c>
    </row>
    <row r="706" spans="1:12" x14ac:dyDescent="0.3">
      <c r="A706" t="s">
        <v>359</v>
      </c>
      <c r="B706" t="s">
        <v>770</v>
      </c>
      <c r="C706" t="s">
        <v>574</v>
      </c>
      <c r="D706" t="s">
        <v>575</v>
      </c>
      <c r="E706" s="2">
        <v>0.84566898996817197</v>
      </c>
      <c r="F706" s="2">
        <v>0.81099270778776</v>
      </c>
      <c r="G706" s="2">
        <v>0.90688529873897095</v>
      </c>
      <c r="H706" s="2">
        <v>0.87341364167438795</v>
      </c>
      <c r="I706" s="1">
        <v>0.90949196245115005</v>
      </c>
      <c r="J706" s="1">
        <v>0.90840417388501604</v>
      </c>
      <c r="K706" s="1">
        <v>0.90949196245115005</v>
      </c>
      <c r="L706" s="1">
        <v>0.90840417388501604</v>
      </c>
    </row>
    <row r="707" spans="1:12" x14ac:dyDescent="0.3">
      <c r="A707" t="s">
        <v>359</v>
      </c>
      <c r="B707" t="s">
        <v>538</v>
      </c>
      <c r="C707" t="s">
        <v>574</v>
      </c>
      <c r="D707" t="s">
        <v>575</v>
      </c>
      <c r="E707" s="2">
        <v>0.80194617822801895</v>
      </c>
      <c r="F707" s="2">
        <v>0.79415525033072598</v>
      </c>
      <c r="G707" s="2">
        <v>0.88178210261828405</v>
      </c>
      <c r="H707" s="2">
        <v>0.836958741376708</v>
      </c>
      <c r="I707" s="1">
        <v>0.90949205813674705</v>
      </c>
      <c r="J707" s="1">
        <v>0.90759648764549705</v>
      </c>
      <c r="K707" s="1">
        <v>0.90920350525166205</v>
      </c>
      <c r="L707" s="1">
        <v>0.90884392396409497</v>
      </c>
    </row>
    <row r="708" spans="1:12" x14ac:dyDescent="0.3">
      <c r="A708" t="s">
        <v>359</v>
      </c>
      <c r="B708" t="s">
        <v>539</v>
      </c>
      <c r="C708" t="s">
        <v>574</v>
      </c>
      <c r="D708" t="s">
        <v>575</v>
      </c>
      <c r="E708" s="2">
        <v>0.55517939486237</v>
      </c>
      <c r="F708" s="2">
        <v>0.55073432032263903</v>
      </c>
      <c r="G708" s="2">
        <v>0.58696336723540099</v>
      </c>
      <c r="H708" s="2">
        <v>0.56110279369852001</v>
      </c>
      <c r="I708" s="1">
        <v>0.68333485438645003</v>
      </c>
      <c r="J708" s="1">
        <v>0.56426008196966804</v>
      </c>
      <c r="K708" s="1">
        <v>0.68318925128656705</v>
      </c>
      <c r="L708" s="1">
        <v>0.56864698493599997</v>
      </c>
    </row>
    <row r="709" spans="1:12" x14ac:dyDescent="0.3">
      <c r="A709" t="s">
        <v>359</v>
      </c>
      <c r="B709" t="s">
        <v>540</v>
      </c>
      <c r="C709" t="s">
        <v>576</v>
      </c>
      <c r="D709" t="s">
        <v>14</v>
      </c>
      <c r="E709" s="2">
        <v>0</v>
      </c>
      <c r="F709" s="2">
        <v>0</v>
      </c>
      <c r="G709" s="2">
        <v>0</v>
      </c>
      <c r="H709" s="2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 x14ac:dyDescent="0.3">
      <c r="A710" t="s">
        <v>359</v>
      </c>
      <c r="B710" t="s">
        <v>771</v>
      </c>
      <c r="C710" t="s">
        <v>576</v>
      </c>
      <c r="D710" t="s">
        <v>577</v>
      </c>
      <c r="E710" s="2">
        <v>0.96357421744866201</v>
      </c>
      <c r="F710" s="2">
        <v>0.98524179470436901</v>
      </c>
      <c r="G710" s="2">
        <v>0.99963354343509703</v>
      </c>
      <c r="H710" s="2">
        <v>0.99972682328798101</v>
      </c>
      <c r="I710" s="1">
        <v>1</v>
      </c>
      <c r="J710" s="1">
        <v>1</v>
      </c>
      <c r="K710" s="1">
        <v>1</v>
      </c>
      <c r="L710" s="1">
        <v>1</v>
      </c>
    </row>
    <row r="711" spans="1:12" x14ac:dyDescent="0.3">
      <c r="A711" t="s">
        <v>359</v>
      </c>
      <c r="B711" t="s">
        <v>541</v>
      </c>
      <c r="C711" t="s">
        <v>576</v>
      </c>
      <c r="D711" t="s">
        <v>14</v>
      </c>
      <c r="E711" s="2">
        <v>0</v>
      </c>
      <c r="F711" s="2">
        <v>0</v>
      </c>
      <c r="G711" s="2">
        <v>0</v>
      </c>
      <c r="H711" s="2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 x14ac:dyDescent="0.3">
      <c r="A712" t="s">
        <v>359</v>
      </c>
      <c r="B712" t="s">
        <v>772</v>
      </c>
      <c r="C712" t="s">
        <v>574</v>
      </c>
      <c r="D712" t="s">
        <v>575</v>
      </c>
      <c r="E712" s="2">
        <v>0.82206539922765398</v>
      </c>
      <c r="F712" s="2">
        <v>0.88206876065102102</v>
      </c>
      <c r="G712" s="2">
        <v>0.89922179140413605</v>
      </c>
      <c r="H712" s="2">
        <v>0.90320273291537001</v>
      </c>
      <c r="I712" s="1">
        <v>0.90727748159034405</v>
      </c>
      <c r="J712" s="1">
        <v>0.90743382686324403</v>
      </c>
      <c r="K712" s="1">
        <v>0.90744750707462296</v>
      </c>
      <c r="L712" s="1">
        <v>0.90747682181329203</v>
      </c>
    </row>
    <row r="713" spans="1:12" x14ac:dyDescent="0.3">
      <c r="A713" t="s">
        <v>359</v>
      </c>
      <c r="B713" t="s">
        <v>773</v>
      </c>
      <c r="C713" t="s">
        <v>576</v>
      </c>
      <c r="D713" t="s">
        <v>14</v>
      </c>
      <c r="E713" s="2">
        <v>0</v>
      </c>
      <c r="F713" s="2">
        <v>0</v>
      </c>
      <c r="G713" s="2">
        <v>0</v>
      </c>
      <c r="H713" s="2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 x14ac:dyDescent="0.3">
      <c r="A714" t="s">
        <v>359</v>
      </c>
      <c r="B714" t="s">
        <v>542</v>
      </c>
      <c r="C714" t="s">
        <v>574</v>
      </c>
      <c r="D714" t="s">
        <v>575</v>
      </c>
      <c r="E714" s="2">
        <v>0.76642400818034195</v>
      </c>
      <c r="F714" s="2">
        <v>0.79705807855755795</v>
      </c>
      <c r="G714" s="2">
        <v>0.82352692852519305</v>
      </c>
      <c r="H714" s="2">
        <v>0.82125200521590602</v>
      </c>
      <c r="I714" s="1">
        <v>0.82300158541047097</v>
      </c>
      <c r="J714" s="1">
        <v>0.82146308057450002</v>
      </c>
      <c r="K714" s="1">
        <v>0.82462921095340302</v>
      </c>
      <c r="L714" s="1">
        <v>0.82204940101503698</v>
      </c>
    </row>
    <row r="715" spans="1:12" x14ac:dyDescent="0.3">
      <c r="A715" t="s">
        <v>359</v>
      </c>
      <c r="B715" t="s">
        <v>543</v>
      </c>
      <c r="C715" t="s">
        <v>574</v>
      </c>
      <c r="D715" t="s">
        <v>575</v>
      </c>
      <c r="E715" s="2">
        <v>0</v>
      </c>
      <c r="F715" s="2">
        <v>0</v>
      </c>
      <c r="G715" s="2">
        <v>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 x14ac:dyDescent="0.3">
      <c r="A716" t="s">
        <v>359</v>
      </c>
      <c r="B716" t="s">
        <v>774</v>
      </c>
      <c r="C716" t="s">
        <v>576</v>
      </c>
      <c r="D716" t="s">
        <v>14</v>
      </c>
      <c r="E716" s="2">
        <v>0</v>
      </c>
      <c r="F716" s="2">
        <v>0</v>
      </c>
      <c r="G716" s="2">
        <v>0</v>
      </c>
      <c r="H716" s="2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 x14ac:dyDescent="0.3">
      <c r="A717" t="s">
        <v>359</v>
      </c>
      <c r="B717" t="s">
        <v>544</v>
      </c>
      <c r="C717" t="s">
        <v>574</v>
      </c>
      <c r="D717" t="s">
        <v>575</v>
      </c>
      <c r="E717" s="2">
        <v>0.71639144495305296</v>
      </c>
      <c r="F717" s="2">
        <v>0.72117202268431002</v>
      </c>
      <c r="G717" s="2">
        <v>0.75768251339655301</v>
      </c>
      <c r="H717" s="2">
        <v>0.75768251339655301</v>
      </c>
      <c r="I717" s="1">
        <v>0.75774500460872596</v>
      </c>
      <c r="J717" s="1">
        <v>0.75776843881329103</v>
      </c>
      <c r="K717" s="1">
        <v>0.75776843881329103</v>
      </c>
      <c r="L717" s="1">
        <v>0.75776843881329103</v>
      </c>
    </row>
    <row r="718" spans="1:12" x14ac:dyDescent="0.3">
      <c r="A718" t="s">
        <v>359</v>
      </c>
      <c r="B718" t="s">
        <v>545</v>
      </c>
      <c r="C718" t="s">
        <v>574</v>
      </c>
      <c r="D718" t="s">
        <v>575</v>
      </c>
      <c r="E718" s="2">
        <v>0.66085518788889797</v>
      </c>
      <c r="F718" s="2">
        <v>0.70907668347123898</v>
      </c>
      <c r="G718" s="2">
        <v>0.76667232560027698</v>
      </c>
      <c r="H718" s="2">
        <v>0.76080794809527597</v>
      </c>
      <c r="I718" s="1">
        <v>0.83662412624834803</v>
      </c>
      <c r="J718" s="1">
        <v>0.84100118837605797</v>
      </c>
      <c r="K718" s="1">
        <v>0.84143668022350304</v>
      </c>
      <c r="L718" s="1">
        <v>0.84141453657024301</v>
      </c>
    </row>
    <row r="719" spans="1:12" x14ac:dyDescent="0.3">
      <c r="A719" t="s">
        <v>359</v>
      </c>
      <c r="B719" t="s">
        <v>546</v>
      </c>
      <c r="C719" t="s">
        <v>574</v>
      </c>
      <c r="D719" t="s">
        <v>575</v>
      </c>
      <c r="E719" s="2">
        <v>1</v>
      </c>
      <c r="F719" s="2">
        <v>1</v>
      </c>
      <c r="G719" s="2">
        <v>0.91231514289232096</v>
      </c>
      <c r="H719" s="2">
        <v>0.91242458650833802</v>
      </c>
      <c r="I719" s="1">
        <v>0.95779580557341604</v>
      </c>
      <c r="J719" s="1">
        <v>0.91242458650833802</v>
      </c>
      <c r="K719" s="1">
        <v>0.92246603827790397</v>
      </c>
      <c r="L719" s="1">
        <v>0.99099142235659399</v>
      </c>
    </row>
    <row r="720" spans="1:12" x14ac:dyDescent="0.3">
      <c r="A720" t="s">
        <v>359</v>
      </c>
      <c r="B720" t="s">
        <v>547</v>
      </c>
      <c r="C720" t="s">
        <v>574</v>
      </c>
      <c r="D720" t="s">
        <v>575</v>
      </c>
      <c r="E720" s="2">
        <v>0.76455351420636597</v>
      </c>
      <c r="F720" s="2">
        <v>0.96967350281278897</v>
      </c>
      <c r="G720" s="2">
        <v>0.98938973153884402</v>
      </c>
      <c r="H720" s="2">
        <v>0.99162394075339999</v>
      </c>
      <c r="I720" s="1">
        <v>0.99099195328633405</v>
      </c>
      <c r="J720" s="1">
        <v>0.99163284198532997</v>
      </c>
      <c r="K720" s="1">
        <v>0.99100975575019501</v>
      </c>
      <c r="L720" s="1">
        <v>0.99161503952146901</v>
      </c>
    </row>
    <row r="721" spans="1:12" x14ac:dyDescent="0.3">
      <c r="A721" t="s">
        <v>359</v>
      </c>
      <c r="B721" t="s">
        <v>548</v>
      </c>
      <c r="C721" t="s">
        <v>574</v>
      </c>
      <c r="D721" t="s">
        <v>575</v>
      </c>
      <c r="E721" s="2">
        <v>0.80020714285714201</v>
      </c>
      <c r="F721" s="2">
        <v>0.80731428571428498</v>
      </c>
      <c r="G721" s="2">
        <v>0.84859857142857098</v>
      </c>
      <c r="H721" s="2">
        <v>0.81660999999999995</v>
      </c>
      <c r="I721" s="1">
        <v>0.85811285714285701</v>
      </c>
      <c r="J721" s="1">
        <v>0.81987285714285696</v>
      </c>
      <c r="K721" s="1">
        <v>0.85813428571428496</v>
      </c>
      <c r="L721" s="1">
        <v>0.82234285714285704</v>
      </c>
    </row>
    <row r="722" spans="1:12" x14ac:dyDescent="0.3">
      <c r="A722" t="s">
        <v>359</v>
      </c>
      <c r="B722" t="s">
        <v>549</v>
      </c>
      <c r="C722" t="s">
        <v>574</v>
      </c>
      <c r="D722" t="s">
        <v>575</v>
      </c>
      <c r="E722" s="2">
        <v>0</v>
      </c>
      <c r="F722" s="2">
        <v>0</v>
      </c>
      <c r="G722" s="2">
        <v>0</v>
      </c>
      <c r="H722" s="2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 x14ac:dyDescent="0.3">
      <c r="A723" t="s">
        <v>359</v>
      </c>
      <c r="B723" t="s">
        <v>550</v>
      </c>
      <c r="C723" t="s">
        <v>574</v>
      </c>
      <c r="D723" t="s">
        <v>575</v>
      </c>
      <c r="E723" s="2">
        <v>0.78347427310420903</v>
      </c>
      <c r="F723" s="2">
        <v>0.77128535347004901</v>
      </c>
      <c r="G723" s="2">
        <v>0.88832570448335002</v>
      </c>
      <c r="H723" s="2">
        <v>0.95329592179782197</v>
      </c>
      <c r="I723" s="1">
        <v>0.88832570448335002</v>
      </c>
      <c r="J723" s="1">
        <v>0.95678278034946096</v>
      </c>
      <c r="K723" s="1">
        <v>0.88833432465282203</v>
      </c>
      <c r="L723" s="1">
        <v>0.95678278034946096</v>
      </c>
    </row>
    <row r="724" spans="1:12" x14ac:dyDescent="0.3">
      <c r="A724" t="s">
        <v>359</v>
      </c>
      <c r="B724" t="s">
        <v>775</v>
      </c>
      <c r="C724" t="s">
        <v>574</v>
      </c>
      <c r="D724" t="s">
        <v>575</v>
      </c>
      <c r="E724" s="2">
        <v>0.94723175872408805</v>
      </c>
      <c r="F724" s="2">
        <v>0.96859110860023401</v>
      </c>
      <c r="G724" s="2">
        <v>0.99073269305984102</v>
      </c>
      <c r="H724" s="2">
        <v>0.986517317804528</v>
      </c>
      <c r="I724" s="1">
        <v>0.99099343792099404</v>
      </c>
      <c r="J724" s="1">
        <v>0.987647212202859</v>
      </c>
      <c r="K724" s="1">
        <v>0.99124331841293301</v>
      </c>
      <c r="L724" s="1">
        <v>0.99204728173482204</v>
      </c>
    </row>
    <row r="725" spans="1:12" x14ac:dyDescent="0.3">
      <c r="A725" t="s">
        <v>359</v>
      </c>
      <c r="B725" t="s">
        <v>551</v>
      </c>
      <c r="C725" t="s">
        <v>574</v>
      </c>
      <c r="D725" t="s">
        <v>575</v>
      </c>
      <c r="E725" s="2">
        <v>0.79010496249912598</v>
      </c>
      <c r="F725" s="2">
        <v>0.76765936623023801</v>
      </c>
      <c r="G725" s="2">
        <v>0.89744934136281396</v>
      </c>
      <c r="H725" s="2">
        <v>0.88432153878419195</v>
      </c>
      <c r="I725" s="1">
        <v>0.89907720885639797</v>
      </c>
      <c r="J725" s="1">
        <v>0.89594131687489298</v>
      </c>
      <c r="K725" s="1">
        <v>0.90071506326712003</v>
      </c>
      <c r="L725" s="1">
        <v>0.89648061040037497</v>
      </c>
    </row>
    <row r="726" spans="1:12" x14ac:dyDescent="0.3">
      <c r="A726" t="s">
        <v>359</v>
      </c>
      <c r="B726" t="s">
        <v>552</v>
      </c>
      <c r="C726" t="s">
        <v>574</v>
      </c>
      <c r="D726" t="s">
        <v>575</v>
      </c>
      <c r="E726" s="2">
        <v>0.74370953084175795</v>
      </c>
      <c r="F726" s="2">
        <v>0.75085198227876804</v>
      </c>
      <c r="G726" s="2">
        <v>0.88658695899125295</v>
      </c>
      <c r="H726" s="2">
        <v>0.90061626718164201</v>
      </c>
      <c r="I726" s="1">
        <v>0.89350931500624697</v>
      </c>
      <c r="J726" s="1">
        <v>0.90061626718164201</v>
      </c>
      <c r="K726" s="1">
        <v>0.89706634102010596</v>
      </c>
      <c r="L726" s="1">
        <v>0.88901510848574306</v>
      </c>
    </row>
    <row r="727" spans="1:12" x14ac:dyDescent="0.3">
      <c r="A727" t="s">
        <v>359</v>
      </c>
      <c r="B727" t="s">
        <v>553</v>
      </c>
      <c r="C727" t="s">
        <v>574</v>
      </c>
      <c r="D727" t="s">
        <v>575</v>
      </c>
      <c r="E727" s="2">
        <v>0.74872610077958202</v>
      </c>
      <c r="F727" s="2">
        <v>0.75598841513871295</v>
      </c>
      <c r="G727" s="2">
        <v>0.818164496319846</v>
      </c>
      <c r="H727" s="2">
        <v>0.99347807151256395</v>
      </c>
      <c r="I727" s="1">
        <v>0.81954727581551301</v>
      </c>
      <c r="J727" s="1">
        <v>0.99357061974652605</v>
      </c>
      <c r="K727" s="1">
        <v>0.81997735290274798</v>
      </c>
      <c r="L727" s="1">
        <v>0.99357061974652605</v>
      </c>
    </row>
    <row r="728" spans="1:12" x14ac:dyDescent="0.3">
      <c r="A728" t="s">
        <v>359</v>
      </c>
      <c r="B728" t="s">
        <v>554</v>
      </c>
      <c r="C728" t="s">
        <v>574</v>
      </c>
      <c r="D728" t="s">
        <v>575</v>
      </c>
      <c r="E728" s="2">
        <v>0.843950634729974</v>
      </c>
      <c r="F728" s="2">
        <v>0.79092300807838101</v>
      </c>
      <c r="G728" s="2">
        <v>0.92408676605666595</v>
      </c>
      <c r="H728" s="2">
        <v>0.87805412280081896</v>
      </c>
      <c r="I728" s="1">
        <v>0.97912574483619497</v>
      </c>
      <c r="J728" s="1">
        <v>0.88305895098801201</v>
      </c>
      <c r="K728" s="1">
        <v>0.96470006359075799</v>
      </c>
      <c r="L728" s="1">
        <v>0.89344073105819699</v>
      </c>
    </row>
    <row r="729" spans="1:12" x14ac:dyDescent="0.3">
      <c r="A729" t="s">
        <v>359</v>
      </c>
      <c r="B729" t="s">
        <v>555</v>
      </c>
      <c r="C729" t="s">
        <v>574</v>
      </c>
      <c r="D729" t="s">
        <v>575</v>
      </c>
      <c r="E729" s="2">
        <v>0.68518126376418698</v>
      </c>
      <c r="F729" s="2">
        <v>0.84153184821277305</v>
      </c>
      <c r="G729" s="2">
        <v>0.84900686091817701</v>
      </c>
      <c r="H729" s="2">
        <v>0.86847789259698405</v>
      </c>
      <c r="I729" s="1">
        <v>0.85038327968829397</v>
      </c>
      <c r="J729" s="1">
        <v>0.89864263933593003</v>
      </c>
      <c r="K729" s="1">
        <v>0.851103252583432</v>
      </c>
      <c r="L729" s="1">
        <v>0.90089784855158395</v>
      </c>
    </row>
    <row r="730" spans="1:12" x14ac:dyDescent="0.3">
      <c r="A730" t="s">
        <v>359</v>
      </c>
      <c r="B730" t="s">
        <v>556</v>
      </c>
      <c r="C730" t="s">
        <v>574</v>
      </c>
      <c r="D730" t="s">
        <v>575</v>
      </c>
      <c r="E730" s="2">
        <v>0.94674608676027205</v>
      </c>
      <c r="F730" s="2">
        <v>0.95967468927828703</v>
      </c>
      <c r="G730" s="2">
        <v>0.95539470926764702</v>
      </c>
      <c r="H730" s="2">
        <v>0.97519062434510595</v>
      </c>
      <c r="I730" s="1">
        <v>0.98066351780503902</v>
      </c>
      <c r="J730" s="1">
        <v>0.97687521158093205</v>
      </c>
      <c r="K730" s="1">
        <v>0.98079248142117803</v>
      </c>
      <c r="L730" s="1">
        <v>0.97797140231812096</v>
      </c>
    </row>
    <row r="731" spans="1:12" x14ac:dyDescent="0.3">
      <c r="A731" t="s">
        <v>359</v>
      </c>
      <c r="B731" t="s">
        <v>557</v>
      </c>
      <c r="C731" t="s">
        <v>576</v>
      </c>
      <c r="D731" t="s">
        <v>577</v>
      </c>
      <c r="E731" s="2">
        <v>0.69690384416287698</v>
      </c>
      <c r="F731" s="2">
        <v>0.85977406484187702</v>
      </c>
      <c r="G731" s="2">
        <v>0.78963919660420301</v>
      </c>
      <c r="H731" s="2">
        <v>0.91891281148709403</v>
      </c>
      <c r="I731" s="1">
        <v>0.90965679676985101</v>
      </c>
      <c r="J731" s="1">
        <v>0.92490662355555198</v>
      </c>
      <c r="K731" s="1">
        <v>0.90878475236328005</v>
      </c>
      <c r="L731" s="1">
        <v>0.92490662355555198</v>
      </c>
    </row>
    <row r="732" spans="1:12" x14ac:dyDescent="0.3">
      <c r="A732" t="s">
        <v>359</v>
      </c>
      <c r="B732" t="s">
        <v>558</v>
      </c>
      <c r="C732" t="s">
        <v>576</v>
      </c>
      <c r="D732" t="s">
        <v>14</v>
      </c>
      <c r="E732" s="2">
        <v>0.71678107795826795</v>
      </c>
      <c r="F732" s="2">
        <v>0.76968497247332202</v>
      </c>
      <c r="G732" s="2">
        <v>0.82781383810235798</v>
      </c>
      <c r="H732" s="2">
        <v>0.85798273635560396</v>
      </c>
      <c r="I732" s="1">
        <v>0.82653095901583595</v>
      </c>
      <c r="J732" s="1">
        <v>0.907394820906681</v>
      </c>
      <c r="K732" s="1">
        <v>0.88454937810099898</v>
      </c>
      <c r="L732" s="1">
        <v>0.920436008971657</v>
      </c>
    </row>
    <row r="733" spans="1:12" x14ac:dyDescent="0.3">
      <c r="A733" t="s">
        <v>359</v>
      </c>
      <c r="B733" t="s">
        <v>776</v>
      </c>
      <c r="C733" t="s">
        <v>576</v>
      </c>
      <c r="D733" t="s">
        <v>14</v>
      </c>
      <c r="E733" s="2">
        <v>0.94776906662830496</v>
      </c>
      <c r="F733" s="2">
        <v>0.99150063535447897</v>
      </c>
      <c r="G733" s="2">
        <v>0.98999016998729195</v>
      </c>
      <c r="H733" s="2">
        <v>0.99389819942937896</v>
      </c>
      <c r="I733" s="1">
        <v>0.99422187057949096</v>
      </c>
      <c r="J733" s="1">
        <v>0.99406602891462204</v>
      </c>
      <c r="K733" s="1">
        <v>0.99422187057949096</v>
      </c>
      <c r="L733" s="1">
        <v>0.994054041094248</v>
      </c>
    </row>
    <row r="734" spans="1:12" x14ac:dyDescent="0.3">
      <c r="A734" t="s">
        <v>359</v>
      </c>
      <c r="B734" t="s">
        <v>777</v>
      </c>
      <c r="C734" t="s">
        <v>574</v>
      </c>
      <c r="D734" t="s">
        <v>575</v>
      </c>
      <c r="E734" s="2">
        <v>0.67089327441156099</v>
      </c>
      <c r="F734" s="2">
        <v>0.66304413335575696</v>
      </c>
      <c r="G734" s="2">
        <v>0.75600735737692104</v>
      </c>
      <c r="H734" s="2">
        <v>0.71657108811460402</v>
      </c>
      <c r="I734" s="1">
        <v>0.86982026142852897</v>
      </c>
      <c r="J734" s="1">
        <v>0.81208353590323001</v>
      </c>
      <c r="K734" s="1">
        <v>0.90447980337470402</v>
      </c>
      <c r="L734" s="1">
        <v>0.88442954499405002</v>
      </c>
    </row>
    <row r="735" spans="1:12" x14ac:dyDescent="0.3">
      <c r="A735" t="s">
        <v>359</v>
      </c>
      <c r="B735" t="s">
        <v>778</v>
      </c>
      <c r="C735" t="s">
        <v>576</v>
      </c>
      <c r="D735" t="s">
        <v>577</v>
      </c>
      <c r="E735" s="2">
        <v>0.87385627118644005</v>
      </c>
      <c r="F735" s="2">
        <v>0.951166101694915</v>
      </c>
      <c r="G735" s="2">
        <v>0.97226847457627097</v>
      </c>
      <c r="H735" s="2">
        <v>0.99837288135593205</v>
      </c>
      <c r="I735" s="1">
        <v>1</v>
      </c>
      <c r="J735" s="1">
        <v>1</v>
      </c>
      <c r="K735" s="1">
        <v>1</v>
      </c>
      <c r="L735" s="1">
        <v>1</v>
      </c>
    </row>
    <row r="736" spans="1:12" x14ac:dyDescent="0.3">
      <c r="A736" t="s">
        <v>359</v>
      </c>
      <c r="B736" t="s">
        <v>559</v>
      </c>
      <c r="C736" t="s">
        <v>574</v>
      </c>
      <c r="D736" t="s">
        <v>575</v>
      </c>
      <c r="E736" s="2">
        <v>0.81305789350395896</v>
      </c>
      <c r="F736" s="2">
        <v>0.81600229271009095</v>
      </c>
      <c r="G736" s="2">
        <v>0.85432924930047405</v>
      </c>
      <c r="H736" s="2">
        <v>0.85623111753313996</v>
      </c>
      <c r="I736" s="1">
        <v>0.98934988111714695</v>
      </c>
      <c r="J736" s="1">
        <v>0.85948741798112804</v>
      </c>
      <c r="K736" s="1">
        <v>0.98934730696659501</v>
      </c>
      <c r="L736" s="1">
        <v>0.85996964218449201</v>
      </c>
    </row>
    <row r="737" spans="1:12" x14ac:dyDescent="0.3">
      <c r="A737" t="s">
        <v>359</v>
      </c>
      <c r="B737" t="s">
        <v>779</v>
      </c>
      <c r="C737" t="s">
        <v>574</v>
      </c>
      <c r="D737" t="s">
        <v>575</v>
      </c>
      <c r="E737" s="2">
        <v>0.82694839722489499</v>
      </c>
      <c r="F737" s="2">
        <v>0.83524586013065205</v>
      </c>
      <c r="G737" s="2">
        <v>0.84547526206512302</v>
      </c>
      <c r="H737" s="2">
        <v>0.84300653263786895</v>
      </c>
      <c r="I737" s="1">
        <v>0.84458651947131202</v>
      </c>
      <c r="J737" s="1">
        <v>0.84690839114802197</v>
      </c>
      <c r="K737" s="1">
        <v>0.84496632399858196</v>
      </c>
      <c r="L737" s="1">
        <v>0.84491821542512702</v>
      </c>
    </row>
    <row r="738" spans="1:12" x14ac:dyDescent="0.3">
      <c r="A738" t="s">
        <v>359</v>
      </c>
      <c r="B738" t="s">
        <v>780</v>
      </c>
      <c r="C738" t="s">
        <v>574</v>
      </c>
      <c r="D738" t="s">
        <v>575</v>
      </c>
      <c r="E738" s="2">
        <v>0.97321780228436305</v>
      </c>
      <c r="F738" s="2">
        <v>0.97206064729069397</v>
      </c>
      <c r="G738" s="2">
        <v>0.99634299961916395</v>
      </c>
      <c r="H738" s="2">
        <v>0.99749038959178904</v>
      </c>
      <c r="I738" s="1">
        <v>0.99863289705389302</v>
      </c>
      <c r="J738" s="1">
        <v>0.99780612527220003</v>
      </c>
      <c r="K738" s="1">
        <v>0.99862313203284903</v>
      </c>
      <c r="L738" s="1">
        <v>0.99822113866655304</v>
      </c>
    </row>
    <row r="739" spans="1:12" x14ac:dyDescent="0.3">
      <c r="A739" t="s">
        <v>359</v>
      </c>
      <c r="B739" t="s">
        <v>560</v>
      </c>
      <c r="C739" t="s">
        <v>574</v>
      </c>
      <c r="D739" t="s">
        <v>575</v>
      </c>
      <c r="E739" s="2">
        <v>0.77663836751122695</v>
      </c>
      <c r="F739" s="2">
        <v>0.85746705787645106</v>
      </c>
      <c r="G739" s="2">
        <v>0.87076571900686295</v>
      </c>
      <c r="H739" s="2">
        <v>0.879566615117363</v>
      </c>
      <c r="I739" s="1">
        <v>0.879664594102194</v>
      </c>
      <c r="J739" s="1">
        <v>0.88063908778916999</v>
      </c>
      <c r="K739" s="1">
        <v>0.88027497669689003</v>
      </c>
      <c r="L739" s="1">
        <v>0.88107866918057698</v>
      </c>
    </row>
    <row r="740" spans="1:12" x14ac:dyDescent="0.3">
      <c r="A740" t="s">
        <v>359</v>
      </c>
      <c r="B740" t="s">
        <v>561</v>
      </c>
      <c r="C740" t="s">
        <v>574</v>
      </c>
      <c r="D740" t="s">
        <v>575</v>
      </c>
      <c r="E740" s="2">
        <v>0.912274992720982</v>
      </c>
      <c r="F740" s="2">
        <v>0.90920067823316797</v>
      </c>
      <c r="G740" s="2">
        <v>0.95493859934574399</v>
      </c>
      <c r="H740" s="2">
        <v>0.99788480312398298</v>
      </c>
      <c r="I740" s="1">
        <v>0.95596622535838405</v>
      </c>
      <c r="J740" s="1">
        <v>0.998818230085464</v>
      </c>
      <c r="K740" s="1">
        <v>0.95383390138215696</v>
      </c>
      <c r="L740" s="1">
        <v>0.96193501978179996</v>
      </c>
    </row>
    <row r="741" spans="1:12" x14ac:dyDescent="0.3">
      <c r="A741" t="s">
        <v>359</v>
      </c>
      <c r="B741" t="s">
        <v>781</v>
      </c>
      <c r="C741" t="s">
        <v>574</v>
      </c>
      <c r="D741" t="s">
        <v>575</v>
      </c>
      <c r="E741" s="2">
        <v>0.69315256564269701</v>
      </c>
      <c r="F741" s="2">
        <v>0.77158057319375295</v>
      </c>
      <c r="G741" s="2">
        <v>0.81264556620657502</v>
      </c>
      <c r="H741" s="2">
        <v>0.82686508617519405</v>
      </c>
      <c r="I741" s="1">
        <v>0.82561474907450505</v>
      </c>
      <c r="J741" s="1">
        <v>0.86725587781019298</v>
      </c>
      <c r="K741" s="1">
        <v>0.82484248204172606</v>
      </c>
      <c r="L741" s="1">
        <v>0.90472921621025204</v>
      </c>
    </row>
    <row r="742" spans="1:12" x14ac:dyDescent="0.3">
      <c r="A742" t="s">
        <v>359</v>
      </c>
      <c r="B742" t="s">
        <v>782</v>
      </c>
      <c r="C742" t="s">
        <v>574</v>
      </c>
      <c r="D742" t="s">
        <v>575</v>
      </c>
      <c r="E742" s="2">
        <v>0.82639298601868705</v>
      </c>
      <c r="F742" s="2">
        <v>0.871568129742189</v>
      </c>
      <c r="G742" s="2">
        <v>0.933050231192459</v>
      </c>
      <c r="H742" s="2">
        <v>0.93200060370731097</v>
      </c>
      <c r="I742" s="1">
        <v>0.93483391188617304</v>
      </c>
      <c r="J742" s="1">
        <v>0.93283070126092504</v>
      </c>
      <c r="K742" s="1">
        <v>0.93582179657807696</v>
      </c>
      <c r="L742" s="1">
        <v>0.89417285237984101</v>
      </c>
    </row>
    <row r="743" spans="1:12" x14ac:dyDescent="0.3">
      <c r="A743" t="s">
        <v>359</v>
      </c>
      <c r="B743" t="s">
        <v>783</v>
      </c>
      <c r="C743" t="s">
        <v>574</v>
      </c>
      <c r="D743" t="s">
        <v>575</v>
      </c>
      <c r="E743" s="2">
        <v>0.85882251418462596</v>
      </c>
      <c r="F743" s="2">
        <v>0.87877807261665897</v>
      </c>
      <c r="G743" s="2">
        <v>0.965439130153388</v>
      </c>
      <c r="H743" s="2">
        <v>0.98600953552089299</v>
      </c>
      <c r="I743" s="1">
        <v>0.99123034107824703</v>
      </c>
      <c r="J743" s="1">
        <v>0.98934265311846004</v>
      </c>
      <c r="K743" s="1">
        <v>0.99286993290617598</v>
      </c>
      <c r="L743" s="1">
        <v>0.99004379436066703</v>
      </c>
    </row>
    <row r="744" spans="1:12" x14ac:dyDescent="0.3">
      <c r="A744" t="s">
        <v>359</v>
      </c>
      <c r="B744" t="s">
        <v>784</v>
      </c>
      <c r="C744" t="s">
        <v>576</v>
      </c>
      <c r="D744" t="s">
        <v>14</v>
      </c>
      <c r="E744" s="2">
        <v>0</v>
      </c>
      <c r="F744" s="2">
        <v>0</v>
      </c>
      <c r="G744" s="2">
        <v>0</v>
      </c>
      <c r="H744" s="2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 x14ac:dyDescent="0.3">
      <c r="A745" t="s">
        <v>359</v>
      </c>
      <c r="B745" t="s">
        <v>723</v>
      </c>
      <c r="C745" t="s">
        <v>576</v>
      </c>
      <c r="D745" t="s">
        <v>14</v>
      </c>
      <c r="E745" s="2">
        <v>1</v>
      </c>
      <c r="F745" s="2">
        <v>1</v>
      </c>
      <c r="G745" s="2">
        <v>0.99170490645958298</v>
      </c>
      <c r="H745" s="2">
        <v>0.99226379574067503</v>
      </c>
      <c r="I745" s="1">
        <v>0.99350904027924802</v>
      </c>
      <c r="J745" s="1">
        <v>0.99249911754324005</v>
      </c>
      <c r="K745" s="1">
        <v>0.99508765737145499</v>
      </c>
      <c r="L745" s="1">
        <v>0.99468564929207304</v>
      </c>
    </row>
    <row r="746" spans="1:12" x14ac:dyDescent="0.3">
      <c r="A746" t="s">
        <v>359</v>
      </c>
      <c r="B746" t="s">
        <v>785</v>
      </c>
      <c r="C746" t="s">
        <v>576</v>
      </c>
      <c r="D746" t="s">
        <v>14</v>
      </c>
      <c r="E746" s="2">
        <v>0.73027588527209997</v>
      </c>
      <c r="F746" s="2">
        <v>0.73122914739114497</v>
      </c>
      <c r="G746" s="2">
        <v>0.76685731909047505</v>
      </c>
      <c r="H746" s="2">
        <v>0.74148372445117305</v>
      </c>
      <c r="I746" s="1">
        <v>0.754647152830347</v>
      </c>
      <c r="J746" s="1">
        <v>0.82953430341772505</v>
      </c>
      <c r="K746" s="1">
        <v>0.77264698460762005</v>
      </c>
      <c r="L746" s="1">
        <v>0.84114868085344896</v>
      </c>
    </row>
    <row r="747" spans="1:12" x14ac:dyDescent="0.3">
      <c r="A747" t="s">
        <v>359</v>
      </c>
      <c r="B747" t="s">
        <v>786</v>
      </c>
      <c r="C747" t="s">
        <v>574</v>
      </c>
      <c r="D747" t="s">
        <v>575</v>
      </c>
      <c r="E747" s="2">
        <v>0.87877737045477</v>
      </c>
      <c r="F747" s="2">
        <v>0.86683840285346203</v>
      </c>
      <c r="G747" s="2">
        <v>0.96183493510353701</v>
      </c>
      <c r="H747" s="2">
        <v>0.92843554939066597</v>
      </c>
      <c r="I747" s="1">
        <v>0.99997027642920799</v>
      </c>
      <c r="J747" s="1">
        <v>0.93392450213018896</v>
      </c>
      <c r="K747" s="1">
        <v>1</v>
      </c>
      <c r="L747" s="1">
        <v>0.943673833349846</v>
      </c>
    </row>
    <row r="748" spans="1:12" x14ac:dyDescent="0.3">
      <c r="A748" t="s">
        <v>359</v>
      </c>
      <c r="B748" t="s">
        <v>787</v>
      </c>
      <c r="C748" t="s">
        <v>574</v>
      </c>
      <c r="D748" t="s">
        <v>575</v>
      </c>
      <c r="E748" s="2">
        <v>0.79802604627711804</v>
      </c>
      <c r="F748" s="2">
        <v>0.753176287918503</v>
      </c>
      <c r="G748" s="2">
        <v>0.900160712290622</v>
      </c>
      <c r="H748" s="2">
        <v>0.87137645350086301</v>
      </c>
      <c r="I748" s="1">
        <v>0.95564011332937904</v>
      </c>
      <c r="J748" s="1">
        <v>0.90787046188311205</v>
      </c>
      <c r="K748" s="1">
        <v>0.95573321759756602</v>
      </c>
      <c r="L748" s="1">
        <v>0.91037066957724899</v>
      </c>
    </row>
    <row r="749" spans="1:12" x14ac:dyDescent="0.3">
      <c r="A749" t="s">
        <v>359</v>
      </c>
      <c r="B749" t="s">
        <v>788</v>
      </c>
      <c r="C749" t="s">
        <v>574</v>
      </c>
      <c r="D749" t="s">
        <v>575</v>
      </c>
      <c r="E749" s="2">
        <v>0.94831195275911195</v>
      </c>
      <c r="F749" s="2">
        <v>0.89258195886784697</v>
      </c>
      <c r="G749" s="2">
        <v>0.99027896558745598</v>
      </c>
      <c r="H749" s="2">
        <v>0.98590103848503297</v>
      </c>
      <c r="I749" s="1">
        <v>0.99095296273671296</v>
      </c>
      <c r="J749" s="1">
        <v>0.98663815923437104</v>
      </c>
      <c r="K749" s="1">
        <v>0.99139482793728295</v>
      </c>
      <c r="L749" s="1">
        <v>0.98827530034616096</v>
      </c>
    </row>
    <row r="750" spans="1:12" x14ac:dyDescent="0.3">
      <c r="A750" t="s">
        <v>359</v>
      </c>
      <c r="B750" t="s">
        <v>789</v>
      </c>
      <c r="C750" t="s">
        <v>574</v>
      </c>
      <c r="D750" t="s">
        <v>575</v>
      </c>
      <c r="E750" s="2">
        <v>0.56426824249434004</v>
      </c>
      <c r="F750" s="2">
        <v>0.552327738644803</v>
      </c>
      <c r="G750" s="2">
        <v>0.60042566167550004</v>
      </c>
      <c r="H750" s="2">
        <v>0.59782088857098103</v>
      </c>
      <c r="I750" s="1">
        <v>0.64854323887618603</v>
      </c>
      <c r="J750" s="1">
        <v>0.59815381829898495</v>
      </c>
      <c r="K750" s="1">
        <v>0.64930320011578002</v>
      </c>
      <c r="L750" s="1">
        <v>0.59979315475038297</v>
      </c>
    </row>
    <row r="751" spans="1:12" x14ac:dyDescent="0.3">
      <c r="A751" t="s">
        <v>359</v>
      </c>
      <c r="B751" t="s">
        <v>790</v>
      </c>
      <c r="C751" t="s">
        <v>574</v>
      </c>
      <c r="D751" t="s">
        <v>575</v>
      </c>
      <c r="E751" s="2">
        <v>0.87934321644320301</v>
      </c>
      <c r="F751" s="2">
        <v>0.88032843049014797</v>
      </c>
      <c r="G751" s="2">
        <v>0.90245800258981601</v>
      </c>
      <c r="H751" s="2">
        <v>0.88028100859594405</v>
      </c>
      <c r="I751" s="1">
        <v>0.91376280149194999</v>
      </c>
      <c r="J751" s="1">
        <v>0.90203314112949196</v>
      </c>
      <c r="K751" s="1">
        <v>0.913854741899082</v>
      </c>
      <c r="L751" s="1">
        <v>0.98128770766434503</v>
      </c>
    </row>
    <row r="752" spans="1:12" x14ac:dyDescent="0.3">
      <c r="A752" t="s">
        <v>359</v>
      </c>
      <c r="B752" t="s">
        <v>562</v>
      </c>
      <c r="C752" t="s">
        <v>574</v>
      </c>
      <c r="D752" t="s">
        <v>575</v>
      </c>
      <c r="E752" s="2">
        <v>0.82923982602111701</v>
      </c>
      <c r="F752" s="2">
        <v>0.78265506807450003</v>
      </c>
      <c r="G752" s="2">
        <v>0.92983727915807701</v>
      </c>
      <c r="H752" s="2">
        <v>0.85846912690396104</v>
      </c>
      <c r="I752" s="1">
        <v>0.93897541360762604</v>
      </c>
      <c r="J752" s="1">
        <v>0.93085342339765798</v>
      </c>
      <c r="K752" s="1">
        <v>0.93924570577113697</v>
      </c>
      <c r="L752" s="1">
        <v>0.93606997949526705</v>
      </c>
    </row>
    <row r="753" spans="1:12" x14ac:dyDescent="0.3">
      <c r="A753" t="s">
        <v>359</v>
      </c>
      <c r="B753" t="s">
        <v>563</v>
      </c>
      <c r="C753" t="s">
        <v>576</v>
      </c>
      <c r="D753" t="s">
        <v>589</v>
      </c>
      <c r="E753" s="2">
        <v>0</v>
      </c>
      <c r="F753" s="2">
        <v>0</v>
      </c>
      <c r="G753" s="2">
        <v>0</v>
      </c>
      <c r="H753" s="2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 x14ac:dyDescent="0.3">
      <c r="A754" t="s">
        <v>359</v>
      </c>
      <c r="B754" t="s">
        <v>791</v>
      </c>
      <c r="C754" t="s">
        <v>576</v>
      </c>
      <c r="D754" t="s">
        <v>577</v>
      </c>
      <c r="E754" s="2">
        <v>0.78126400424641296</v>
      </c>
      <c r="F754" s="2">
        <v>0.88205542092141898</v>
      </c>
      <c r="G754" s="2">
        <v>0.90753988626920301</v>
      </c>
      <c r="H754" s="2">
        <v>0.98438105037830403</v>
      </c>
      <c r="I754" s="1">
        <v>0.99756625232225704</v>
      </c>
      <c r="J754" s="1">
        <v>1</v>
      </c>
      <c r="K754" s="1">
        <v>0.99881983632163096</v>
      </c>
      <c r="L754" s="1">
        <v>1</v>
      </c>
    </row>
    <row r="755" spans="1:12" x14ac:dyDescent="0.3">
      <c r="A755" t="s">
        <v>359</v>
      </c>
      <c r="B755" t="s">
        <v>564</v>
      </c>
      <c r="C755" t="s">
        <v>576</v>
      </c>
      <c r="D755" t="s">
        <v>589</v>
      </c>
      <c r="E755" s="2">
        <v>0</v>
      </c>
      <c r="F755" s="2">
        <v>0</v>
      </c>
      <c r="G755" s="2">
        <v>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3">
      <c r="A756" t="s">
        <v>359</v>
      </c>
      <c r="B756" t="s">
        <v>565</v>
      </c>
      <c r="C756" t="s">
        <v>576</v>
      </c>
      <c r="D756" t="s">
        <v>589</v>
      </c>
      <c r="E756" s="2">
        <v>0</v>
      </c>
      <c r="F756" s="2">
        <v>0</v>
      </c>
      <c r="G756" s="2">
        <v>0</v>
      </c>
      <c r="H756" s="2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 x14ac:dyDescent="0.3">
      <c r="A757" t="s">
        <v>359</v>
      </c>
      <c r="B757" t="s">
        <v>566</v>
      </c>
      <c r="C757" t="s">
        <v>576</v>
      </c>
      <c r="D757" t="s">
        <v>577</v>
      </c>
      <c r="E757" s="2">
        <v>0.594801218659474</v>
      </c>
      <c r="F757" s="2">
        <v>0.73104834681849895</v>
      </c>
      <c r="G757" s="2">
        <v>0.64059534512036698</v>
      </c>
      <c r="H757" s="2">
        <v>0.85443512136649602</v>
      </c>
      <c r="I757" s="1">
        <v>0.70477324942563102</v>
      </c>
      <c r="J757" s="1">
        <v>0.89464888622515204</v>
      </c>
      <c r="K757" s="1">
        <v>0.78705923484167395</v>
      </c>
      <c r="L757" s="1">
        <v>0.89508091099790199</v>
      </c>
    </row>
    <row r="758" spans="1:12" x14ac:dyDescent="0.3">
      <c r="A758" t="s">
        <v>359</v>
      </c>
      <c r="B758" t="s">
        <v>792</v>
      </c>
      <c r="C758" t="s">
        <v>574</v>
      </c>
      <c r="D758" t="s">
        <v>575</v>
      </c>
      <c r="E758" s="2">
        <v>0.81583837522613301</v>
      </c>
      <c r="F758" s="2">
        <v>0.82263149456823703</v>
      </c>
      <c r="G758" s="2">
        <v>0.89159884933712996</v>
      </c>
      <c r="H758" s="2">
        <v>0.87889163984033503</v>
      </c>
      <c r="I758" s="1">
        <v>0.91214034953479695</v>
      </c>
      <c r="J758" s="1">
        <v>0.91634784779040301</v>
      </c>
      <c r="K758" s="1">
        <v>0.93680417780255398</v>
      </c>
      <c r="L758" s="1">
        <v>0.92065417989764997</v>
      </c>
    </row>
    <row r="759" spans="1:12" x14ac:dyDescent="0.3">
      <c r="A759" t="s">
        <v>359</v>
      </c>
      <c r="B759" t="s">
        <v>793</v>
      </c>
      <c r="C759" t="s">
        <v>574</v>
      </c>
      <c r="D759" t="s">
        <v>575</v>
      </c>
      <c r="E759" s="2">
        <v>0.67586743819304496</v>
      </c>
      <c r="F759" s="2">
        <v>0.77470068917103996</v>
      </c>
      <c r="G759" s="2">
        <v>0.72345409488579504</v>
      </c>
      <c r="H759" s="2">
        <v>0.89860211667739098</v>
      </c>
      <c r="I759" s="1">
        <v>0.91070586199900605</v>
      </c>
      <c r="J759" s="1">
        <v>0.91176071563261896</v>
      </c>
      <c r="K759" s="1">
        <v>0.91123857864229396</v>
      </c>
      <c r="L759" s="1">
        <v>0.91171964168582398</v>
      </c>
    </row>
    <row r="760" spans="1:12" x14ac:dyDescent="0.3">
      <c r="A760" t="s">
        <v>359</v>
      </c>
      <c r="B760" t="s">
        <v>794</v>
      </c>
      <c r="C760" t="s">
        <v>576</v>
      </c>
      <c r="D760" t="s">
        <v>577</v>
      </c>
      <c r="E760" s="2">
        <v>0.59820820617158299</v>
      </c>
      <c r="F760" s="2">
        <v>0.81127975584944001</v>
      </c>
      <c r="G760" s="2">
        <v>0.68112987453373997</v>
      </c>
      <c r="H760" s="2">
        <v>0.97487555103424794</v>
      </c>
      <c r="I760" s="1">
        <v>0.70169820278060302</v>
      </c>
      <c r="J760" s="1">
        <v>0.98478535096642905</v>
      </c>
      <c r="K760" s="1">
        <v>0.73988606307222704</v>
      </c>
      <c r="L760" s="1">
        <v>0.98548524923702896</v>
      </c>
    </row>
    <row r="761" spans="1:12" x14ac:dyDescent="0.3">
      <c r="A761" t="s">
        <v>359</v>
      </c>
      <c r="B761" t="s">
        <v>795</v>
      </c>
      <c r="C761" t="s">
        <v>574</v>
      </c>
      <c r="D761" t="s">
        <v>575</v>
      </c>
      <c r="E761" s="2">
        <v>0.69377761870018295</v>
      </c>
      <c r="F761" s="2">
        <v>0.653827728142509</v>
      </c>
      <c r="G761" s="2">
        <v>0.79655153425751302</v>
      </c>
      <c r="H761" s="2">
        <v>0.79084814361035705</v>
      </c>
      <c r="I761" s="1">
        <v>0.88123098525625998</v>
      </c>
      <c r="J761" s="1">
        <v>0.88614694180972098</v>
      </c>
      <c r="K761" s="1">
        <v>0.88530581902782102</v>
      </c>
      <c r="L761" s="1">
        <v>0.90044465246899097</v>
      </c>
    </row>
    <row r="762" spans="1:12" x14ac:dyDescent="0.3">
      <c r="A762" t="s">
        <v>359</v>
      </c>
      <c r="B762" t="s">
        <v>567</v>
      </c>
      <c r="C762" t="s">
        <v>574</v>
      </c>
      <c r="D762" t="s">
        <v>575</v>
      </c>
      <c r="E762" s="2">
        <v>0</v>
      </c>
      <c r="F762" s="2">
        <v>0</v>
      </c>
      <c r="G762" s="2">
        <v>0</v>
      </c>
      <c r="H762" s="2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3">
      <c r="A763" t="s">
        <v>359</v>
      </c>
      <c r="B763" t="s">
        <v>796</v>
      </c>
      <c r="C763" t="s">
        <v>576</v>
      </c>
      <c r="D763" t="s">
        <v>14</v>
      </c>
      <c r="E763" s="2">
        <v>1</v>
      </c>
      <c r="F763" s="2">
        <v>1</v>
      </c>
      <c r="G763" s="2">
        <v>1</v>
      </c>
      <c r="H763" s="2">
        <v>1</v>
      </c>
      <c r="I763" s="1">
        <v>1</v>
      </c>
      <c r="J763" s="1">
        <v>1</v>
      </c>
      <c r="K763" s="1">
        <v>1</v>
      </c>
      <c r="L763" s="1">
        <v>1</v>
      </c>
    </row>
    <row r="764" spans="1:12" x14ac:dyDescent="0.3">
      <c r="A764" t="s">
        <v>359</v>
      </c>
      <c r="B764" t="s">
        <v>797</v>
      </c>
      <c r="C764" t="s">
        <v>576</v>
      </c>
      <c r="D764" t="s">
        <v>14</v>
      </c>
      <c r="E764" s="2">
        <v>0</v>
      </c>
      <c r="F764" s="2">
        <v>0</v>
      </c>
      <c r="G764" s="2">
        <v>0</v>
      </c>
      <c r="H764" s="2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 x14ac:dyDescent="0.3">
      <c r="A765" t="s">
        <v>359</v>
      </c>
      <c r="B765" t="s">
        <v>798</v>
      </c>
      <c r="C765" t="s">
        <v>576</v>
      </c>
      <c r="D765" t="s">
        <v>14</v>
      </c>
      <c r="E765" s="2">
        <v>1</v>
      </c>
      <c r="F765" s="2">
        <v>1</v>
      </c>
      <c r="G765" s="2">
        <v>1</v>
      </c>
      <c r="H765" s="2">
        <v>1</v>
      </c>
      <c r="I765" s="1">
        <v>1</v>
      </c>
      <c r="J765" s="1">
        <v>1</v>
      </c>
      <c r="K765" s="1">
        <v>1</v>
      </c>
      <c r="L765" s="1">
        <v>1</v>
      </c>
    </row>
    <row r="766" spans="1:12" x14ac:dyDescent="0.3">
      <c r="A766" t="s">
        <v>359</v>
      </c>
      <c r="B766" t="s">
        <v>568</v>
      </c>
      <c r="C766" t="s">
        <v>574</v>
      </c>
      <c r="D766" t="s">
        <v>575</v>
      </c>
      <c r="E766" s="2">
        <v>0</v>
      </c>
      <c r="F766" s="2">
        <v>0</v>
      </c>
      <c r="G766" s="2">
        <v>0</v>
      </c>
      <c r="H766" s="2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 x14ac:dyDescent="0.3">
      <c r="A767" t="s">
        <v>359</v>
      </c>
      <c r="B767" t="s">
        <v>569</v>
      </c>
      <c r="C767" t="s">
        <v>576</v>
      </c>
      <c r="D767" t="s">
        <v>583</v>
      </c>
      <c r="E767" s="2">
        <v>0.77419520021848198</v>
      </c>
      <c r="F767" s="2">
        <v>0.89490094334254999</v>
      </c>
      <c r="G767" s="2">
        <v>0.97882030974407996</v>
      </c>
      <c r="H767" s="2">
        <v>0.99832155577555504</v>
      </c>
      <c r="I767" s="1">
        <v>0.998950261154542</v>
      </c>
      <c r="J767" s="1">
        <v>1</v>
      </c>
      <c r="K767" s="1">
        <v>1</v>
      </c>
      <c r="L767" s="1">
        <v>1</v>
      </c>
    </row>
    <row r="768" spans="1:12" x14ac:dyDescent="0.3">
      <c r="A768" t="s">
        <v>359</v>
      </c>
      <c r="B768" t="s">
        <v>570</v>
      </c>
      <c r="C768" t="s">
        <v>576</v>
      </c>
      <c r="D768" t="s">
        <v>577</v>
      </c>
      <c r="E768" s="2">
        <v>0.93391339538648299</v>
      </c>
      <c r="F768" s="2">
        <v>0.99113719142047696</v>
      </c>
      <c r="G768" s="2">
        <v>0.99897477404559498</v>
      </c>
      <c r="H768" s="2">
        <v>1</v>
      </c>
      <c r="I768" s="1">
        <v>0.99913665182787004</v>
      </c>
      <c r="J768" s="1">
        <v>1</v>
      </c>
      <c r="K768" s="1">
        <v>0.99946040739241804</v>
      </c>
      <c r="L768" s="1">
        <v>1</v>
      </c>
    </row>
    <row r="769" spans="1:12" x14ac:dyDescent="0.3">
      <c r="A769" t="s">
        <v>359</v>
      </c>
      <c r="B769" t="s">
        <v>571</v>
      </c>
      <c r="C769" t="s">
        <v>576</v>
      </c>
      <c r="D769" t="s">
        <v>14</v>
      </c>
      <c r="E769" s="2">
        <v>0.86537301912733</v>
      </c>
      <c r="F769" s="2">
        <v>0.93701005812971805</v>
      </c>
      <c r="G769" s="2">
        <v>0.89898453894208696</v>
      </c>
      <c r="H769" s="2">
        <v>0.96673822330495096</v>
      </c>
      <c r="I769" s="1">
        <v>0.95411129067271205</v>
      </c>
      <c r="J769" s="1">
        <v>0.96058756844111004</v>
      </c>
      <c r="K769" s="1">
        <v>0.982898767457005</v>
      </c>
      <c r="L769" s="1">
        <v>0.99351166212402597</v>
      </c>
    </row>
    <row r="770" spans="1:12" x14ac:dyDescent="0.3">
      <c r="A770" t="s">
        <v>359</v>
      </c>
      <c r="B770" t="s">
        <v>572</v>
      </c>
      <c r="C770" t="s">
        <v>574</v>
      </c>
      <c r="D770" t="s">
        <v>575</v>
      </c>
      <c r="E770" s="2">
        <v>0.88825494381020798</v>
      </c>
      <c r="F770" s="2">
        <v>0.848826385866287</v>
      </c>
      <c r="G770" s="2">
        <v>0.90338921722349497</v>
      </c>
      <c r="H770" s="2">
        <v>0.90286612513306697</v>
      </c>
      <c r="I770" s="1">
        <v>0.91026151982505898</v>
      </c>
      <c r="J770" s="1">
        <v>0.90677686123769596</v>
      </c>
      <c r="K770" s="1">
        <v>0.90919304851253002</v>
      </c>
      <c r="L770" s="1">
        <v>0.91374224538918503</v>
      </c>
    </row>
    <row r="771" spans="1:12" x14ac:dyDescent="0.3">
      <c r="A771" t="s">
        <v>359</v>
      </c>
      <c r="B771" t="s">
        <v>573</v>
      </c>
      <c r="C771" t="s">
        <v>576</v>
      </c>
      <c r="D771" t="s">
        <v>577</v>
      </c>
      <c r="E771" s="2">
        <v>0.88403579809506205</v>
      </c>
      <c r="F771" s="2">
        <v>0.87392444669396696</v>
      </c>
      <c r="G771" s="2">
        <v>0.90681222104633497</v>
      </c>
      <c r="H771" s="2">
        <v>0.904856669580821</v>
      </c>
      <c r="I771" s="1">
        <v>0.91800487737541903</v>
      </c>
      <c r="J771" s="1">
        <v>1</v>
      </c>
      <c r="K771" s="1">
        <v>0.91800487737541903</v>
      </c>
      <c r="L771" s="1">
        <v>1</v>
      </c>
    </row>
    <row r="772" spans="1:12" x14ac:dyDescent="0.3">
      <c r="A772" t="s">
        <v>359</v>
      </c>
      <c r="B772" t="s">
        <v>799</v>
      </c>
      <c r="C772" t="s">
        <v>576</v>
      </c>
      <c r="D772" t="s">
        <v>589</v>
      </c>
      <c r="E772" s="2">
        <v>1</v>
      </c>
      <c r="F772" s="2">
        <v>1</v>
      </c>
      <c r="G772" s="2">
        <v>1</v>
      </c>
      <c r="H772" s="2">
        <v>1</v>
      </c>
      <c r="I772" s="1">
        <v>1</v>
      </c>
      <c r="J772" s="1">
        <v>1</v>
      </c>
      <c r="K772" s="1">
        <v>1</v>
      </c>
      <c r="L772" s="1">
        <v>1</v>
      </c>
    </row>
    <row r="773" spans="1:12" x14ac:dyDescent="0.3">
      <c r="A773" t="s">
        <v>359</v>
      </c>
      <c r="B773" t="s">
        <v>800</v>
      </c>
      <c r="C773" t="s">
        <v>574</v>
      </c>
      <c r="D773" t="s">
        <v>575</v>
      </c>
      <c r="E773" s="2">
        <v>0.5</v>
      </c>
      <c r="F773" s="2">
        <v>1</v>
      </c>
      <c r="G773" s="2">
        <v>0.5</v>
      </c>
      <c r="H773" s="2">
        <v>1</v>
      </c>
      <c r="I773" s="1">
        <v>0.5</v>
      </c>
      <c r="J773" s="1">
        <v>1</v>
      </c>
      <c r="K773" s="1">
        <v>0.5</v>
      </c>
      <c r="L773" s="1">
        <v>1</v>
      </c>
    </row>
    <row r="774" spans="1:12" x14ac:dyDescent="0.3">
      <c r="A774" t="s">
        <v>359</v>
      </c>
      <c r="B774" t="s">
        <v>801</v>
      </c>
      <c r="C774" t="s">
        <v>574</v>
      </c>
      <c r="D774" t="s">
        <v>575</v>
      </c>
      <c r="E774" s="2">
        <v>0.73626513994760601</v>
      </c>
      <c r="F774" s="2">
        <v>0.746859780679344</v>
      </c>
      <c r="G774" s="2">
        <v>0.80662104131533297</v>
      </c>
      <c r="H774" s="2">
        <v>0.81141812688464798</v>
      </c>
      <c r="I774" s="1">
        <v>0.83293043819829804</v>
      </c>
      <c r="J774" s="1">
        <v>0.84710572637784198</v>
      </c>
      <c r="K774" s="1">
        <v>0.84305363993726901</v>
      </c>
      <c r="L774" s="1">
        <v>0.85225168418534403</v>
      </c>
    </row>
  </sheetData>
  <autoFilter ref="A2:L774" xr:uid="{7EF2BBAE-C733-4758-889D-E5C10E40F94B}"/>
  <mergeCells count="4">
    <mergeCell ref="E1:F1"/>
    <mergeCell ref="G1:H1"/>
    <mergeCell ref="I1:J1"/>
    <mergeCell ref="K1:L1"/>
  </mergeCells>
  <phoneticPr fontId="18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F722-0702-4A5B-8BF7-F2EA2080844E}">
  <dimension ref="A1:U786"/>
  <sheetViews>
    <sheetView zoomScale="70" zoomScaleNormal="70" workbookViewId="0">
      <selection activeCell="O4" sqref="O4"/>
    </sheetView>
  </sheetViews>
  <sheetFormatPr defaultRowHeight="14.4" x14ac:dyDescent="0.3"/>
  <cols>
    <col min="1" max="1" width="12.77734375" customWidth="1"/>
    <col min="2" max="2" width="21.5546875" customWidth="1"/>
    <col min="3" max="3" width="15.5546875" customWidth="1"/>
    <col min="4" max="4" width="20.77734375" customWidth="1"/>
    <col min="5" max="5" width="10" style="2" bestFit="1" customWidth="1"/>
    <col min="6" max="6" width="8.88671875" style="2"/>
    <col min="7" max="7" width="11" style="2" bestFit="1" customWidth="1"/>
    <col min="8" max="8" width="10.6640625" style="2" bestFit="1" customWidth="1"/>
    <col min="9" max="10" width="12" style="1" bestFit="1" customWidth="1"/>
    <col min="11" max="11" width="12" style="1" customWidth="1"/>
    <col min="12" max="12" width="8.88671875" style="1"/>
    <col min="18" max="18" width="9" style="8" customWidth="1"/>
    <col min="19" max="19" width="8.88671875" style="8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841</v>
      </c>
      <c r="L1" s="1" t="s">
        <v>842</v>
      </c>
      <c r="P1" t="s">
        <v>823</v>
      </c>
      <c r="Q1" t="s">
        <v>823</v>
      </c>
      <c r="R1" s="8" t="s">
        <v>824</v>
      </c>
      <c r="S1" s="8" t="s">
        <v>824</v>
      </c>
      <c r="T1" t="s">
        <v>836</v>
      </c>
      <c r="U1" t="s">
        <v>836</v>
      </c>
    </row>
    <row r="2" spans="1:21" x14ac:dyDescent="0.3">
      <c r="A2" t="s">
        <v>10</v>
      </c>
      <c r="B2" t="s">
        <v>11</v>
      </c>
      <c r="C2" t="s">
        <v>574</v>
      </c>
      <c r="D2" t="s">
        <v>575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P2" s="1">
        <f>I2-'Passo 2'!I2</f>
        <v>0</v>
      </c>
      <c r="Q2" s="1">
        <f>J2-'Passo 2'!J2</f>
        <v>0</v>
      </c>
      <c r="R2" s="8">
        <f>I2*E2</f>
        <v>0</v>
      </c>
      <c r="S2" s="8">
        <f t="shared" ref="S2:S65" si="0">J2*E2</f>
        <v>0</v>
      </c>
      <c r="T2" s="1">
        <f>K2*E2</f>
        <v>0</v>
      </c>
      <c r="U2" s="1">
        <f>L2*E2</f>
        <v>0</v>
      </c>
    </row>
    <row r="3" spans="1:21" x14ac:dyDescent="0.3">
      <c r="A3" t="s">
        <v>10</v>
      </c>
      <c r="B3" t="s">
        <v>12</v>
      </c>
      <c r="C3" t="s">
        <v>576</v>
      </c>
      <c r="D3" t="s">
        <v>577</v>
      </c>
      <c r="E3" s="2">
        <v>143.99</v>
      </c>
      <c r="F3" s="2">
        <v>0</v>
      </c>
      <c r="G3" s="2">
        <v>19.7573333333333</v>
      </c>
      <c r="H3" s="2">
        <v>-19.55</v>
      </c>
      <c r="I3" s="1">
        <v>0.91163969720119398</v>
      </c>
      <c r="J3" s="1">
        <v>0.90731995277449795</v>
      </c>
      <c r="K3" s="1">
        <v>0.61618694500989002</v>
      </c>
      <c r="L3" s="1">
        <v>0.70277270496580202</v>
      </c>
      <c r="P3" s="1">
        <f>I3-'Passo 2'!I3</f>
        <v>0.10155566358774892</v>
      </c>
      <c r="Q3" s="1">
        <f>J3-'Passo 2'!J3</f>
        <v>-7.0143759983309906E-4</v>
      </c>
      <c r="R3" s="8">
        <f t="shared" ref="R3:R66" si="1">I3*E3</f>
        <v>131.26699999999994</v>
      </c>
      <c r="S3" s="8">
        <f t="shared" si="0"/>
        <v>130.64499999999998</v>
      </c>
      <c r="T3" s="1">
        <f t="shared" ref="T3:T66" si="2">K3*E3</f>
        <v>88.724758211974063</v>
      </c>
      <c r="U3" s="1">
        <f t="shared" ref="U3:U66" si="3">L3*E3</f>
        <v>101.19224178802584</v>
      </c>
    </row>
    <row r="4" spans="1:21" x14ac:dyDescent="0.3">
      <c r="A4" t="s">
        <v>10</v>
      </c>
      <c r="B4" t="s">
        <v>13</v>
      </c>
      <c r="C4" t="s">
        <v>576</v>
      </c>
      <c r="D4" t="s">
        <v>14</v>
      </c>
      <c r="E4" s="2">
        <v>16.018000000000001</v>
      </c>
      <c r="F4" s="2">
        <v>0</v>
      </c>
      <c r="G4" s="2">
        <v>1.5741666666666601</v>
      </c>
      <c r="H4" s="2">
        <v>-2.4963333333333302</v>
      </c>
      <c r="I4" s="1">
        <v>0.79482457235609905</v>
      </c>
      <c r="J4" s="1">
        <v>0.96753652141340996</v>
      </c>
      <c r="K4" s="1">
        <v>0.63090054483608804</v>
      </c>
      <c r="L4" s="1">
        <v>0.63146054893341996</v>
      </c>
      <c r="M4" s="1">
        <f>(E4-F4+G4*4)/(2*E4)</f>
        <v>0.69654971490406536</v>
      </c>
      <c r="N4" s="1">
        <f>(E4-F4-H4*4)/(2*E4)</f>
        <v>0.8116910142756063</v>
      </c>
      <c r="P4" s="1">
        <f>I4-'Passo 2'!I4</f>
        <v>-1.4951929079784931E-2</v>
      </c>
      <c r="Q4" s="1">
        <f>J4-'Passo 2'!J4</f>
        <v>0.20576851042577193</v>
      </c>
      <c r="R4" s="8">
        <f t="shared" si="1"/>
        <v>12.731499999999995</v>
      </c>
      <c r="S4" s="8">
        <f t="shared" si="0"/>
        <v>15.498000000000001</v>
      </c>
      <c r="T4" s="1">
        <f t="shared" si="2"/>
        <v>10.105764927184458</v>
      </c>
      <c r="U4" s="1">
        <f t="shared" si="3"/>
        <v>10.114735072815522</v>
      </c>
    </row>
    <row r="5" spans="1:21" x14ac:dyDescent="0.3">
      <c r="A5" t="s">
        <v>10</v>
      </c>
      <c r="B5" t="s">
        <v>15</v>
      </c>
      <c r="C5" t="s">
        <v>574</v>
      </c>
      <c r="D5" t="s">
        <v>575</v>
      </c>
      <c r="E5" s="2">
        <v>244.435</v>
      </c>
      <c r="F5" s="2">
        <v>3.8879999999999999</v>
      </c>
      <c r="G5" s="2">
        <v>31.396833333333301</v>
      </c>
      <c r="H5" s="2">
        <v>-29.899000000000001</v>
      </c>
      <c r="I5" s="1">
        <v>0.87738662630147002</v>
      </c>
      <c r="J5" s="1">
        <v>0.859003416041074</v>
      </c>
      <c r="K5" s="1">
        <v>0.73240694940574602</v>
      </c>
      <c r="L5" s="1">
        <v>0.51193612748586104</v>
      </c>
      <c r="P5" s="1">
        <f>I5-'Passo 2'!I5</f>
        <v>-1.4408738519443021E-2</v>
      </c>
      <c r="Q5" s="1">
        <f>J5-'Passo 2'!J5</f>
        <v>5.2079284881459964E-3</v>
      </c>
      <c r="R5" s="8">
        <f t="shared" si="1"/>
        <v>214.46399999999983</v>
      </c>
      <c r="S5" s="8">
        <f t="shared" si="0"/>
        <v>209.97049999999993</v>
      </c>
      <c r="T5" s="1">
        <f t="shared" si="2"/>
        <v>179.02589267799354</v>
      </c>
      <c r="U5" s="1">
        <f t="shared" si="3"/>
        <v>125.13510732200645</v>
      </c>
    </row>
    <row r="6" spans="1:21" x14ac:dyDescent="0.3">
      <c r="A6" t="s">
        <v>10</v>
      </c>
      <c r="B6" t="s">
        <v>16</v>
      </c>
      <c r="C6" t="s">
        <v>574</v>
      </c>
      <c r="D6" t="s">
        <v>575</v>
      </c>
      <c r="E6" s="2">
        <v>10963.710999999999</v>
      </c>
      <c r="F6" s="2">
        <v>0</v>
      </c>
      <c r="G6" s="2">
        <v>1584.35733333333</v>
      </c>
      <c r="H6" s="2">
        <v>-1466.29033333333</v>
      </c>
      <c r="I6" s="1">
        <v>0.93352766230339301</v>
      </c>
      <c r="J6" s="1">
        <v>0.90122099168794201</v>
      </c>
      <c r="K6" s="1">
        <v>0.76079365019447398</v>
      </c>
      <c r="L6" s="1">
        <v>0.57395500379686104</v>
      </c>
      <c r="P6" s="1">
        <f>I6-'Passo 2'!I6</f>
        <v>0.16142590770588505</v>
      </c>
      <c r="Q6" s="1">
        <f>J6-'Passo 2'!J6</f>
        <v>0.12540557663367802</v>
      </c>
      <c r="R6" s="8">
        <f t="shared" si="1"/>
        <v>10234.927499999994</v>
      </c>
      <c r="S6" s="8">
        <f t="shared" si="0"/>
        <v>9880.726499999997</v>
      </c>
      <c r="T6" s="1">
        <f t="shared" si="2"/>
        <v>8341.1217113673065</v>
      </c>
      <c r="U6" s="1">
        <f t="shared" si="3"/>
        <v>6292.676788632687</v>
      </c>
    </row>
    <row r="7" spans="1:21" x14ac:dyDescent="0.3">
      <c r="A7" t="s">
        <v>10</v>
      </c>
      <c r="B7" t="s">
        <v>17</v>
      </c>
      <c r="C7" t="s">
        <v>576</v>
      </c>
      <c r="D7" t="s">
        <v>14</v>
      </c>
      <c r="E7" s="2">
        <v>11.031000000000001</v>
      </c>
      <c r="F7" s="2">
        <v>0</v>
      </c>
      <c r="G7" s="2">
        <v>1.7351666666666601</v>
      </c>
      <c r="H7" s="2">
        <v>-1.78466666666666</v>
      </c>
      <c r="I7" s="1">
        <v>0.97189738011059701</v>
      </c>
      <c r="J7" s="1">
        <v>0.985359441573746</v>
      </c>
      <c r="K7" s="1">
        <v>0.65116219251482799</v>
      </c>
      <c r="L7" s="1">
        <v>0.80609462916951602</v>
      </c>
      <c r="P7" s="1">
        <f>I7-'Passo 2'!I7</f>
        <v>-2.9009156014869752E-3</v>
      </c>
      <c r="Q7" s="1">
        <f>J7-'Passo 2'!J7</f>
        <v>0</v>
      </c>
      <c r="R7" s="8">
        <f t="shared" si="1"/>
        <v>10.720999999999997</v>
      </c>
      <c r="S7" s="8">
        <f t="shared" si="0"/>
        <v>10.869499999999993</v>
      </c>
      <c r="T7" s="1">
        <f t="shared" si="2"/>
        <v>7.1829701456310682</v>
      </c>
      <c r="U7" s="1">
        <f t="shared" si="3"/>
        <v>8.892029854368932</v>
      </c>
    </row>
    <row r="8" spans="1:21" x14ac:dyDescent="0.3">
      <c r="A8" t="s">
        <v>10</v>
      </c>
      <c r="B8" t="s">
        <v>578</v>
      </c>
      <c r="C8" t="s">
        <v>574</v>
      </c>
      <c r="D8" t="s">
        <v>575</v>
      </c>
      <c r="E8" s="2">
        <v>214.44900000000001</v>
      </c>
      <c r="F8" s="2">
        <v>0</v>
      </c>
      <c r="G8" s="2">
        <v>27.805166666666601</v>
      </c>
      <c r="H8" s="2">
        <v>-26.1419999999999</v>
      </c>
      <c r="I8" s="1">
        <v>0.888975933671875</v>
      </c>
      <c r="J8" s="1">
        <v>0.86570932949092705</v>
      </c>
      <c r="K8" s="1">
        <v>0.64518902782703003</v>
      </c>
      <c r="L8" s="1">
        <v>0.60949623533577202</v>
      </c>
      <c r="P8" s="1">
        <f>I8-'Passo 2'!I8</f>
        <v>4.1895742111177969E-2</v>
      </c>
      <c r="Q8" s="1">
        <f>J8-'Passo 2'!J8</f>
        <v>1.2543774976800925E-3</v>
      </c>
      <c r="R8" s="8">
        <f t="shared" si="1"/>
        <v>190.63999999999993</v>
      </c>
      <c r="S8" s="8">
        <f t="shared" si="0"/>
        <v>185.65049999999982</v>
      </c>
      <c r="T8" s="1">
        <f t="shared" si="2"/>
        <v>138.36014182847876</v>
      </c>
      <c r="U8" s="1">
        <f t="shared" si="3"/>
        <v>130.70585817152099</v>
      </c>
    </row>
    <row r="9" spans="1:21" x14ac:dyDescent="0.3">
      <c r="A9" t="s">
        <v>10</v>
      </c>
      <c r="B9" t="s">
        <v>579</v>
      </c>
      <c r="C9" t="s">
        <v>576</v>
      </c>
      <c r="D9" t="s">
        <v>14</v>
      </c>
      <c r="E9" s="2">
        <v>10.714</v>
      </c>
      <c r="F9" s="2">
        <v>0</v>
      </c>
      <c r="G9" s="2">
        <v>1.7351666666666601</v>
      </c>
      <c r="H9" s="2">
        <v>-1.73016666666666</v>
      </c>
      <c r="I9" s="1">
        <v>0.985859622923277</v>
      </c>
      <c r="J9" s="1">
        <v>0.98445958558894897</v>
      </c>
      <c r="K9" s="1">
        <v>0.67025076979399001</v>
      </c>
      <c r="L9" s="1">
        <v>0.80006843871823596</v>
      </c>
      <c r="P9" s="1">
        <f>I9-'Passo 2'!I9</f>
        <v>6.0201605376140055E-3</v>
      </c>
      <c r="Q9" s="1">
        <f>J9-'Passo 2'!J9</f>
        <v>1.4000373343289185E-3</v>
      </c>
      <c r="R9" s="8">
        <f t="shared" si="1"/>
        <v>10.562499999999989</v>
      </c>
      <c r="S9" s="8">
        <f t="shared" si="0"/>
        <v>10.547499999999999</v>
      </c>
      <c r="T9" s="1">
        <f t="shared" si="2"/>
        <v>7.1810667475728094</v>
      </c>
      <c r="U9" s="1">
        <f t="shared" si="3"/>
        <v>8.571933252427181</v>
      </c>
    </row>
    <row r="10" spans="1:21" x14ac:dyDescent="0.3">
      <c r="A10" t="s">
        <v>10</v>
      </c>
      <c r="B10" t="s">
        <v>18</v>
      </c>
      <c r="C10" t="s">
        <v>574</v>
      </c>
      <c r="D10" t="s">
        <v>575</v>
      </c>
      <c r="E10" s="2">
        <v>74.23</v>
      </c>
      <c r="F10" s="2">
        <v>0</v>
      </c>
      <c r="G10" s="2">
        <v>11.8303333333333</v>
      </c>
      <c r="H10" s="2">
        <v>-12.020166666666601</v>
      </c>
      <c r="I10" s="1">
        <v>0.97812205307827005</v>
      </c>
      <c r="J10" s="1">
        <v>0.98579415330728803</v>
      </c>
      <c r="K10" s="1">
        <v>0.59836022648053899</v>
      </c>
      <c r="L10" s="1">
        <v>0.86555597990501798</v>
      </c>
      <c r="P10" s="1">
        <f>I10-'Passo 2'!I10</f>
        <v>-2.8964030715339373E-3</v>
      </c>
      <c r="Q10" s="1">
        <f>J10-'Passo 2'!J10</f>
        <v>1.5519331806548076E-2</v>
      </c>
      <c r="R10" s="8">
        <f t="shared" si="1"/>
        <v>72.605999999999995</v>
      </c>
      <c r="S10" s="8">
        <f t="shared" si="0"/>
        <v>73.1755</v>
      </c>
      <c r="T10" s="1">
        <f t="shared" si="2"/>
        <v>44.41627961165041</v>
      </c>
      <c r="U10" s="1">
        <f t="shared" si="3"/>
        <v>64.25022038834949</v>
      </c>
    </row>
    <row r="11" spans="1:21" x14ac:dyDescent="0.3">
      <c r="A11" t="s">
        <v>10</v>
      </c>
      <c r="B11" t="s">
        <v>19</v>
      </c>
      <c r="C11" t="s">
        <v>580</v>
      </c>
      <c r="D11" t="s">
        <v>581</v>
      </c>
      <c r="E11" s="2">
        <v>414.096</v>
      </c>
      <c r="F11" s="2">
        <v>0</v>
      </c>
      <c r="G11" s="2">
        <v>67.027833333333305</v>
      </c>
      <c r="H11" s="2">
        <v>-67.609833333333299</v>
      </c>
      <c r="I11" s="1">
        <v>0.98559633514933698</v>
      </c>
      <c r="J11" s="1">
        <v>0.98981274873459302</v>
      </c>
      <c r="K11" s="1">
        <v>0.76651745639020696</v>
      </c>
      <c r="L11" s="1">
        <v>0.70889162749372303</v>
      </c>
      <c r="P11" s="1">
        <f>I11-'Passo 2'!I11</f>
        <v>2.3587525597928982E-2</v>
      </c>
      <c r="Q11" s="1">
        <f>J11-'Passo 2'!J11</f>
        <v>4.0455594837912057E-2</v>
      </c>
      <c r="R11" s="8">
        <f t="shared" si="1"/>
        <v>408.13149999999985</v>
      </c>
      <c r="S11" s="8">
        <f t="shared" si="0"/>
        <v>409.87750000000005</v>
      </c>
      <c r="T11" s="1">
        <f t="shared" si="2"/>
        <v>317.41181262135916</v>
      </c>
      <c r="U11" s="1">
        <f t="shared" si="3"/>
        <v>293.54918737864074</v>
      </c>
    </row>
    <row r="12" spans="1:21" x14ac:dyDescent="0.3">
      <c r="A12" t="s">
        <v>10</v>
      </c>
      <c r="B12" t="s">
        <v>20</v>
      </c>
      <c r="C12" t="s">
        <v>576</v>
      </c>
      <c r="D12" t="s">
        <v>577</v>
      </c>
      <c r="E12" s="2">
        <v>83.188000000000002</v>
      </c>
      <c r="F12" s="2">
        <v>0</v>
      </c>
      <c r="G12" s="2">
        <v>11.9906666666666</v>
      </c>
      <c r="H12" s="2">
        <v>-11.991166666666601</v>
      </c>
      <c r="I12" s="1">
        <v>0.93241813723133105</v>
      </c>
      <c r="J12" s="1">
        <v>0.93243616867817403</v>
      </c>
      <c r="K12" s="1">
        <v>0.52315174411746901</v>
      </c>
      <c r="L12" s="1">
        <v>0.84170256179203695</v>
      </c>
      <c r="P12" s="1">
        <f>I12-'Passo 2'!I12</f>
        <v>1.1684377554455061E-2</v>
      </c>
      <c r="Q12" s="1">
        <f>J12-'Passo 2'!J12</f>
        <v>1.5026205702706186E-4</v>
      </c>
      <c r="R12" s="8">
        <f t="shared" si="1"/>
        <v>77.565999999999974</v>
      </c>
      <c r="S12" s="8">
        <f t="shared" si="0"/>
        <v>77.567499999999939</v>
      </c>
      <c r="T12" s="1">
        <f t="shared" si="2"/>
        <v>43.519947289644016</v>
      </c>
      <c r="U12" s="1">
        <f t="shared" si="3"/>
        <v>70.019552710355967</v>
      </c>
    </row>
    <row r="13" spans="1:21" x14ac:dyDescent="0.3">
      <c r="A13" t="s">
        <v>10</v>
      </c>
      <c r="B13" t="s">
        <v>582</v>
      </c>
      <c r="C13" t="s">
        <v>574</v>
      </c>
      <c r="D13" t="s">
        <v>575</v>
      </c>
      <c r="E13" s="2">
        <v>43.667999999999999</v>
      </c>
      <c r="F13" s="2">
        <v>0.17399999999999999</v>
      </c>
      <c r="G13" s="2">
        <v>6.8296666666666601</v>
      </c>
      <c r="H13" s="2">
        <v>-6.7679999999999998</v>
      </c>
      <c r="I13" s="1">
        <v>0.96720710817990296</v>
      </c>
      <c r="J13" s="1">
        <v>0.96297059631766901</v>
      </c>
      <c r="K13" s="1">
        <v>0.613950652362797</v>
      </c>
      <c r="L13" s="1">
        <v>0.81821935771322996</v>
      </c>
      <c r="P13" s="1">
        <f>I13-'Passo 2'!I13</f>
        <v>-4.5800128240303106E-4</v>
      </c>
      <c r="Q13" s="1">
        <f>J13-'Passo 2'!J13</f>
        <v>-4.2250618301730158E-3</v>
      </c>
      <c r="R13" s="8">
        <f t="shared" si="1"/>
        <v>42.236000000000004</v>
      </c>
      <c r="S13" s="8">
        <f t="shared" si="0"/>
        <v>42.050999999999966</v>
      </c>
      <c r="T13" s="1">
        <f t="shared" si="2"/>
        <v>26.809997087378619</v>
      </c>
      <c r="U13" s="1">
        <f t="shared" si="3"/>
        <v>35.730002912621323</v>
      </c>
    </row>
    <row r="14" spans="1:21" x14ac:dyDescent="0.3">
      <c r="A14" t="s">
        <v>10</v>
      </c>
      <c r="B14" t="s">
        <v>21</v>
      </c>
      <c r="C14" t="s">
        <v>576</v>
      </c>
      <c r="D14" t="s">
        <v>583</v>
      </c>
      <c r="E14" s="2">
        <v>40.799999999999997</v>
      </c>
      <c r="F14" s="2">
        <v>0</v>
      </c>
      <c r="G14" s="2">
        <v>6.7733333333333299</v>
      </c>
      <c r="H14" s="2">
        <v>-6.8</v>
      </c>
      <c r="I14" s="1">
        <v>0.99803921568627396</v>
      </c>
      <c r="J14" s="1">
        <v>1</v>
      </c>
      <c r="K14" s="1">
        <v>0.926362125995015</v>
      </c>
      <c r="L14" s="1">
        <v>0.57167708969125897</v>
      </c>
      <c r="P14" s="1">
        <f>I14-'Passo 2'!I14</f>
        <v>1.9595588235293948E-2</v>
      </c>
      <c r="Q14" s="1">
        <f>J14-'Passo 2'!J14</f>
        <v>9.926470588236036E-3</v>
      </c>
      <c r="R14" s="8">
        <f t="shared" si="1"/>
        <v>40.719999999999978</v>
      </c>
      <c r="S14" s="8">
        <f t="shared" si="0"/>
        <v>40.799999999999997</v>
      </c>
      <c r="T14" s="1">
        <f t="shared" si="2"/>
        <v>37.795574740596606</v>
      </c>
      <c r="U14" s="1">
        <f t="shared" si="3"/>
        <v>23.324425259403363</v>
      </c>
    </row>
    <row r="15" spans="1:21" x14ac:dyDescent="0.3">
      <c r="A15" t="s">
        <v>10</v>
      </c>
      <c r="B15" t="s">
        <v>22</v>
      </c>
      <c r="C15" t="s">
        <v>574</v>
      </c>
      <c r="D15" t="s">
        <v>575</v>
      </c>
      <c r="E15" s="2">
        <v>1100.02</v>
      </c>
      <c r="F15" s="2">
        <v>0</v>
      </c>
      <c r="G15" s="2">
        <v>180.31200000000001</v>
      </c>
      <c r="H15" s="2">
        <v>-152.65066666666601</v>
      </c>
      <c r="I15" s="1">
        <v>0.99175105907165295</v>
      </c>
      <c r="J15" s="1">
        <v>0.91631243068307799</v>
      </c>
      <c r="K15" s="1">
        <v>0.74121447858053002</v>
      </c>
      <c r="L15" s="1">
        <v>0.66684901117420103</v>
      </c>
      <c r="P15" s="1">
        <f>I15-'Passo 2'!I15</f>
        <v>8.7267049690005982E-2</v>
      </c>
      <c r="Q15" s="1">
        <f>J15-'Passo 2'!J15</f>
        <v>4.6418701478154967E-2</v>
      </c>
      <c r="R15" s="8">
        <f t="shared" si="1"/>
        <v>1090.9459999999997</v>
      </c>
      <c r="S15" s="8">
        <f t="shared" si="0"/>
        <v>1007.9619999999994</v>
      </c>
      <c r="T15" s="1">
        <f t="shared" si="2"/>
        <v>815.35075072815459</v>
      </c>
      <c r="U15" s="1">
        <f t="shared" si="3"/>
        <v>733.54724927184463</v>
      </c>
    </row>
    <row r="16" spans="1:21" x14ac:dyDescent="0.3">
      <c r="A16" t="s">
        <v>10</v>
      </c>
      <c r="B16" t="s">
        <v>23</v>
      </c>
      <c r="C16" t="s">
        <v>574</v>
      </c>
      <c r="D16" t="s">
        <v>575</v>
      </c>
      <c r="E16" s="2">
        <v>245.61799999999999</v>
      </c>
      <c r="F16" s="2">
        <v>0</v>
      </c>
      <c r="G16" s="2">
        <v>39.820166666666601</v>
      </c>
      <c r="H16" s="2">
        <v>-39.381500000000003</v>
      </c>
      <c r="I16" s="1">
        <v>0.98636704150347199</v>
      </c>
      <c r="J16" s="1">
        <v>0.98100912799550499</v>
      </c>
      <c r="K16" s="1">
        <v>0.72747580974729498</v>
      </c>
      <c r="L16" s="1">
        <v>0.739900359751682</v>
      </c>
      <c r="P16" s="1">
        <f>I16-'Passo 2'!I16</f>
        <v>5.8023027628267942E-2</v>
      </c>
      <c r="Q16" s="1">
        <f>J16-'Passo 2'!J16</f>
        <v>5.6836225358080084E-3</v>
      </c>
      <c r="R16" s="8">
        <f t="shared" si="1"/>
        <v>242.26949999999977</v>
      </c>
      <c r="S16" s="8">
        <f t="shared" si="0"/>
        <v>240.95349999999993</v>
      </c>
      <c r="T16" s="1">
        <f t="shared" si="2"/>
        <v>178.6811534385111</v>
      </c>
      <c r="U16" s="1">
        <f t="shared" si="3"/>
        <v>181.73284656148863</v>
      </c>
    </row>
    <row r="17" spans="1:21" x14ac:dyDescent="0.3">
      <c r="A17" t="s">
        <v>10</v>
      </c>
      <c r="B17" t="s">
        <v>24</v>
      </c>
      <c r="C17" t="s">
        <v>576</v>
      </c>
      <c r="D17" t="s">
        <v>583</v>
      </c>
      <c r="E17" s="2">
        <v>35.563000000000002</v>
      </c>
      <c r="F17" s="2">
        <v>0</v>
      </c>
      <c r="G17" s="2">
        <v>5.8410000000000002</v>
      </c>
      <c r="H17" s="2">
        <v>-5.9083333333333297</v>
      </c>
      <c r="I17" s="1">
        <v>0.99273120940303095</v>
      </c>
      <c r="J17" s="1">
        <v>0.99841127014031406</v>
      </c>
      <c r="K17" s="1">
        <v>0.87972716450880695</v>
      </c>
      <c r="L17" s="1">
        <v>0.61141531503453805</v>
      </c>
      <c r="P17" s="1">
        <f>I17-'Passo 2'!I17</f>
        <v>5.4326125467479947E-2</v>
      </c>
      <c r="Q17" s="1">
        <f>J17-'Passo 2'!J17</f>
        <v>3.8593481989709022E-2</v>
      </c>
      <c r="R17" s="8">
        <f t="shared" si="1"/>
        <v>35.30449999999999</v>
      </c>
      <c r="S17" s="8">
        <f t="shared" si="0"/>
        <v>35.506499999999988</v>
      </c>
      <c r="T17" s="1">
        <f t="shared" si="2"/>
        <v>31.285737151426705</v>
      </c>
      <c r="U17" s="1">
        <f t="shared" si="3"/>
        <v>21.743762848573279</v>
      </c>
    </row>
    <row r="18" spans="1:21" x14ac:dyDescent="0.3">
      <c r="A18" t="s">
        <v>10</v>
      </c>
      <c r="B18" t="s">
        <v>25</v>
      </c>
      <c r="C18" t="s">
        <v>576</v>
      </c>
      <c r="D18" t="s">
        <v>583</v>
      </c>
      <c r="E18" s="2">
        <v>162.19</v>
      </c>
      <c r="F18" s="2">
        <v>0</v>
      </c>
      <c r="G18" s="2">
        <v>27.031666666666599</v>
      </c>
      <c r="H18" s="2">
        <v>-27.031666666666599</v>
      </c>
      <c r="I18" s="1">
        <v>1</v>
      </c>
      <c r="J18" s="1">
        <v>1</v>
      </c>
      <c r="K18" s="1">
        <v>0.98834597332905505</v>
      </c>
      <c r="L18" s="1">
        <v>0.51165402667094395</v>
      </c>
      <c r="P18" s="1">
        <f>I18-'Passo 2'!I18</f>
        <v>3.7918490659110127E-3</v>
      </c>
      <c r="Q18" s="1">
        <f>J18-'Passo 2'!J18</f>
        <v>1.8589308835319507E-3</v>
      </c>
      <c r="R18" s="8">
        <f t="shared" si="1"/>
        <v>162.19</v>
      </c>
      <c r="S18" s="8">
        <f t="shared" si="0"/>
        <v>162.19</v>
      </c>
      <c r="T18" s="1">
        <f t="shared" si="2"/>
        <v>160.29983341423943</v>
      </c>
      <c r="U18" s="1">
        <f t="shared" si="3"/>
        <v>82.985166585760396</v>
      </c>
    </row>
    <row r="19" spans="1:21" x14ac:dyDescent="0.3">
      <c r="A19" t="s">
        <v>10</v>
      </c>
      <c r="B19" t="s">
        <v>26</v>
      </c>
      <c r="C19" t="s">
        <v>576</v>
      </c>
      <c r="D19" t="s">
        <v>583</v>
      </c>
      <c r="E19" s="2">
        <v>162.16900000000001</v>
      </c>
      <c r="F19" s="2">
        <v>0</v>
      </c>
      <c r="G19" s="2">
        <v>27.0281666666666</v>
      </c>
      <c r="H19" s="2">
        <v>-27.011499999999899</v>
      </c>
      <c r="I19" s="1">
        <v>1</v>
      </c>
      <c r="J19" s="1">
        <v>0.99969167966750705</v>
      </c>
      <c r="K19" s="1">
        <v>0.98837815767166504</v>
      </c>
      <c r="L19" s="1">
        <v>0.51131352199584201</v>
      </c>
      <c r="P19" s="1">
        <f>I19-'Passo 2'!I19</f>
        <v>2.9814576152049632E-3</v>
      </c>
      <c r="Q19" s="1">
        <f>J19-'Passo 2'!J19</f>
        <v>1.6340977622110175E-3</v>
      </c>
      <c r="R19" s="8">
        <f t="shared" si="1"/>
        <v>162.16900000000001</v>
      </c>
      <c r="S19" s="8">
        <f t="shared" si="0"/>
        <v>162.11899999999997</v>
      </c>
      <c r="T19" s="1">
        <f t="shared" si="2"/>
        <v>160.28429745145627</v>
      </c>
      <c r="U19" s="1">
        <f t="shared" si="3"/>
        <v>82.919202548543709</v>
      </c>
    </row>
    <row r="20" spans="1:21" x14ac:dyDescent="0.3">
      <c r="A20" t="s">
        <v>10</v>
      </c>
      <c r="B20" t="s">
        <v>27</v>
      </c>
      <c r="C20" t="s">
        <v>576</v>
      </c>
      <c r="D20" t="s">
        <v>577</v>
      </c>
      <c r="E20" s="2">
        <v>126.41200000000001</v>
      </c>
      <c r="F20" s="2">
        <v>0</v>
      </c>
      <c r="G20" s="2">
        <v>20.209166666666601</v>
      </c>
      <c r="H20" s="2">
        <v>-20.8846666666666</v>
      </c>
      <c r="I20" s="1">
        <v>0.979602411163497</v>
      </c>
      <c r="J20" s="1">
        <v>0.99563332595006804</v>
      </c>
      <c r="K20" s="1">
        <v>0.59133458805322103</v>
      </c>
      <c r="L20" s="1">
        <v>0.88390114906034301</v>
      </c>
      <c r="P20" s="1">
        <f>I20-'Passo 2'!I20</f>
        <v>0.19334398633041205</v>
      </c>
      <c r="Q20" s="1">
        <f>J20-'Passo 2'!J20</f>
        <v>1.0137486947441987E-2</v>
      </c>
      <c r="R20" s="8">
        <f t="shared" si="1"/>
        <v>123.83349999999999</v>
      </c>
      <c r="S20" s="8">
        <f t="shared" si="0"/>
        <v>125.86000000000001</v>
      </c>
      <c r="T20" s="1">
        <f t="shared" si="2"/>
        <v>74.751787944983775</v>
      </c>
      <c r="U20" s="1">
        <f t="shared" si="3"/>
        <v>111.73571205501608</v>
      </c>
    </row>
    <row r="21" spans="1:21" x14ac:dyDescent="0.3">
      <c r="A21" t="s">
        <v>10</v>
      </c>
      <c r="B21" t="s">
        <v>28</v>
      </c>
      <c r="C21" t="s">
        <v>576</v>
      </c>
      <c r="D21" t="s">
        <v>577</v>
      </c>
      <c r="E21" s="2">
        <v>86.302999999999997</v>
      </c>
      <c r="F21" s="2">
        <v>0</v>
      </c>
      <c r="G21" s="2">
        <v>10.6498333333333</v>
      </c>
      <c r="H21" s="2">
        <v>-10.626166666666601</v>
      </c>
      <c r="I21" s="1">
        <v>0.87020149936850399</v>
      </c>
      <c r="J21" s="1">
        <v>0.86937881649537097</v>
      </c>
      <c r="K21" s="1">
        <v>0.51828487589090599</v>
      </c>
      <c r="L21" s="1">
        <v>0.72129543997296797</v>
      </c>
      <c r="P21" s="1">
        <f>I21-'Passo 2'!I21</f>
        <v>5.9094121872940164E-3</v>
      </c>
      <c r="Q21" s="1">
        <f>J21-'Passo 2'!J21</f>
        <v>-1.9292492729100497E-3</v>
      </c>
      <c r="R21" s="8">
        <f t="shared" si="1"/>
        <v>75.100999999999999</v>
      </c>
      <c r="S21" s="8">
        <f t="shared" si="0"/>
        <v>75.03</v>
      </c>
      <c r="T21" s="1">
        <f t="shared" si="2"/>
        <v>44.72953964401286</v>
      </c>
      <c r="U21" s="1">
        <f t="shared" si="3"/>
        <v>62.249960355987049</v>
      </c>
    </row>
    <row r="22" spans="1:21" x14ac:dyDescent="0.3">
      <c r="A22" t="s">
        <v>10</v>
      </c>
      <c r="B22" t="s">
        <v>584</v>
      </c>
      <c r="C22" t="s">
        <v>576</v>
      </c>
      <c r="D22" t="s">
        <v>577</v>
      </c>
      <c r="E22" s="2">
        <v>263.41399999999999</v>
      </c>
      <c r="F22" s="2">
        <v>0</v>
      </c>
      <c r="G22" s="2">
        <v>39.930666666666603</v>
      </c>
      <c r="H22" s="2">
        <v>-41.531333333333301</v>
      </c>
      <c r="I22" s="1">
        <v>0.95476702073541997</v>
      </c>
      <c r="J22" s="1">
        <v>0.97299687943693203</v>
      </c>
      <c r="K22" s="1">
        <v>0.88404049319978495</v>
      </c>
      <c r="L22" s="1">
        <v>0.54372340697256705</v>
      </c>
      <c r="P22" s="1">
        <f>I22-'Passo 2'!I22</f>
        <v>8.4777194833987934E-2</v>
      </c>
      <c r="Q22" s="1">
        <f>J22-'Passo 2'!J22</f>
        <v>1.5206101422095997E-2</v>
      </c>
      <c r="R22" s="8">
        <f t="shared" si="1"/>
        <v>251.49899999999991</v>
      </c>
      <c r="S22" s="8">
        <f t="shared" si="0"/>
        <v>256.30099999999999</v>
      </c>
      <c r="T22" s="1">
        <f t="shared" si="2"/>
        <v>232.86864247572814</v>
      </c>
      <c r="U22" s="1">
        <f t="shared" si="3"/>
        <v>143.22435752427177</v>
      </c>
    </row>
    <row r="23" spans="1:21" x14ac:dyDescent="0.3">
      <c r="A23" t="s">
        <v>10</v>
      </c>
      <c r="B23" t="s">
        <v>29</v>
      </c>
      <c r="C23" t="s">
        <v>576</v>
      </c>
      <c r="D23" t="s">
        <v>577</v>
      </c>
      <c r="E23" s="2">
        <v>73.927000000000007</v>
      </c>
      <c r="F23" s="2">
        <v>0</v>
      </c>
      <c r="G23" s="2">
        <v>12.070833333333301</v>
      </c>
      <c r="H23" s="2">
        <v>-12.2098333333333</v>
      </c>
      <c r="I23" s="1">
        <v>0.98984132996063601</v>
      </c>
      <c r="J23" s="1">
        <v>0.99548202956970999</v>
      </c>
      <c r="K23" s="1">
        <v>0.56384164976794404</v>
      </c>
      <c r="L23" s="1">
        <v>0.92148170976240296</v>
      </c>
      <c r="P23" s="1">
        <f>I23-'Passo 2'!I23</f>
        <v>1.1213764930269043E-2</v>
      </c>
      <c r="Q23" s="1">
        <f>J23-'Passo 2'!J23</f>
        <v>1.9613943484797502E-4</v>
      </c>
      <c r="R23" s="8">
        <f t="shared" si="1"/>
        <v>73.175999999999945</v>
      </c>
      <c r="S23" s="8">
        <f t="shared" si="0"/>
        <v>73.592999999999961</v>
      </c>
      <c r="T23" s="1">
        <f t="shared" si="2"/>
        <v>41.683121642394802</v>
      </c>
      <c r="U23" s="1">
        <f t="shared" si="3"/>
        <v>68.122378357605172</v>
      </c>
    </row>
    <row r="24" spans="1:21" x14ac:dyDescent="0.3">
      <c r="A24" t="s">
        <v>10</v>
      </c>
      <c r="B24" t="s">
        <v>585</v>
      </c>
      <c r="C24" t="s">
        <v>576</v>
      </c>
      <c r="D24" t="s">
        <v>577</v>
      </c>
      <c r="E24" s="2">
        <v>523.80799999999999</v>
      </c>
      <c r="F24" s="2">
        <v>0</v>
      </c>
      <c r="G24" s="2">
        <v>81.860166666666601</v>
      </c>
      <c r="H24" s="2">
        <v>-86.912499999999994</v>
      </c>
      <c r="I24" s="1">
        <v>0.96883686388905799</v>
      </c>
      <c r="J24" s="1">
        <v>0.99777303897611302</v>
      </c>
      <c r="K24" s="1">
        <v>0.74252997908544605</v>
      </c>
      <c r="L24" s="1">
        <v>0.72407992377972497</v>
      </c>
      <c r="P24" s="1">
        <f>I24-'Passo 2'!I24</f>
        <v>9.793951218767194E-2</v>
      </c>
      <c r="Q24" s="1">
        <f>J24-'Passo 2'!J24</f>
        <v>5.7702440588920378E-3</v>
      </c>
      <c r="R24" s="8">
        <f t="shared" si="1"/>
        <v>507.48449999999968</v>
      </c>
      <c r="S24" s="8">
        <f t="shared" si="0"/>
        <v>522.64149999999984</v>
      </c>
      <c r="T24" s="1">
        <f t="shared" si="2"/>
        <v>388.9431432847893</v>
      </c>
      <c r="U24" s="1">
        <f t="shared" si="3"/>
        <v>379.27885671521017</v>
      </c>
    </row>
    <row r="25" spans="1:21" x14ac:dyDescent="0.3">
      <c r="A25" t="s">
        <v>10</v>
      </c>
      <c r="B25" t="s">
        <v>586</v>
      </c>
      <c r="C25" t="s">
        <v>576</v>
      </c>
      <c r="D25" t="s">
        <v>577</v>
      </c>
      <c r="E25" s="2">
        <v>345.80599999999998</v>
      </c>
      <c r="F25" s="2">
        <v>0</v>
      </c>
      <c r="G25" s="2">
        <v>54.724833333333301</v>
      </c>
      <c r="H25" s="2">
        <v>-56.034999999999997</v>
      </c>
      <c r="I25" s="1">
        <v>0.97475896890163805</v>
      </c>
      <c r="J25" s="1">
        <v>0.98612516844704801</v>
      </c>
      <c r="K25" s="1">
        <v>0.79857793427753299</v>
      </c>
      <c r="L25" s="1">
        <v>0.66230620307115295</v>
      </c>
      <c r="P25" s="1">
        <f>I25-'Passo 2'!I25</f>
        <v>5.8959358715580001E-2</v>
      </c>
      <c r="Q25" s="1">
        <f>J25-'Passo 2'!J25</f>
        <v>0</v>
      </c>
      <c r="R25" s="8">
        <f t="shared" si="1"/>
        <v>337.07749999999982</v>
      </c>
      <c r="S25" s="8">
        <f t="shared" si="0"/>
        <v>341.00799999999987</v>
      </c>
      <c r="T25" s="1">
        <f t="shared" si="2"/>
        <v>276.15304114077657</v>
      </c>
      <c r="U25" s="1">
        <f t="shared" si="3"/>
        <v>229.0294588592231</v>
      </c>
    </row>
    <row r="26" spans="1:21" x14ac:dyDescent="0.3">
      <c r="A26" t="s">
        <v>10</v>
      </c>
      <c r="B26" t="s">
        <v>587</v>
      </c>
      <c r="C26" t="s">
        <v>576</v>
      </c>
      <c r="D26" t="s">
        <v>577</v>
      </c>
      <c r="E26" s="2">
        <v>347.702</v>
      </c>
      <c r="F26" s="2">
        <v>0</v>
      </c>
      <c r="G26" s="2">
        <v>56.219333333333303</v>
      </c>
      <c r="H26" s="2">
        <v>-55.929333333333297</v>
      </c>
      <c r="I26" s="1">
        <v>0.98506479686628201</v>
      </c>
      <c r="J26" s="1">
        <v>0.98256265422689504</v>
      </c>
      <c r="K26" s="1">
        <v>0.80779131900491496</v>
      </c>
      <c r="L26" s="1">
        <v>0.65983613208826097</v>
      </c>
      <c r="P26" s="1">
        <f>I26-'Passo 2'!I26</f>
        <v>3.2185607215375001E-2</v>
      </c>
      <c r="Q26" s="1">
        <f>J26-'Passo 2'!J26</f>
        <v>1.9068052527740909E-3</v>
      </c>
      <c r="R26" s="8">
        <f t="shared" si="1"/>
        <v>342.50899999999996</v>
      </c>
      <c r="S26" s="8">
        <f t="shared" si="0"/>
        <v>341.63899999999984</v>
      </c>
      <c r="T26" s="1">
        <f t="shared" si="2"/>
        <v>280.87065720064692</v>
      </c>
      <c r="U26" s="1">
        <f t="shared" si="3"/>
        <v>229.42634279935251</v>
      </c>
    </row>
    <row r="27" spans="1:21" x14ac:dyDescent="0.3">
      <c r="A27" t="s">
        <v>10</v>
      </c>
      <c r="B27" t="s">
        <v>588</v>
      </c>
      <c r="C27" t="s">
        <v>576</v>
      </c>
      <c r="D27" t="s">
        <v>577</v>
      </c>
      <c r="E27" s="2">
        <v>570.59299999999996</v>
      </c>
      <c r="F27" s="2">
        <v>0</v>
      </c>
      <c r="G27" s="2">
        <v>61.420499999999997</v>
      </c>
      <c r="H27" s="2">
        <v>-92.99</v>
      </c>
      <c r="I27" s="1">
        <v>0.82292982914266299</v>
      </c>
      <c r="J27" s="1">
        <v>0.98891241217470205</v>
      </c>
      <c r="K27" s="1">
        <v>0.46611135044840601</v>
      </c>
      <c r="L27" s="1">
        <v>0.84573089086895903</v>
      </c>
      <c r="P27" s="1">
        <f>I27-'Passo 2'!I27</f>
        <v>3.9161889472881017E-2</v>
      </c>
      <c r="Q27" s="1">
        <f>J27-'Passo 2'!J27</f>
        <v>1.293917030177405E-2</v>
      </c>
      <c r="R27" s="8">
        <f t="shared" si="1"/>
        <v>469.55799999999948</v>
      </c>
      <c r="S27" s="8">
        <f t="shared" si="0"/>
        <v>564.26649999999972</v>
      </c>
      <c r="T27" s="1">
        <f t="shared" si="2"/>
        <v>265.95987378640734</v>
      </c>
      <c r="U27" s="1">
        <f t="shared" si="3"/>
        <v>482.56812621359188</v>
      </c>
    </row>
    <row r="28" spans="1:21" x14ac:dyDescent="0.3">
      <c r="A28" t="s">
        <v>10</v>
      </c>
      <c r="B28" t="s">
        <v>30</v>
      </c>
      <c r="C28" t="s">
        <v>576</v>
      </c>
      <c r="D28" t="s">
        <v>583</v>
      </c>
      <c r="E28" s="2">
        <v>66.665000000000006</v>
      </c>
      <c r="F28" s="2">
        <v>0</v>
      </c>
      <c r="G28" s="2">
        <v>10.2391666666666</v>
      </c>
      <c r="H28" s="2">
        <v>-10.2515</v>
      </c>
      <c r="I28" s="1">
        <v>0.96077401935048301</v>
      </c>
      <c r="J28" s="1">
        <v>0.96132903322582997</v>
      </c>
      <c r="K28" s="1">
        <v>0.83164237848650502</v>
      </c>
      <c r="L28" s="1">
        <v>0.59046067408980896</v>
      </c>
      <c r="P28" s="1">
        <f>I28-'Passo 2'!I28</f>
        <v>9.1629790744767958E-2</v>
      </c>
      <c r="Q28" s="1">
        <f>J28-'Passo 2'!J28</f>
        <v>0.19543238580964495</v>
      </c>
      <c r="R28" s="8">
        <f t="shared" si="1"/>
        <v>64.049999999999955</v>
      </c>
      <c r="S28" s="8">
        <f t="shared" si="0"/>
        <v>64.086999999999961</v>
      </c>
      <c r="T28" s="1">
        <f t="shared" si="2"/>
        <v>55.441439161802862</v>
      </c>
      <c r="U28" s="1">
        <f t="shared" si="3"/>
        <v>39.363060838197114</v>
      </c>
    </row>
    <row r="29" spans="1:21" x14ac:dyDescent="0.3">
      <c r="A29" t="s">
        <v>10</v>
      </c>
      <c r="B29" t="s">
        <v>31</v>
      </c>
      <c r="C29" t="s">
        <v>576</v>
      </c>
      <c r="D29" t="s">
        <v>583</v>
      </c>
      <c r="E29" s="2">
        <v>28.361999999999998</v>
      </c>
      <c r="F29" s="2">
        <v>0</v>
      </c>
      <c r="G29" s="2">
        <v>4.7131666666666598</v>
      </c>
      <c r="H29" s="2">
        <v>-4.7269999999999897</v>
      </c>
      <c r="I29" s="1">
        <v>0.998536774557506</v>
      </c>
      <c r="J29" s="1">
        <v>0.999999999999999</v>
      </c>
      <c r="K29" s="1">
        <v>0.981757377760894</v>
      </c>
      <c r="L29" s="1">
        <v>0.516779396796612</v>
      </c>
      <c r="P29" s="1">
        <f>I29-'Passo 2'!I29</f>
        <v>3.9665749947109807E-3</v>
      </c>
      <c r="Q29" s="1">
        <f>J29-'Passo 2'!J29</f>
        <v>5.4298004372039799E-3</v>
      </c>
      <c r="R29" s="8">
        <f t="shared" si="1"/>
        <v>28.320499999999985</v>
      </c>
      <c r="S29" s="8">
        <f t="shared" si="0"/>
        <v>28.36199999999997</v>
      </c>
      <c r="T29" s="1">
        <f t="shared" si="2"/>
        <v>27.844602748054474</v>
      </c>
      <c r="U29" s="1">
        <f t="shared" si="3"/>
        <v>14.656897251945509</v>
      </c>
    </row>
    <row r="30" spans="1:21" x14ac:dyDescent="0.3">
      <c r="A30" t="s">
        <v>10</v>
      </c>
      <c r="B30" t="s">
        <v>32</v>
      </c>
      <c r="C30" t="s">
        <v>576</v>
      </c>
      <c r="D30" t="s">
        <v>589</v>
      </c>
      <c r="E30" s="2">
        <v>38.585000000000001</v>
      </c>
      <c r="F30" s="2">
        <v>0</v>
      </c>
      <c r="G30" s="2">
        <v>6.4191666666666602</v>
      </c>
      <c r="H30" s="2">
        <v>-6.4308333333333296</v>
      </c>
      <c r="I30" s="1">
        <v>0.99909291175327097</v>
      </c>
      <c r="J30" s="1">
        <v>1</v>
      </c>
      <c r="K30" s="1">
        <v>0.88314370240460105</v>
      </c>
      <c r="L30" s="1">
        <v>0.61594920934867003</v>
      </c>
      <c r="P30" s="1">
        <f>I30-'Passo 2'!I30</f>
        <v>2.4245172994686981E-2</v>
      </c>
      <c r="Q30" s="1">
        <f>J30-'Passo 2'!J30</f>
        <v>4.5613580406900223E-3</v>
      </c>
      <c r="R30" s="8">
        <f t="shared" si="1"/>
        <v>38.549999999999962</v>
      </c>
      <c r="S30" s="8">
        <f t="shared" si="0"/>
        <v>38.585000000000001</v>
      </c>
      <c r="T30" s="1">
        <f t="shared" si="2"/>
        <v>34.076099757281533</v>
      </c>
      <c r="U30" s="1">
        <f t="shared" si="3"/>
        <v>23.766400242718433</v>
      </c>
    </row>
    <row r="31" spans="1:21" x14ac:dyDescent="0.3">
      <c r="A31" t="s">
        <v>10</v>
      </c>
      <c r="B31" t="s">
        <v>590</v>
      </c>
      <c r="C31" t="s">
        <v>576</v>
      </c>
      <c r="D31" t="s">
        <v>583</v>
      </c>
      <c r="E31" s="2">
        <v>1274.587</v>
      </c>
      <c r="F31" s="2">
        <v>0</v>
      </c>
      <c r="G31" s="2">
        <v>212.431166666666</v>
      </c>
      <c r="H31" s="2">
        <v>-212.431166666666</v>
      </c>
      <c r="I31" s="1">
        <v>1</v>
      </c>
      <c r="J31" s="1">
        <v>1</v>
      </c>
      <c r="K31" s="1">
        <v>0.99995946822308601</v>
      </c>
      <c r="L31" s="1">
        <v>0.50004053177691299</v>
      </c>
      <c r="P31" s="1">
        <f>I31-'Passo 2'!I31</f>
        <v>0</v>
      </c>
      <c r="Q31" s="1">
        <f>J31-'Passo 2'!J31</f>
        <v>0</v>
      </c>
      <c r="R31" s="8">
        <f t="shared" si="1"/>
        <v>1274.587</v>
      </c>
      <c r="S31" s="8">
        <f t="shared" si="0"/>
        <v>1274.587</v>
      </c>
      <c r="T31" s="1">
        <f t="shared" si="2"/>
        <v>1274.5353387240584</v>
      </c>
      <c r="U31" s="1">
        <f t="shared" si="3"/>
        <v>637.3451612759402</v>
      </c>
    </row>
    <row r="32" spans="1:21" x14ac:dyDescent="0.3">
      <c r="A32" t="s">
        <v>10</v>
      </c>
      <c r="B32" t="s">
        <v>33</v>
      </c>
      <c r="C32" t="s">
        <v>34</v>
      </c>
      <c r="D32" t="s">
        <v>35</v>
      </c>
      <c r="E32" s="2">
        <v>130.05000000000001</v>
      </c>
      <c r="F32" s="2">
        <v>0</v>
      </c>
      <c r="G32" s="2">
        <v>20.873000000000001</v>
      </c>
      <c r="H32" s="2">
        <v>-21.331499999999998</v>
      </c>
      <c r="I32" s="1">
        <v>0.98149942329873097</v>
      </c>
      <c r="J32" s="1">
        <v>0.99207612456747396</v>
      </c>
      <c r="K32" s="1">
        <v>0.89495294254512503</v>
      </c>
      <c r="L32" s="1">
        <v>0.57862260532108001</v>
      </c>
      <c r="P32" s="1">
        <f>I32-'Passo 2'!I32</f>
        <v>0.23127643214148397</v>
      </c>
      <c r="Q32" s="1">
        <f>J32-'Passo 2'!J32</f>
        <v>0.23877739331026593</v>
      </c>
      <c r="R32" s="8">
        <f t="shared" si="1"/>
        <v>127.64399999999998</v>
      </c>
      <c r="S32" s="8">
        <f t="shared" si="0"/>
        <v>129.01949999999999</v>
      </c>
      <c r="T32" s="1">
        <f t="shared" si="2"/>
        <v>116.38863017799352</v>
      </c>
      <c r="U32" s="1">
        <f t="shared" si="3"/>
        <v>75.24986982200646</v>
      </c>
    </row>
    <row r="33" spans="1:21" x14ac:dyDescent="0.3">
      <c r="A33" t="s">
        <v>10</v>
      </c>
      <c r="B33" t="s">
        <v>36</v>
      </c>
      <c r="C33" t="s">
        <v>34</v>
      </c>
      <c r="D33" t="s">
        <v>35</v>
      </c>
      <c r="E33" s="2">
        <v>588.69500000000005</v>
      </c>
      <c r="F33" s="2">
        <v>0</v>
      </c>
      <c r="G33" s="2">
        <v>97.131833333333304</v>
      </c>
      <c r="H33" s="2">
        <v>-95.995000000000005</v>
      </c>
      <c r="I33" s="1">
        <v>0.994985518817044</v>
      </c>
      <c r="J33" s="1">
        <v>0.98919219629859201</v>
      </c>
      <c r="K33" s="1">
        <v>0.89024042908686896</v>
      </c>
      <c r="L33" s="1">
        <v>0.59393728602876705</v>
      </c>
      <c r="P33" s="1">
        <f>I33-'Passo 2'!I33</f>
        <v>0.24842830328098597</v>
      </c>
      <c r="Q33" s="1">
        <f>J33-'Passo 2'!J33</f>
        <v>0.14406356432447998</v>
      </c>
      <c r="R33" s="8">
        <f t="shared" si="1"/>
        <v>585.74299999999982</v>
      </c>
      <c r="S33" s="8">
        <f t="shared" si="0"/>
        <v>582.33249999999964</v>
      </c>
      <c r="T33" s="1">
        <f t="shared" si="2"/>
        <v>524.08008940129434</v>
      </c>
      <c r="U33" s="1">
        <f t="shared" si="3"/>
        <v>349.64791059870504</v>
      </c>
    </row>
    <row r="34" spans="1:21" x14ac:dyDescent="0.3">
      <c r="A34" t="s">
        <v>10</v>
      </c>
      <c r="B34" t="s">
        <v>37</v>
      </c>
      <c r="C34" t="s">
        <v>576</v>
      </c>
      <c r="D34" t="s">
        <v>591</v>
      </c>
      <c r="E34" s="2">
        <v>672.82500000000005</v>
      </c>
      <c r="F34" s="2">
        <v>0</v>
      </c>
      <c r="G34" s="2">
        <v>111.970833333333</v>
      </c>
      <c r="H34" s="2">
        <v>-111.970833333333</v>
      </c>
      <c r="I34" s="1">
        <v>0.99925686471221997</v>
      </c>
      <c r="J34" s="1">
        <v>0.99925686471221997</v>
      </c>
      <c r="K34" s="1">
        <v>0.99857799619702303</v>
      </c>
      <c r="L34" s="1">
        <v>0.49993573322741802</v>
      </c>
      <c r="P34" s="1">
        <f>I34-'Passo 2'!I34</f>
        <v>0</v>
      </c>
      <c r="Q34" s="1">
        <f>J34-'Passo 2'!J34</f>
        <v>0</v>
      </c>
      <c r="R34" s="8">
        <f t="shared" si="1"/>
        <v>672.32499999999948</v>
      </c>
      <c r="S34" s="8">
        <f t="shared" si="0"/>
        <v>672.32499999999948</v>
      </c>
      <c r="T34" s="1">
        <f t="shared" si="2"/>
        <v>671.86824029126205</v>
      </c>
      <c r="U34" s="1">
        <f t="shared" si="3"/>
        <v>336.36925970873756</v>
      </c>
    </row>
    <row r="35" spans="1:21" x14ac:dyDescent="0.3">
      <c r="A35" t="s">
        <v>10</v>
      </c>
      <c r="B35" t="s">
        <v>38</v>
      </c>
      <c r="C35" t="s">
        <v>34</v>
      </c>
      <c r="D35" t="s">
        <v>35</v>
      </c>
      <c r="E35" s="2">
        <v>367.77100000000002</v>
      </c>
      <c r="F35" s="2">
        <v>0</v>
      </c>
      <c r="G35" s="2">
        <v>61.217500000000001</v>
      </c>
      <c r="H35" s="2">
        <v>-60.131333333333302</v>
      </c>
      <c r="I35" s="1">
        <v>0.99936645358116805</v>
      </c>
      <c r="J35" s="1">
        <v>0.99050632050922904</v>
      </c>
      <c r="K35" s="1">
        <v>0.90094672927228403</v>
      </c>
      <c r="L35" s="1">
        <v>0.58892604481811395</v>
      </c>
      <c r="P35" s="1">
        <f>I35-'Passo 2'!I35</f>
        <v>0.25035959877206204</v>
      </c>
      <c r="Q35" s="1">
        <f>J35-'Passo 2'!J35</f>
        <v>0.17902172819499007</v>
      </c>
      <c r="R35" s="8">
        <f t="shared" si="1"/>
        <v>367.53799999999978</v>
      </c>
      <c r="S35" s="8">
        <f t="shared" si="0"/>
        <v>364.2794999999997</v>
      </c>
      <c r="T35" s="1">
        <f t="shared" si="2"/>
        <v>331.34207957119719</v>
      </c>
      <c r="U35" s="1">
        <f t="shared" si="3"/>
        <v>216.5899204288026</v>
      </c>
    </row>
    <row r="36" spans="1:21" x14ac:dyDescent="0.3">
      <c r="A36" t="s">
        <v>10</v>
      </c>
      <c r="B36" t="s">
        <v>39</v>
      </c>
      <c r="C36" t="s">
        <v>34</v>
      </c>
      <c r="D36" t="s">
        <v>35</v>
      </c>
      <c r="E36" s="2">
        <v>172.196</v>
      </c>
      <c r="F36" s="2">
        <v>0</v>
      </c>
      <c r="G36" s="2">
        <v>28.4471666666666</v>
      </c>
      <c r="H36" s="2">
        <v>-28.454999999999998</v>
      </c>
      <c r="I36" s="1">
        <v>0.99560675044716496</v>
      </c>
      <c r="J36" s="1">
        <v>0.99574322283909</v>
      </c>
      <c r="K36" s="1">
        <v>0.92134752006274701</v>
      </c>
      <c r="L36" s="1">
        <v>0.57000245322350696</v>
      </c>
      <c r="P36" s="1">
        <f>I36-'Passo 2'!I36</f>
        <v>0.20326836860321995</v>
      </c>
      <c r="Q36" s="1">
        <f>J36-'Passo 2'!J36</f>
        <v>0.21118376733489697</v>
      </c>
      <c r="R36" s="8">
        <f t="shared" si="1"/>
        <v>171.43950000000001</v>
      </c>
      <c r="S36" s="8">
        <f t="shared" si="0"/>
        <v>171.46299999999994</v>
      </c>
      <c r="T36" s="1">
        <f t="shared" si="2"/>
        <v>158.65235756472478</v>
      </c>
      <c r="U36" s="1">
        <f t="shared" si="3"/>
        <v>98.152142435274996</v>
      </c>
    </row>
    <row r="37" spans="1:21" x14ac:dyDescent="0.3">
      <c r="A37" t="s">
        <v>10</v>
      </c>
      <c r="B37" t="s">
        <v>40</v>
      </c>
      <c r="C37" t="s">
        <v>34</v>
      </c>
      <c r="D37" t="s">
        <v>35</v>
      </c>
      <c r="E37" s="2">
        <v>78.796000000000006</v>
      </c>
      <c r="F37" s="2">
        <v>0</v>
      </c>
      <c r="G37" s="2">
        <v>13.021666666666601</v>
      </c>
      <c r="H37" s="2">
        <v>-13.1326666666666</v>
      </c>
      <c r="I37" s="1">
        <v>0.99577389715213904</v>
      </c>
      <c r="J37" s="1">
        <v>1</v>
      </c>
      <c r="K37" s="1">
        <v>0.91034943619926401</v>
      </c>
      <c r="L37" s="1">
        <v>0.58542446095287404</v>
      </c>
      <c r="P37" s="1">
        <f>I37-'Passo 2'!I37</f>
        <v>0.21175567287679509</v>
      </c>
      <c r="Q37" s="1">
        <f>J37-'Passo 2'!J37</f>
        <v>0.22273338748159799</v>
      </c>
      <c r="R37" s="8">
        <f t="shared" si="1"/>
        <v>78.462999999999951</v>
      </c>
      <c r="S37" s="8">
        <f t="shared" si="0"/>
        <v>78.796000000000006</v>
      </c>
      <c r="T37" s="1">
        <f t="shared" si="2"/>
        <v>71.731894174757215</v>
      </c>
      <c r="U37" s="1">
        <f t="shared" si="3"/>
        <v>46.129105825242668</v>
      </c>
    </row>
    <row r="38" spans="1:21" x14ac:dyDescent="0.3">
      <c r="A38" t="s">
        <v>10</v>
      </c>
      <c r="B38" t="s">
        <v>41</v>
      </c>
      <c r="C38" t="s">
        <v>34</v>
      </c>
      <c r="D38" t="s">
        <v>35</v>
      </c>
      <c r="E38" s="2">
        <v>928.20100000000002</v>
      </c>
      <c r="F38" s="2">
        <v>0</v>
      </c>
      <c r="G38" s="2">
        <v>154.70016666666601</v>
      </c>
      <c r="H38" s="2">
        <v>-154.174166666666</v>
      </c>
      <c r="I38" s="1">
        <v>1</v>
      </c>
      <c r="J38" s="1">
        <v>0.99829993719032795</v>
      </c>
      <c r="K38" s="1">
        <v>0.998345421441593</v>
      </c>
      <c r="L38" s="1">
        <v>0.49995451574873501</v>
      </c>
      <c r="P38" s="1">
        <f>I38-'Passo 2'!I38</f>
        <v>2.1024541020749909E-3</v>
      </c>
      <c r="Q38" s="1">
        <f>J38-'Passo 2'!J38</f>
        <v>2.0706721927689076E-3</v>
      </c>
      <c r="R38" s="8">
        <f t="shared" si="1"/>
        <v>928.20100000000002</v>
      </c>
      <c r="S38" s="8">
        <f t="shared" si="0"/>
        <v>926.62299999999959</v>
      </c>
      <c r="T38" s="1">
        <f t="shared" si="2"/>
        <v>926.66521852750805</v>
      </c>
      <c r="U38" s="1">
        <f t="shared" si="3"/>
        <v>464.05828147249161</v>
      </c>
    </row>
    <row r="39" spans="1:21" x14ac:dyDescent="0.3">
      <c r="A39" t="s">
        <v>10</v>
      </c>
      <c r="B39" t="s">
        <v>42</v>
      </c>
      <c r="C39" t="s">
        <v>576</v>
      </c>
      <c r="D39" t="s">
        <v>591</v>
      </c>
      <c r="E39" s="2">
        <v>50.05</v>
      </c>
      <c r="F39" s="2">
        <v>0</v>
      </c>
      <c r="G39" s="2">
        <v>8.3416666666666597</v>
      </c>
      <c r="H39" s="2">
        <v>-8.3416666666666597</v>
      </c>
      <c r="I39" s="1">
        <v>1</v>
      </c>
      <c r="J39" s="1">
        <v>1</v>
      </c>
      <c r="K39" s="1">
        <v>0.99726726428910895</v>
      </c>
      <c r="L39" s="1">
        <v>0.50273273571089006</v>
      </c>
      <c r="P39" s="1">
        <f>I39-'Passo 2'!I39</f>
        <v>0</v>
      </c>
      <c r="Q39" s="1">
        <f>J39-'Passo 2'!J39</f>
        <v>0</v>
      </c>
      <c r="R39" s="8">
        <f t="shared" si="1"/>
        <v>50.05</v>
      </c>
      <c r="S39" s="8">
        <f t="shared" si="0"/>
        <v>50.05</v>
      </c>
      <c r="T39" s="1">
        <f t="shared" si="2"/>
        <v>49.913226577669903</v>
      </c>
      <c r="U39" s="1">
        <f t="shared" si="3"/>
        <v>25.161773422330047</v>
      </c>
    </row>
    <row r="40" spans="1:21" x14ac:dyDescent="0.3">
      <c r="A40" t="s">
        <v>10</v>
      </c>
      <c r="B40" t="s">
        <v>43</v>
      </c>
      <c r="C40" t="s">
        <v>34</v>
      </c>
      <c r="D40" t="s">
        <v>35</v>
      </c>
      <c r="E40" s="2">
        <v>897.11800000000005</v>
      </c>
      <c r="F40" s="2">
        <v>0</v>
      </c>
      <c r="G40" s="2">
        <v>149.049166666666</v>
      </c>
      <c r="H40" s="2">
        <v>-148.083333333333</v>
      </c>
      <c r="I40" s="1">
        <v>0.99842662838110396</v>
      </c>
      <c r="J40" s="1">
        <v>0.99519684144114795</v>
      </c>
      <c r="K40" s="1">
        <v>0.89849916703059696</v>
      </c>
      <c r="L40" s="1">
        <v>0.59512430279165496</v>
      </c>
      <c r="P40" s="1">
        <f>I40-'Passo 2'!I40</f>
        <v>0.25388243241134301</v>
      </c>
      <c r="Q40" s="1">
        <f>J40-'Passo 2'!J40</f>
        <v>0.16498498525277594</v>
      </c>
      <c r="R40" s="8">
        <f t="shared" si="1"/>
        <v>895.70649999999932</v>
      </c>
      <c r="S40" s="8">
        <f t="shared" si="0"/>
        <v>892.80899999999986</v>
      </c>
      <c r="T40" s="1">
        <f t="shared" si="2"/>
        <v>806.05977572815516</v>
      </c>
      <c r="U40" s="1">
        <f t="shared" si="3"/>
        <v>533.89672427184394</v>
      </c>
    </row>
    <row r="41" spans="1:21" x14ac:dyDescent="0.3">
      <c r="A41" t="s">
        <v>10</v>
      </c>
      <c r="B41" t="s">
        <v>44</v>
      </c>
      <c r="C41" t="s">
        <v>34</v>
      </c>
      <c r="D41" t="s">
        <v>35</v>
      </c>
      <c r="E41" s="2">
        <v>119.09699999999999</v>
      </c>
      <c r="F41" s="2">
        <v>0</v>
      </c>
      <c r="G41" s="2">
        <v>19.783999999999999</v>
      </c>
      <c r="H41" s="2">
        <v>-19.640999999999998</v>
      </c>
      <c r="I41" s="1">
        <v>0.99835008438499695</v>
      </c>
      <c r="J41" s="1">
        <v>0.99474797853850205</v>
      </c>
      <c r="K41" s="1">
        <v>0.99411195527357299</v>
      </c>
      <c r="L41" s="1">
        <v>0.49898610764992501</v>
      </c>
      <c r="P41" s="1">
        <f>I41-'Passo 2'!I41</f>
        <v>0.25865051176771892</v>
      </c>
      <c r="Q41" s="1">
        <f>J41-'Passo 2'!J41</f>
        <v>0.27437299008371308</v>
      </c>
      <c r="R41" s="8">
        <f t="shared" si="1"/>
        <v>118.90049999999998</v>
      </c>
      <c r="S41" s="8">
        <f t="shared" si="0"/>
        <v>118.47149999999998</v>
      </c>
      <c r="T41" s="1">
        <f t="shared" si="2"/>
        <v>118.39575153721671</v>
      </c>
      <c r="U41" s="1">
        <f t="shared" si="3"/>
        <v>59.427748462783114</v>
      </c>
    </row>
    <row r="42" spans="1:21" x14ac:dyDescent="0.3">
      <c r="A42" t="s">
        <v>10</v>
      </c>
      <c r="B42" t="s">
        <v>45</v>
      </c>
      <c r="C42" t="s">
        <v>34</v>
      </c>
      <c r="D42" t="s">
        <v>35</v>
      </c>
      <c r="E42" s="2">
        <v>73.054000000000002</v>
      </c>
      <c r="F42" s="2">
        <v>0</v>
      </c>
      <c r="G42" s="2">
        <v>12.119166666666599</v>
      </c>
      <c r="H42" s="2">
        <v>-12.175666666666601</v>
      </c>
      <c r="I42" s="1">
        <v>0.99767979850521504</v>
      </c>
      <c r="J42" s="1">
        <v>1</v>
      </c>
      <c r="K42" s="1">
        <v>0.89371545208152303</v>
      </c>
      <c r="L42" s="1">
        <v>0.60396434642369101</v>
      </c>
      <c r="P42" s="1">
        <f>I42-'Passo 2'!I42</f>
        <v>0.16149013058833206</v>
      </c>
      <c r="Q42" s="1">
        <f>J42-'Passo 2'!J42</f>
        <v>0.19209762641333905</v>
      </c>
      <c r="R42" s="8">
        <f t="shared" si="1"/>
        <v>72.884499999999989</v>
      </c>
      <c r="S42" s="8">
        <f t="shared" si="0"/>
        <v>73.054000000000002</v>
      </c>
      <c r="T42" s="1">
        <f t="shared" si="2"/>
        <v>65.289488636363586</v>
      </c>
      <c r="U42" s="1">
        <f t="shared" si="3"/>
        <v>44.122011363636325</v>
      </c>
    </row>
    <row r="43" spans="1:21" x14ac:dyDescent="0.3">
      <c r="A43" t="s">
        <v>10</v>
      </c>
      <c r="B43" t="s">
        <v>46</v>
      </c>
      <c r="C43" t="s">
        <v>34</v>
      </c>
      <c r="D43" t="s">
        <v>35</v>
      </c>
      <c r="E43" s="2">
        <v>4</v>
      </c>
      <c r="F43" s="2">
        <v>0</v>
      </c>
      <c r="G43" s="2">
        <v>0.66666666666666596</v>
      </c>
      <c r="H43" s="2">
        <v>-0.66666666666666596</v>
      </c>
      <c r="I43" s="1">
        <v>1</v>
      </c>
      <c r="J43" s="1">
        <v>1</v>
      </c>
      <c r="K43" s="1">
        <v>0.84833970469255604</v>
      </c>
      <c r="L43" s="1">
        <v>0.65166029530744296</v>
      </c>
      <c r="P43" s="1">
        <f>I43-'Passo 2'!I43</f>
        <v>6.25E-2</v>
      </c>
      <c r="Q43" s="1">
        <f>J43-'Passo 2'!J43</f>
        <v>0</v>
      </c>
      <c r="R43" s="8">
        <f t="shared" si="1"/>
        <v>4</v>
      </c>
      <c r="S43" s="8">
        <f t="shared" si="0"/>
        <v>4</v>
      </c>
      <c r="T43" s="1">
        <f t="shared" si="2"/>
        <v>3.3933588187702242</v>
      </c>
      <c r="U43" s="1">
        <f t="shared" si="3"/>
        <v>2.6066411812297718</v>
      </c>
    </row>
    <row r="44" spans="1:21" x14ac:dyDescent="0.3">
      <c r="A44" t="s">
        <v>10</v>
      </c>
      <c r="B44" t="s">
        <v>47</v>
      </c>
      <c r="C44" t="s">
        <v>574</v>
      </c>
      <c r="D44" t="s">
        <v>575</v>
      </c>
      <c r="E44" s="2">
        <v>83</v>
      </c>
      <c r="F44" s="2">
        <v>3.2000000000000001E-2</v>
      </c>
      <c r="G44" s="2">
        <v>11.7229999999999</v>
      </c>
      <c r="H44" s="2">
        <v>-11.889666666666599</v>
      </c>
      <c r="I44" s="1">
        <v>0.92353012048192695</v>
      </c>
      <c r="J44" s="1">
        <v>0.92955421686746897</v>
      </c>
      <c r="K44" s="1">
        <v>0.57916759708737797</v>
      </c>
      <c r="L44" s="1">
        <v>0.77410951134635597</v>
      </c>
      <c r="P44" s="1">
        <f>I44-'Passo 2'!I44</f>
        <v>0</v>
      </c>
      <c r="Q44" s="1">
        <f>J44-'Passo 2'!J44</f>
        <v>6.0240963855420215E-3</v>
      </c>
      <c r="R44" s="8">
        <f t="shared" si="1"/>
        <v>76.652999999999935</v>
      </c>
      <c r="S44" s="8">
        <f t="shared" si="0"/>
        <v>77.152999999999921</v>
      </c>
      <c r="T44" s="1">
        <f t="shared" si="2"/>
        <v>48.070910558252372</v>
      </c>
      <c r="U44" s="1">
        <f t="shared" si="3"/>
        <v>64.251089441747553</v>
      </c>
    </row>
    <row r="45" spans="1:21" x14ac:dyDescent="0.3">
      <c r="A45" t="s">
        <v>10</v>
      </c>
      <c r="B45" t="s">
        <v>48</v>
      </c>
      <c r="C45" t="s">
        <v>576</v>
      </c>
      <c r="D45" t="s">
        <v>591</v>
      </c>
      <c r="E45" s="2">
        <v>31</v>
      </c>
      <c r="F45" s="2">
        <v>0</v>
      </c>
      <c r="G45" s="2">
        <v>4.9956666666666596</v>
      </c>
      <c r="H45" s="2">
        <v>-4.9956666666666596</v>
      </c>
      <c r="I45" s="1">
        <v>0.98345161290322503</v>
      </c>
      <c r="J45" s="1">
        <v>0.98345161290322503</v>
      </c>
      <c r="K45" s="1">
        <v>0.82276465836726098</v>
      </c>
      <c r="L45" s="1">
        <v>0.64413856743918896</v>
      </c>
      <c r="P45" s="1">
        <f>I45-'Passo 2'!I45</f>
        <v>0</v>
      </c>
      <c r="Q45" s="1">
        <f>J45-'Passo 2'!J45</f>
        <v>-1.6129032258064946E-2</v>
      </c>
      <c r="R45" s="8">
        <f t="shared" si="1"/>
        <v>30.486999999999977</v>
      </c>
      <c r="S45" s="8">
        <f t="shared" si="0"/>
        <v>30.486999999999977</v>
      </c>
      <c r="T45" s="1">
        <f t="shared" si="2"/>
        <v>25.505704409385089</v>
      </c>
      <c r="U45" s="1">
        <f t="shared" si="3"/>
        <v>19.968295590614858</v>
      </c>
    </row>
    <row r="46" spans="1:21" x14ac:dyDescent="0.3">
      <c r="A46" t="s">
        <v>10</v>
      </c>
      <c r="B46" t="s">
        <v>49</v>
      </c>
      <c r="C46" t="s">
        <v>576</v>
      </c>
      <c r="D46" t="s">
        <v>592</v>
      </c>
      <c r="E46" s="2">
        <v>12</v>
      </c>
      <c r="F46" s="2">
        <v>0</v>
      </c>
      <c r="G46" s="2">
        <v>2</v>
      </c>
      <c r="H46" s="2">
        <v>-2</v>
      </c>
      <c r="I46" s="1">
        <v>1</v>
      </c>
      <c r="J46" s="1">
        <v>1</v>
      </c>
      <c r="K46" s="1">
        <v>0.79554824703344096</v>
      </c>
      <c r="L46" s="1">
        <v>0.70445175296655804</v>
      </c>
      <c r="P46" s="1">
        <f>I46-'Passo 2'!I46</f>
        <v>1.6000000000000014E-2</v>
      </c>
      <c r="Q46" s="1">
        <f>J46-'Passo 2'!J46</f>
        <v>0</v>
      </c>
      <c r="R46" s="8">
        <f t="shared" si="1"/>
        <v>12</v>
      </c>
      <c r="S46" s="8">
        <f t="shared" si="0"/>
        <v>12</v>
      </c>
      <c r="T46" s="1">
        <f t="shared" si="2"/>
        <v>9.5465789644012915</v>
      </c>
      <c r="U46" s="1">
        <f t="shared" si="3"/>
        <v>8.4534210355986961</v>
      </c>
    </row>
    <row r="47" spans="1:21" x14ac:dyDescent="0.3">
      <c r="A47" t="s">
        <v>10</v>
      </c>
      <c r="B47" t="s">
        <v>593</v>
      </c>
      <c r="C47" t="s">
        <v>576</v>
      </c>
      <c r="D47" t="s">
        <v>577</v>
      </c>
      <c r="E47" s="2">
        <v>56.484000000000002</v>
      </c>
      <c r="F47" s="2">
        <v>0</v>
      </c>
      <c r="G47" s="2">
        <v>9.3333333333333304</v>
      </c>
      <c r="H47" s="2">
        <v>-9.3624999999999901</v>
      </c>
      <c r="I47" s="1">
        <v>0.99571560087812405</v>
      </c>
      <c r="J47" s="1">
        <v>0.99726471213086798</v>
      </c>
      <c r="K47" s="1">
        <v>0.85456448316320099</v>
      </c>
      <c r="L47" s="1">
        <v>0.63841582984579204</v>
      </c>
      <c r="P47" s="1">
        <f>I47-'Passo 2'!I47</f>
        <v>0</v>
      </c>
      <c r="Q47" s="1">
        <f>J47-'Passo 2'!J47</f>
        <v>1.5491112527439288E-3</v>
      </c>
      <c r="R47" s="8">
        <f t="shared" si="1"/>
        <v>56.241999999999962</v>
      </c>
      <c r="S47" s="8">
        <f t="shared" si="0"/>
        <v>56.329499999999946</v>
      </c>
      <c r="T47" s="1">
        <f t="shared" si="2"/>
        <v>48.269220266990246</v>
      </c>
      <c r="U47" s="1">
        <f t="shared" si="3"/>
        <v>36.060279733009722</v>
      </c>
    </row>
    <row r="48" spans="1:21" x14ac:dyDescent="0.3">
      <c r="A48" t="s">
        <v>10</v>
      </c>
      <c r="B48" t="s">
        <v>594</v>
      </c>
      <c r="C48" t="s">
        <v>576</v>
      </c>
      <c r="D48" t="s">
        <v>577</v>
      </c>
      <c r="E48" s="2">
        <v>376.13299999999998</v>
      </c>
      <c r="F48" s="2">
        <v>0</v>
      </c>
      <c r="G48" s="2">
        <v>61.801333333333297</v>
      </c>
      <c r="H48" s="2">
        <v>-62.554000000000002</v>
      </c>
      <c r="I48" s="1">
        <v>0.99292138684986397</v>
      </c>
      <c r="J48" s="1">
        <v>0.99892458252798799</v>
      </c>
      <c r="K48" s="1">
        <v>0.80943905955613005</v>
      </c>
      <c r="L48" s="1">
        <v>0.68240690982172203</v>
      </c>
      <c r="P48" s="1">
        <f>I48-'Passo 2'!I48</f>
        <v>0.14136488954704896</v>
      </c>
      <c r="Q48" s="1">
        <f>J48-'Passo 2'!J48</f>
        <v>0</v>
      </c>
      <c r="R48" s="8">
        <f t="shared" si="1"/>
        <v>373.47049999999984</v>
      </c>
      <c r="S48" s="8">
        <f t="shared" si="0"/>
        <v>375.72849999999971</v>
      </c>
      <c r="T48" s="1">
        <f t="shared" si="2"/>
        <v>304.45674178802585</v>
      </c>
      <c r="U48" s="1">
        <f t="shared" si="3"/>
        <v>256.67575821197374</v>
      </c>
    </row>
    <row r="49" spans="1:21" x14ac:dyDescent="0.3">
      <c r="A49" t="s">
        <v>10</v>
      </c>
      <c r="B49" t="s">
        <v>50</v>
      </c>
      <c r="C49" t="s">
        <v>576</v>
      </c>
      <c r="D49" t="s">
        <v>14</v>
      </c>
      <c r="E49" s="2">
        <v>10.68</v>
      </c>
      <c r="F49" s="2">
        <v>0</v>
      </c>
      <c r="G49" s="2">
        <v>1.75166666666666</v>
      </c>
      <c r="H49" s="2">
        <v>-1.7344999999999999</v>
      </c>
      <c r="I49" s="1">
        <v>0.992041198501872</v>
      </c>
      <c r="J49" s="1">
        <v>0.98721910112359501</v>
      </c>
      <c r="K49" s="1">
        <v>0.64699940835484704</v>
      </c>
      <c r="L49" s="1">
        <v>0.83226089127061997</v>
      </c>
      <c r="P49" s="1">
        <f>I49-'Passo 2'!I49</f>
        <v>4.1666666666659857E-3</v>
      </c>
      <c r="Q49" s="1">
        <f>J49-'Passo 2'!J49</f>
        <v>1.4044943820201716E-4</v>
      </c>
      <c r="R49" s="8">
        <f t="shared" si="1"/>
        <v>10.594999999999994</v>
      </c>
      <c r="S49" s="8">
        <f t="shared" si="0"/>
        <v>10.543499999999995</v>
      </c>
      <c r="T49" s="1">
        <f t="shared" si="2"/>
        <v>6.9099536812297666</v>
      </c>
      <c r="U49" s="1">
        <f t="shared" si="3"/>
        <v>8.8885463187702207</v>
      </c>
    </row>
    <row r="50" spans="1:21" x14ac:dyDescent="0.3">
      <c r="A50" t="s">
        <v>10</v>
      </c>
      <c r="B50" t="s">
        <v>51</v>
      </c>
      <c r="C50" t="s">
        <v>574</v>
      </c>
      <c r="D50" t="s">
        <v>575</v>
      </c>
      <c r="E50" s="2">
        <v>231.36799999999999</v>
      </c>
      <c r="F50" s="2">
        <v>0</v>
      </c>
      <c r="G50" s="2">
        <v>38.478666666666598</v>
      </c>
      <c r="H50" s="2">
        <v>-38.480333333333299</v>
      </c>
      <c r="I50" s="1">
        <v>0.99892811451886099</v>
      </c>
      <c r="J50" s="1">
        <v>0.99894972511323898</v>
      </c>
      <c r="K50" s="1">
        <v>0.66818451368861198</v>
      </c>
      <c r="L50" s="1">
        <v>0.82969332594348899</v>
      </c>
      <c r="P50" s="1">
        <f>I50-'Passo 2'!I50</f>
        <v>0.13476798865875994</v>
      </c>
      <c r="Q50" s="1">
        <f>J50-'Passo 2'!J50</f>
        <v>4.9488261125096855E-4</v>
      </c>
      <c r="R50" s="8">
        <f t="shared" si="1"/>
        <v>231.11999999999983</v>
      </c>
      <c r="S50" s="8">
        <f t="shared" si="0"/>
        <v>231.12499999999989</v>
      </c>
      <c r="T50" s="1">
        <f t="shared" si="2"/>
        <v>154.59651456310678</v>
      </c>
      <c r="U50" s="1">
        <f t="shared" si="3"/>
        <v>191.96448543689317</v>
      </c>
    </row>
    <row r="51" spans="1:21" x14ac:dyDescent="0.3">
      <c r="A51" t="s">
        <v>10</v>
      </c>
      <c r="B51" t="s">
        <v>52</v>
      </c>
      <c r="C51" t="s">
        <v>576</v>
      </c>
      <c r="D51" t="s">
        <v>577</v>
      </c>
      <c r="E51" s="2">
        <v>72.474999999999994</v>
      </c>
      <c r="F51" s="2">
        <v>0</v>
      </c>
      <c r="G51" s="2">
        <v>10.7383333333333</v>
      </c>
      <c r="H51" s="2">
        <v>-10.74</v>
      </c>
      <c r="I51" s="1">
        <v>0.94449810279406698</v>
      </c>
      <c r="J51" s="1">
        <v>0.94456709210072398</v>
      </c>
      <c r="K51" s="1">
        <v>0.51464897783076602</v>
      </c>
      <c r="L51" s="1">
        <v>0.87441621706402495</v>
      </c>
      <c r="P51" s="1">
        <f>I51-'Passo 2'!I51</f>
        <v>3.201103828907037E-3</v>
      </c>
      <c r="Q51" s="1">
        <f>J51-'Passo 2'!J51</f>
        <v>5.519144532595277E-5</v>
      </c>
      <c r="R51" s="8">
        <f t="shared" si="1"/>
        <v>68.452500000000001</v>
      </c>
      <c r="S51" s="8">
        <f t="shared" si="0"/>
        <v>68.457499999999968</v>
      </c>
      <c r="T51" s="1">
        <f t="shared" si="2"/>
        <v>37.299184668284767</v>
      </c>
      <c r="U51" s="1">
        <f t="shared" si="3"/>
        <v>63.373315331715204</v>
      </c>
    </row>
    <row r="52" spans="1:21" x14ac:dyDescent="0.3">
      <c r="A52" t="s">
        <v>10</v>
      </c>
      <c r="B52" t="s">
        <v>53</v>
      </c>
      <c r="C52" t="s">
        <v>576</v>
      </c>
      <c r="D52" t="s">
        <v>595</v>
      </c>
      <c r="E52" s="2">
        <v>364.49</v>
      </c>
      <c r="F52" s="2">
        <v>0</v>
      </c>
      <c r="G52" s="2">
        <v>60.267166666666597</v>
      </c>
      <c r="H52" s="2">
        <v>-60.530333333333303</v>
      </c>
      <c r="I52" s="1">
        <v>0.99603967187028397</v>
      </c>
      <c r="J52" s="1">
        <v>0.99820571209086595</v>
      </c>
      <c r="K52" s="1">
        <v>0.96182369982138405</v>
      </c>
      <c r="L52" s="1">
        <v>0.53242168413976598</v>
      </c>
      <c r="P52" s="1">
        <f>I52-'Passo 2'!I52</f>
        <v>9.7799665285742021E-2</v>
      </c>
      <c r="Q52" s="1">
        <f>J52-'Passo 2'!J52</f>
        <v>6.9631539959938982E-3</v>
      </c>
      <c r="R52" s="8">
        <f t="shared" si="1"/>
        <v>363.04649999999981</v>
      </c>
      <c r="S52" s="8">
        <f t="shared" si="0"/>
        <v>363.83599999999973</v>
      </c>
      <c r="T52" s="1">
        <f t="shared" si="2"/>
        <v>350.5751203478963</v>
      </c>
      <c r="U52" s="1">
        <f t="shared" si="3"/>
        <v>194.06237965210332</v>
      </c>
    </row>
    <row r="53" spans="1:21" x14ac:dyDescent="0.3">
      <c r="A53" t="s">
        <v>10</v>
      </c>
      <c r="B53" t="s">
        <v>54</v>
      </c>
      <c r="C53" t="s">
        <v>576</v>
      </c>
      <c r="D53" t="s">
        <v>14</v>
      </c>
      <c r="E53" s="2">
        <v>10.762</v>
      </c>
      <c r="F53" s="2">
        <v>0</v>
      </c>
      <c r="G53" s="2">
        <v>1.7548333333333299</v>
      </c>
      <c r="H53" s="2">
        <v>-1.74816666666666</v>
      </c>
      <c r="I53" s="1">
        <v>0.98917487455863196</v>
      </c>
      <c r="J53" s="1">
        <v>0.987316483924921</v>
      </c>
      <c r="K53" s="1">
        <v>0.64021532146850102</v>
      </c>
      <c r="L53" s="1">
        <v>0.83627603701505104</v>
      </c>
      <c r="P53" s="1">
        <f>I53-'Passo 2'!I53</f>
        <v>5.8539304961909844E-3</v>
      </c>
      <c r="Q53" s="1">
        <f>J53-'Passo 2'!J53</f>
        <v>0</v>
      </c>
      <c r="R53" s="8">
        <f t="shared" si="1"/>
        <v>10.645499999999998</v>
      </c>
      <c r="S53" s="8">
        <f t="shared" si="0"/>
        <v>10.625500000000001</v>
      </c>
      <c r="T53" s="1">
        <f t="shared" si="2"/>
        <v>6.8899972896440085</v>
      </c>
      <c r="U53" s="1">
        <f t="shared" si="3"/>
        <v>9.0000027103559805</v>
      </c>
    </row>
    <row r="54" spans="1:21" x14ac:dyDescent="0.3">
      <c r="A54" t="s">
        <v>10</v>
      </c>
      <c r="B54" t="s">
        <v>55</v>
      </c>
      <c r="C54" t="s">
        <v>576</v>
      </c>
      <c r="D54" t="s">
        <v>583</v>
      </c>
      <c r="E54" s="2">
        <v>0</v>
      </c>
      <c r="F54" s="2">
        <v>0</v>
      </c>
      <c r="G54" s="2">
        <v>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P54" s="1">
        <f>I54-'Passo 2'!I54</f>
        <v>0</v>
      </c>
      <c r="Q54" s="1">
        <f>J54-'Passo 2'!J54</f>
        <v>0</v>
      </c>
      <c r="R54" s="8">
        <f t="shared" si="1"/>
        <v>0</v>
      </c>
      <c r="S54" s="8">
        <f t="shared" si="0"/>
        <v>0</v>
      </c>
      <c r="T54" s="1">
        <f t="shared" si="2"/>
        <v>0</v>
      </c>
      <c r="U54" s="1">
        <f t="shared" si="3"/>
        <v>0</v>
      </c>
    </row>
    <row r="55" spans="1:21" x14ac:dyDescent="0.3">
      <c r="A55" t="s">
        <v>10</v>
      </c>
      <c r="B55" t="s">
        <v>596</v>
      </c>
      <c r="C55" t="s">
        <v>574</v>
      </c>
      <c r="D55" t="s">
        <v>575</v>
      </c>
      <c r="E55" s="2">
        <v>382.54399999999998</v>
      </c>
      <c r="F55" s="2">
        <v>0</v>
      </c>
      <c r="G55" s="2">
        <v>61.936666666666603</v>
      </c>
      <c r="H55" s="2">
        <v>-61.957999999999998</v>
      </c>
      <c r="I55" s="1">
        <v>0.98572190388556602</v>
      </c>
      <c r="J55" s="1">
        <v>0.985889204901919</v>
      </c>
      <c r="K55" s="1">
        <v>0.735594282294882</v>
      </c>
      <c r="L55" s="1">
        <v>0.73601682649260303</v>
      </c>
      <c r="P55" s="1">
        <f>I55-'Passo 2'!I55</f>
        <v>5.9509494332680157E-3</v>
      </c>
      <c r="Q55" s="1">
        <f>J55-'Passo 2'!J55</f>
        <v>1.0600087833030347E-3</v>
      </c>
      <c r="R55" s="8">
        <f t="shared" si="1"/>
        <v>377.08199999999994</v>
      </c>
      <c r="S55" s="8">
        <f t="shared" si="0"/>
        <v>377.14599999999967</v>
      </c>
      <c r="T55" s="1">
        <f t="shared" si="2"/>
        <v>281.3971791262133</v>
      </c>
      <c r="U55" s="1">
        <f t="shared" si="3"/>
        <v>281.55882087378632</v>
      </c>
    </row>
    <row r="56" spans="1:21" x14ac:dyDescent="0.3">
      <c r="A56" t="s">
        <v>10</v>
      </c>
      <c r="B56" t="s">
        <v>597</v>
      </c>
      <c r="C56" t="s">
        <v>576</v>
      </c>
      <c r="D56" t="s">
        <v>598</v>
      </c>
      <c r="E56" s="2">
        <v>238.41300000000001</v>
      </c>
      <c r="F56" s="2">
        <v>0</v>
      </c>
      <c r="G56" s="2">
        <v>38.829333333333302</v>
      </c>
      <c r="H56" s="2">
        <v>-37.451000000000001</v>
      </c>
      <c r="I56" s="1">
        <v>0.98859751775280702</v>
      </c>
      <c r="J56" s="1">
        <v>0.97125366485887898</v>
      </c>
      <c r="K56" s="1">
        <v>0.591124207453121</v>
      </c>
      <c r="L56" s="1">
        <v>0.86872697515856501</v>
      </c>
      <c r="P56" s="1">
        <f>I56-'Passo 2'!I56</f>
        <v>0.23542969552834803</v>
      </c>
      <c r="Q56" s="1">
        <f>J56-'Passo 2'!J56</f>
        <v>1.325850519896199E-2</v>
      </c>
      <c r="R56" s="8">
        <f t="shared" si="1"/>
        <v>235.69450000000001</v>
      </c>
      <c r="S56" s="8">
        <f t="shared" si="0"/>
        <v>231.55949999999993</v>
      </c>
      <c r="T56" s="1">
        <f t="shared" si="2"/>
        <v>140.93169567152094</v>
      </c>
      <c r="U56" s="1">
        <f t="shared" si="3"/>
        <v>207.11580432847896</v>
      </c>
    </row>
    <row r="57" spans="1:21" x14ac:dyDescent="0.3">
      <c r="A57" t="s">
        <v>10</v>
      </c>
      <c r="B57" t="s">
        <v>56</v>
      </c>
      <c r="C57" t="s">
        <v>576</v>
      </c>
      <c r="D57" t="s">
        <v>577</v>
      </c>
      <c r="E57" s="2">
        <v>79.427000000000007</v>
      </c>
      <c r="F57" s="2">
        <v>0</v>
      </c>
      <c r="G57" s="2">
        <v>10.692833333333301</v>
      </c>
      <c r="H57" s="2">
        <v>-10.5668333333333</v>
      </c>
      <c r="I57" s="1">
        <v>0.90387399750714403</v>
      </c>
      <c r="J57" s="1">
        <v>0.89911491054679105</v>
      </c>
      <c r="K57" s="1">
        <v>0.52093637007998495</v>
      </c>
      <c r="L57" s="1">
        <v>0.78205253797395002</v>
      </c>
      <c r="P57" s="1">
        <f>I57-'Passo 2'!I57</f>
        <v>1.2948997192390066E-2</v>
      </c>
      <c r="Q57" s="1">
        <f>J57-'Passo 2'!J57</f>
        <v>7.61705717200023E-4</v>
      </c>
      <c r="R57" s="8">
        <f t="shared" si="1"/>
        <v>71.791999999999931</v>
      </c>
      <c r="S57" s="8">
        <f t="shared" si="0"/>
        <v>71.413999999999973</v>
      </c>
      <c r="T57" s="1">
        <f t="shared" si="2"/>
        <v>41.37641306634297</v>
      </c>
      <c r="U57" s="1">
        <f t="shared" si="3"/>
        <v>62.116086933656931</v>
      </c>
    </row>
    <row r="58" spans="1:21" x14ac:dyDescent="0.3">
      <c r="A58" t="s">
        <v>10</v>
      </c>
      <c r="B58" t="s">
        <v>599</v>
      </c>
      <c r="C58" t="s">
        <v>574</v>
      </c>
      <c r="D58" t="s">
        <v>575</v>
      </c>
      <c r="E58" s="2">
        <v>7216.1080000000002</v>
      </c>
      <c r="F58" s="2">
        <v>1303.7729999999999</v>
      </c>
      <c r="G58" s="2">
        <v>806.11416666666605</v>
      </c>
      <c r="H58" s="2">
        <v>-801.61133333333305</v>
      </c>
      <c r="I58" s="1">
        <v>0.74479345375651196</v>
      </c>
      <c r="J58" s="1">
        <v>0.74292146126416003</v>
      </c>
      <c r="K58" s="1">
        <v>0.59817366223366597</v>
      </c>
      <c r="L58" s="1">
        <v>0.47987893897463002</v>
      </c>
      <c r="P58" s="1">
        <f>I58-'Passo 2'!I58</f>
        <v>0.10462620570534698</v>
      </c>
      <c r="Q58" s="1">
        <f>J58-'Passo 2'!J58</f>
        <v>5.0974153934502997E-2</v>
      </c>
      <c r="R58" s="8">
        <f t="shared" si="1"/>
        <v>5374.5099999999957</v>
      </c>
      <c r="S58" s="8">
        <f t="shared" si="0"/>
        <v>5361.0014999999958</v>
      </c>
      <c r="T58" s="1">
        <f t="shared" si="2"/>
        <v>4316.4857494336547</v>
      </c>
      <c r="U58" s="1">
        <f t="shared" si="3"/>
        <v>3462.8582505663394</v>
      </c>
    </row>
    <row r="59" spans="1:21" x14ac:dyDescent="0.3">
      <c r="A59" t="s">
        <v>57</v>
      </c>
      <c r="B59" t="s">
        <v>58</v>
      </c>
      <c r="C59" t="s">
        <v>580</v>
      </c>
      <c r="D59" t="s">
        <v>581</v>
      </c>
      <c r="E59" s="2">
        <v>47.854999999999997</v>
      </c>
      <c r="F59" s="2">
        <v>0</v>
      </c>
      <c r="G59" s="2">
        <v>7.1875</v>
      </c>
      <c r="H59" s="2">
        <v>-6.92116666666666</v>
      </c>
      <c r="I59" s="1">
        <v>0.95057987671089705</v>
      </c>
      <c r="J59" s="1">
        <v>0.933883606728659</v>
      </c>
      <c r="K59" s="1">
        <v>0.85526305868016195</v>
      </c>
      <c r="L59" s="1">
        <v>0.52920042475939399</v>
      </c>
      <c r="P59" s="1">
        <f>I59-'Passo 2'!I59</f>
        <v>6.0129558039912046E-2</v>
      </c>
      <c r="Q59" s="1">
        <f>J59-'Passo 2'!J59</f>
        <v>8.4745585623236974E-2</v>
      </c>
      <c r="R59" s="8">
        <f t="shared" si="1"/>
        <v>45.489999999999974</v>
      </c>
      <c r="S59" s="8">
        <f t="shared" si="0"/>
        <v>44.690999999999974</v>
      </c>
      <c r="T59" s="1">
        <f t="shared" si="2"/>
        <v>40.928613673139147</v>
      </c>
      <c r="U59" s="1">
        <f t="shared" si="3"/>
        <v>25.324886326860799</v>
      </c>
    </row>
    <row r="60" spans="1:21" x14ac:dyDescent="0.3">
      <c r="A60" t="s">
        <v>57</v>
      </c>
      <c r="B60" t="s">
        <v>59</v>
      </c>
      <c r="C60" t="s">
        <v>580</v>
      </c>
      <c r="D60" t="s">
        <v>581</v>
      </c>
      <c r="E60" s="2">
        <v>82.29</v>
      </c>
      <c r="F60" s="2">
        <v>0</v>
      </c>
      <c r="G60" s="2">
        <v>13.5851666666666</v>
      </c>
      <c r="H60" s="2">
        <v>-11.5465</v>
      </c>
      <c r="I60" s="1">
        <v>0.99526673957953504</v>
      </c>
      <c r="J60" s="1">
        <v>0.92094422165512202</v>
      </c>
      <c r="K60" s="1">
        <v>0.90799164028785995</v>
      </c>
      <c r="L60" s="1">
        <v>0.508219320946797</v>
      </c>
      <c r="P60" s="1">
        <f>I60-'Passo 2'!I60</f>
        <v>6.4509660955158088E-2</v>
      </c>
      <c r="Q60" s="1">
        <f>J60-'Passo 2'!J60</f>
        <v>4.938024061246804E-2</v>
      </c>
      <c r="R60" s="8">
        <f t="shared" si="1"/>
        <v>81.900499999999951</v>
      </c>
      <c r="S60" s="8">
        <f t="shared" si="0"/>
        <v>75.784499999999994</v>
      </c>
      <c r="T60" s="1">
        <f t="shared" si="2"/>
        <v>74.718632079288</v>
      </c>
      <c r="U60" s="1">
        <f t="shared" si="3"/>
        <v>41.821367920711928</v>
      </c>
    </row>
    <row r="61" spans="1:21" x14ac:dyDescent="0.3">
      <c r="A61" t="s">
        <v>57</v>
      </c>
      <c r="B61" t="s">
        <v>60</v>
      </c>
      <c r="C61" t="s">
        <v>576</v>
      </c>
      <c r="D61" t="s">
        <v>589</v>
      </c>
      <c r="E61" s="2">
        <v>0</v>
      </c>
      <c r="F61" s="2">
        <v>0</v>
      </c>
      <c r="G61" s="2">
        <v>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P61" s="1">
        <f>I61-'Passo 2'!I61</f>
        <v>0</v>
      </c>
      <c r="Q61" s="1">
        <f>J61-'Passo 2'!J61</f>
        <v>0</v>
      </c>
      <c r="R61" s="8">
        <f t="shared" si="1"/>
        <v>0</v>
      </c>
      <c r="S61" s="8">
        <f t="shared" si="0"/>
        <v>0</v>
      </c>
      <c r="T61" s="1">
        <f t="shared" si="2"/>
        <v>0</v>
      </c>
      <c r="U61" s="1">
        <f t="shared" si="3"/>
        <v>0</v>
      </c>
    </row>
    <row r="62" spans="1:21" x14ac:dyDescent="0.3">
      <c r="A62" t="s">
        <v>57</v>
      </c>
      <c r="B62" t="s">
        <v>61</v>
      </c>
      <c r="C62" t="s">
        <v>576</v>
      </c>
      <c r="D62" t="s">
        <v>583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P62" s="1">
        <f>I62-'Passo 2'!I62</f>
        <v>0</v>
      </c>
      <c r="Q62" s="1">
        <f>J62-'Passo 2'!J62</f>
        <v>0</v>
      </c>
      <c r="R62" s="8">
        <f t="shared" si="1"/>
        <v>0</v>
      </c>
      <c r="S62" s="8">
        <f t="shared" si="0"/>
        <v>0</v>
      </c>
      <c r="T62" s="1">
        <f t="shared" si="2"/>
        <v>0</v>
      </c>
      <c r="U62" s="1">
        <f t="shared" si="3"/>
        <v>0</v>
      </c>
    </row>
    <row r="63" spans="1:21" x14ac:dyDescent="0.3">
      <c r="A63" t="s">
        <v>57</v>
      </c>
      <c r="B63" t="s">
        <v>600</v>
      </c>
      <c r="C63" t="s">
        <v>574</v>
      </c>
      <c r="D63" t="s">
        <v>575</v>
      </c>
      <c r="E63" s="2">
        <v>255.21799999999999</v>
      </c>
      <c r="F63" s="2">
        <v>0</v>
      </c>
      <c r="G63" s="2">
        <v>42.536333333333303</v>
      </c>
      <c r="H63" s="2">
        <v>-42.536333333333303</v>
      </c>
      <c r="I63" s="1">
        <v>1</v>
      </c>
      <c r="J63" s="1">
        <v>1</v>
      </c>
      <c r="K63" s="1">
        <v>0.94860689849740998</v>
      </c>
      <c r="L63" s="1">
        <v>0.55139310150259002</v>
      </c>
      <c r="P63" s="1">
        <f>I63-'Passo 2'!I63</f>
        <v>1.525950364002604E-2</v>
      </c>
      <c r="Q63" s="1">
        <f>J63-'Passo 2'!J63</f>
        <v>8.7585906950137016E-2</v>
      </c>
      <c r="R63" s="8">
        <f t="shared" si="1"/>
        <v>255.21799999999999</v>
      </c>
      <c r="S63" s="8">
        <f t="shared" si="0"/>
        <v>255.21799999999999</v>
      </c>
      <c r="T63" s="1">
        <f t="shared" si="2"/>
        <v>242.10155542071197</v>
      </c>
      <c r="U63" s="1">
        <f t="shared" si="3"/>
        <v>140.72544457928802</v>
      </c>
    </row>
    <row r="64" spans="1:21" x14ac:dyDescent="0.3">
      <c r="A64" t="s">
        <v>57</v>
      </c>
      <c r="B64" t="s">
        <v>601</v>
      </c>
      <c r="C64" t="s">
        <v>34</v>
      </c>
      <c r="D64" t="s">
        <v>35</v>
      </c>
      <c r="E64" s="2">
        <v>33.237000000000002</v>
      </c>
      <c r="F64" s="2">
        <v>0</v>
      </c>
      <c r="G64" s="2">
        <v>5.4469999999999903</v>
      </c>
      <c r="H64" s="2">
        <v>-5.5395000000000003</v>
      </c>
      <c r="I64" s="1">
        <v>0.99165087101723903</v>
      </c>
      <c r="J64" s="1">
        <v>1</v>
      </c>
      <c r="K64" s="1">
        <v>0.87319404048574101</v>
      </c>
      <c r="L64" s="1">
        <v>0.61845683053149803</v>
      </c>
      <c r="P64" s="1">
        <f>I64-'Passo 2'!I64</f>
        <v>5.0019556518338004E-2</v>
      </c>
      <c r="Q64" s="1">
        <f>J64-'Passo 2'!J64</f>
        <v>4.2046514426694048E-2</v>
      </c>
      <c r="R64" s="8">
        <f t="shared" si="1"/>
        <v>32.959499999999977</v>
      </c>
      <c r="S64" s="8">
        <f t="shared" si="0"/>
        <v>33.237000000000002</v>
      </c>
      <c r="T64" s="1">
        <f t="shared" si="2"/>
        <v>29.022350323624575</v>
      </c>
      <c r="U64" s="1">
        <f t="shared" si="3"/>
        <v>20.555649676375403</v>
      </c>
    </row>
    <row r="65" spans="1:21" x14ac:dyDescent="0.3">
      <c r="A65" t="s">
        <v>57</v>
      </c>
      <c r="B65" t="s">
        <v>602</v>
      </c>
      <c r="C65" t="s">
        <v>580</v>
      </c>
      <c r="D65" t="s">
        <v>581</v>
      </c>
      <c r="E65" s="2">
        <v>45.759</v>
      </c>
      <c r="F65" s="2">
        <v>0</v>
      </c>
      <c r="G65" s="2">
        <v>6.8678333333333299</v>
      </c>
      <c r="H65" s="2">
        <v>-6.0113333333333303</v>
      </c>
      <c r="I65" s="1">
        <v>0.95026115081186202</v>
      </c>
      <c r="J65" s="1">
        <v>0.89410826285539402</v>
      </c>
      <c r="K65" s="1">
        <v>0.77515145651566797</v>
      </c>
      <c r="L65" s="1">
        <v>0.56921795715158796</v>
      </c>
      <c r="P65" s="1">
        <f>I65-'Passo 2'!I65</f>
        <v>6.6631700867589072E-2</v>
      </c>
      <c r="Q65" s="1">
        <f>J65-'Passo 2'!J65</f>
        <v>6.188946436766507E-2</v>
      </c>
      <c r="R65" s="8">
        <f t="shared" si="1"/>
        <v>43.482999999999997</v>
      </c>
      <c r="S65" s="8">
        <f t="shared" si="0"/>
        <v>40.913499999999978</v>
      </c>
      <c r="T65" s="1">
        <f t="shared" si="2"/>
        <v>35.47015549870045</v>
      </c>
      <c r="U65" s="1">
        <f t="shared" si="3"/>
        <v>26.046844501299514</v>
      </c>
    </row>
    <row r="66" spans="1:21" x14ac:dyDescent="0.3">
      <c r="A66" t="s">
        <v>57</v>
      </c>
      <c r="B66" t="s">
        <v>603</v>
      </c>
      <c r="C66" t="s">
        <v>576</v>
      </c>
      <c r="D66" t="s">
        <v>589</v>
      </c>
      <c r="E66" s="2">
        <v>0</v>
      </c>
      <c r="F66" s="2">
        <v>0</v>
      </c>
      <c r="G66" s="2">
        <v>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P66" s="1">
        <f>I66-'Passo 2'!I66</f>
        <v>0</v>
      </c>
      <c r="Q66" s="1">
        <f>J66-'Passo 2'!J66</f>
        <v>0</v>
      </c>
      <c r="R66" s="8">
        <f t="shared" si="1"/>
        <v>0</v>
      </c>
      <c r="S66" s="8">
        <f t="shared" ref="S66:S129" si="4">J66*E66</f>
        <v>0</v>
      </c>
      <c r="T66" s="1">
        <f t="shared" si="2"/>
        <v>0</v>
      </c>
      <c r="U66" s="1">
        <f t="shared" si="3"/>
        <v>0</v>
      </c>
    </row>
    <row r="67" spans="1:21" x14ac:dyDescent="0.3">
      <c r="A67" t="s">
        <v>57</v>
      </c>
      <c r="B67" t="s">
        <v>604</v>
      </c>
      <c r="C67" t="s">
        <v>574</v>
      </c>
      <c r="D67" t="s">
        <v>575</v>
      </c>
      <c r="E67" s="2">
        <v>236.678</v>
      </c>
      <c r="F67" s="2">
        <v>94.495999999999995</v>
      </c>
      <c r="G67" s="2">
        <v>23.016999999999999</v>
      </c>
      <c r="H67" s="2">
        <v>-22.945833333333301</v>
      </c>
      <c r="I67" s="1">
        <v>0.592120940687347</v>
      </c>
      <c r="J67" s="1">
        <v>0.59121887120898398</v>
      </c>
      <c r="K67" s="1">
        <v>0.51882450552552495</v>
      </c>
      <c r="L67" s="1">
        <v>0.36414518324994199</v>
      </c>
      <c r="P67" s="1">
        <f>I67-'Passo 2'!I67</f>
        <v>1.9646946484297434E-4</v>
      </c>
      <c r="Q67" s="1">
        <f>J67-'Passo 2'!J67</f>
        <v>1.1794505615223994E-2</v>
      </c>
      <c r="R67" s="8">
        <f t="shared" ref="R67:R130" si="5">I67*E67</f>
        <v>140.14199999999991</v>
      </c>
      <c r="S67" s="8">
        <f t="shared" si="4"/>
        <v>139.9284999999999</v>
      </c>
      <c r="T67" s="1">
        <f t="shared" ref="T67:T130" si="6">K67*E67</f>
        <v>122.7943463187702</v>
      </c>
      <c r="U67" s="1">
        <f t="shared" ref="U67:U130" si="7">L67*E67</f>
        <v>86.185153681229764</v>
      </c>
    </row>
    <row r="68" spans="1:21" x14ac:dyDescent="0.3">
      <c r="A68" t="s">
        <v>57</v>
      </c>
      <c r="B68" t="s">
        <v>62</v>
      </c>
      <c r="C68" t="s">
        <v>576</v>
      </c>
      <c r="D68" t="s">
        <v>598</v>
      </c>
      <c r="E68" s="2">
        <v>201.64699999999999</v>
      </c>
      <c r="F68" s="2">
        <v>11.965</v>
      </c>
      <c r="G68" s="2">
        <v>27.687999999999999</v>
      </c>
      <c r="H68" s="2">
        <v>-27.743833333333299</v>
      </c>
      <c r="I68" s="1">
        <v>0.88225959225775696</v>
      </c>
      <c r="J68" s="1">
        <v>0.88309025177661904</v>
      </c>
      <c r="K68" s="1">
        <v>0.52458758555335605</v>
      </c>
      <c r="L68" s="1">
        <v>0.77043044099799296</v>
      </c>
      <c r="P68" s="1">
        <f>I68-'Passo 2'!I68</f>
        <v>1.7109106507895433E-4</v>
      </c>
      <c r="Q68" s="1">
        <f>J68-'Passo 2'!J68</f>
        <v>1.0017505839410301E-3</v>
      </c>
      <c r="R68" s="8">
        <f t="shared" si="5"/>
        <v>177.90499999999992</v>
      </c>
      <c r="S68" s="8">
        <f t="shared" si="4"/>
        <v>178.07249999999991</v>
      </c>
      <c r="T68" s="1">
        <f t="shared" si="6"/>
        <v>105.78151286407758</v>
      </c>
      <c r="U68" s="1">
        <f t="shared" si="7"/>
        <v>155.35498713592227</v>
      </c>
    </row>
    <row r="69" spans="1:21" x14ac:dyDescent="0.3">
      <c r="A69" t="s">
        <v>57</v>
      </c>
      <c r="B69" t="s">
        <v>605</v>
      </c>
      <c r="C69" t="s">
        <v>576</v>
      </c>
      <c r="D69" t="s">
        <v>583</v>
      </c>
      <c r="E69" s="2">
        <v>145.24600000000001</v>
      </c>
      <c r="F69" s="2">
        <v>0</v>
      </c>
      <c r="G69" s="2">
        <v>24.207666666666601</v>
      </c>
      <c r="H69" s="2">
        <v>-24.207666666666601</v>
      </c>
      <c r="I69" s="1">
        <v>1</v>
      </c>
      <c r="J69" s="1">
        <v>1</v>
      </c>
      <c r="K69" s="1">
        <v>0.99873523780823104</v>
      </c>
      <c r="L69" s="1">
        <v>0.50126476219176797</v>
      </c>
      <c r="P69" s="1">
        <f>I69-'Passo 2'!I69</f>
        <v>5.7901766657949549E-3</v>
      </c>
      <c r="Q69" s="1">
        <f>J69-'Passo 2'!J69</f>
        <v>1.4802473045805176E-4</v>
      </c>
      <c r="R69" s="8">
        <f t="shared" si="5"/>
        <v>145.24600000000001</v>
      </c>
      <c r="S69" s="8">
        <f t="shared" si="4"/>
        <v>145.24600000000001</v>
      </c>
      <c r="T69" s="1">
        <f t="shared" si="6"/>
        <v>145.06229835069433</v>
      </c>
      <c r="U69" s="1">
        <f t="shared" si="7"/>
        <v>72.806701649305538</v>
      </c>
    </row>
    <row r="70" spans="1:21" x14ac:dyDescent="0.3">
      <c r="A70" t="s">
        <v>57</v>
      </c>
      <c r="B70" t="s">
        <v>63</v>
      </c>
      <c r="C70" t="s">
        <v>576</v>
      </c>
      <c r="D70" t="s">
        <v>583</v>
      </c>
      <c r="E70" s="2">
        <v>167.36600000000001</v>
      </c>
      <c r="F70" s="2">
        <v>0</v>
      </c>
      <c r="G70" s="2">
        <v>27.8943333333333</v>
      </c>
      <c r="H70" s="2">
        <v>-27.877333333333301</v>
      </c>
      <c r="I70" s="1">
        <v>1</v>
      </c>
      <c r="J70" s="1">
        <v>0.99969527861094798</v>
      </c>
      <c r="K70" s="1">
        <v>0.99829215398595195</v>
      </c>
      <c r="L70" s="1">
        <v>0.50140312462499503</v>
      </c>
      <c r="P70" s="1">
        <f>I70-'Passo 2'!I70</f>
        <v>4.2180012666850009E-2</v>
      </c>
      <c r="Q70" s="1">
        <f>J70-'Passo 2'!J70</f>
        <v>1.5564690558419469E-3</v>
      </c>
      <c r="R70" s="8">
        <f t="shared" si="5"/>
        <v>167.36600000000001</v>
      </c>
      <c r="S70" s="8">
        <f t="shared" si="4"/>
        <v>167.31499999999994</v>
      </c>
      <c r="T70" s="1">
        <f t="shared" si="6"/>
        <v>167.08016464401285</v>
      </c>
      <c r="U70" s="1">
        <f t="shared" si="7"/>
        <v>83.917835355986924</v>
      </c>
    </row>
    <row r="71" spans="1:21" x14ac:dyDescent="0.3">
      <c r="A71" t="s">
        <v>57</v>
      </c>
      <c r="B71" t="s">
        <v>64</v>
      </c>
      <c r="C71" t="s">
        <v>576</v>
      </c>
      <c r="D71" t="s">
        <v>589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P71" s="1">
        <f>I71-'Passo 2'!I71</f>
        <v>0</v>
      </c>
      <c r="Q71" s="1">
        <f>J71-'Passo 2'!J71</f>
        <v>0</v>
      </c>
      <c r="R71" s="8">
        <f t="shared" si="5"/>
        <v>0</v>
      </c>
      <c r="S71" s="8">
        <f t="shared" si="4"/>
        <v>0</v>
      </c>
      <c r="T71" s="1">
        <f t="shared" si="6"/>
        <v>0</v>
      </c>
      <c r="U71" s="1">
        <f t="shared" si="7"/>
        <v>0</v>
      </c>
    </row>
    <row r="72" spans="1:21" x14ac:dyDescent="0.3">
      <c r="A72" t="s">
        <v>57</v>
      </c>
      <c r="B72" t="s">
        <v>606</v>
      </c>
      <c r="C72" t="s">
        <v>580</v>
      </c>
      <c r="D72" t="s">
        <v>581</v>
      </c>
      <c r="E72" s="2">
        <v>25.288</v>
      </c>
      <c r="F72" s="2">
        <v>0</v>
      </c>
      <c r="G72" s="2">
        <v>3.5344999999999902</v>
      </c>
      <c r="H72" s="2">
        <v>-2.7133333333333298</v>
      </c>
      <c r="I72" s="1">
        <v>0.91930955393862701</v>
      </c>
      <c r="J72" s="1">
        <v>0.82189180639038195</v>
      </c>
      <c r="K72" s="1">
        <v>0.83245059631491802</v>
      </c>
      <c r="L72" s="1">
        <v>0.40875076401409099</v>
      </c>
      <c r="P72" s="1">
        <f>I72-'Passo 2'!I72</f>
        <v>-2.669250237265941E-3</v>
      </c>
      <c r="Q72" s="1">
        <f>J72-'Passo 2'!J72</f>
        <v>-8.7274596646631064E-2</v>
      </c>
      <c r="R72" s="8">
        <f t="shared" si="5"/>
        <v>23.247499999999999</v>
      </c>
      <c r="S72" s="8">
        <f t="shared" si="4"/>
        <v>20.783999999999978</v>
      </c>
      <c r="T72" s="1">
        <f t="shared" si="6"/>
        <v>21.051010679611647</v>
      </c>
      <c r="U72" s="1">
        <f t="shared" si="7"/>
        <v>10.336489320388333</v>
      </c>
    </row>
    <row r="73" spans="1:21" x14ac:dyDescent="0.3">
      <c r="A73" t="s">
        <v>57</v>
      </c>
      <c r="B73" t="s">
        <v>65</v>
      </c>
      <c r="C73" t="s">
        <v>576</v>
      </c>
      <c r="D73" t="s">
        <v>589</v>
      </c>
      <c r="E73" s="2">
        <v>0</v>
      </c>
      <c r="F73" s="2">
        <v>0</v>
      </c>
      <c r="G73" s="2">
        <v>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P73" s="1">
        <f>I73-'Passo 2'!I73</f>
        <v>0</v>
      </c>
      <c r="Q73" s="1">
        <f>J73-'Passo 2'!J73</f>
        <v>0</v>
      </c>
      <c r="R73" s="8">
        <f t="shared" si="5"/>
        <v>0</v>
      </c>
      <c r="S73" s="8">
        <f t="shared" si="4"/>
        <v>0</v>
      </c>
      <c r="T73" s="1">
        <f t="shared" si="6"/>
        <v>0</v>
      </c>
      <c r="U73" s="1">
        <f t="shared" si="7"/>
        <v>0</v>
      </c>
    </row>
    <row r="74" spans="1:21" x14ac:dyDescent="0.3">
      <c r="A74" t="s">
        <v>57</v>
      </c>
      <c r="B74" t="s">
        <v>66</v>
      </c>
      <c r="C74" t="s">
        <v>34</v>
      </c>
      <c r="D74" t="s">
        <v>35</v>
      </c>
      <c r="E74" s="2">
        <v>162.773</v>
      </c>
      <c r="F74" s="2">
        <v>0</v>
      </c>
      <c r="G74" s="2">
        <v>27.095333333333301</v>
      </c>
      <c r="H74" s="2">
        <v>-27.128833333333301</v>
      </c>
      <c r="I74" s="1">
        <v>0.999382575734304</v>
      </c>
      <c r="J74" s="1">
        <v>1</v>
      </c>
      <c r="K74" s="1">
        <v>0.87151036931575099</v>
      </c>
      <c r="L74" s="1">
        <v>0.62787220641855301</v>
      </c>
      <c r="P74" s="1">
        <f>I74-'Passo 2'!I74</f>
        <v>2.9448987239897972E-2</v>
      </c>
      <c r="Q74" s="1">
        <f>J74-'Passo 2'!J74</f>
        <v>1.4821254139199991E-2</v>
      </c>
      <c r="R74" s="8">
        <f t="shared" si="5"/>
        <v>162.67249999999987</v>
      </c>
      <c r="S74" s="8">
        <f t="shared" si="4"/>
        <v>162.773</v>
      </c>
      <c r="T74" s="1">
        <f t="shared" si="6"/>
        <v>141.85835734463274</v>
      </c>
      <c r="U74" s="1">
        <f t="shared" si="7"/>
        <v>102.20064265536713</v>
      </c>
    </row>
    <row r="75" spans="1:21" x14ac:dyDescent="0.3">
      <c r="A75" t="s">
        <v>57</v>
      </c>
      <c r="B75" t="s">
        <v>67</v>
      </c>
      <c r="C75" t="s">
        <v>580</v>
      </c>
      <c r="D75" t="s">
        <v>581</v>
      </c>
      <c r="E75" s="2">
        <v>71.941000000000003</v>
      </c>
      <c r="F75" s="2">
        <v>0</v>
      </c>
      <c r="G75" s="2">
        <v>10.5206666666666</v>
      </c>
      <c r="H75" s="2">
        <v>-10.5411666666666</v>
      </c>
      <c r="I75" s="1">
        <v>0.93872061828442699</v>
      </c>
      <c r="J75" s="1">
        <v>0.939575485467257</v>
      </c>
      <c r="K75" s="1">
        <v>0.77571455190224103</v>
      </c>
      <c r="L75" s="1">
        <v>0.60258155184944395</v>
      </c>
      <c r="P75" s="1">
        <f>I75-'Passo 2'!I75</f>
        <v>2.3859829582574044E-2</v>
      </c>
      <c r="Q75" s="1">
        <f>J75-'Passo 2'!J75</f>
        <v>3.074046788340401E-2</v>
      </c>
      <c r="R75" s="8">
        <f t="shared" si="5"/>
        <v>67.53249999999997</v>
      </c>
      <c r="S75" s="8">
        <f t="shared" si="4"/>
        <v>67.593999999999937</v>
      </c>
      <c r="T75" s="1">
        <f t="shared" si="6"/>
        <v>55.805680578399127</v>
      </c>
      <c r="U75" s="1">
        <f t="shared" si="7"/>
        <v>43.350319421600851</v>
      </c>
    </row>
    <row r="76" spans="1:21" x14ac:dyDescent="0.3">
      <c r="A76" t="s">
        <v>57</v>
      </c>
      <c r="B76" t="s">
        <v>68</v>
      </c>
      <c r="C76" t="s">
        <v>580</v>
      </c>
      <c r="D76" t="s">
        <v>581</v>
      </c>
      <c r="E76" s="2">
        <v>34.143000000000001</v>
      </c>
      <c r="F76" s="2">
        <v>0</v>
      </c>
      <c r="G76" s="2">
        <v>5.4645000000000001</v>
      </c>
      <c r="H76" s="2">
        <v>-5.4645000000000001</v>
      </c>
      <c r="I76" s="1">
        <v>0.98014234250065901</v>
      </c>
      <c r="J76" s="1">
        <v>0.98014234250065901</v>
      </c>
      <c r="K76" s="1">
        <v>0.80346443280865598</v>
      </c>
      <c r="L76" s="1">
        <v>0.65682025219266105</v>
      </c>
      <c r="P76" s="1">
        <f>I76-'Passo 2'!I76</f>
        <v>7.6443194798350156E-3</v>
      </c>
      <c r="Q76" s="1">
        <f>J76-'Passo 2'!J76</f>
        <v>-3.9393140614469857E-3</v>
      </c>
      <c r="R76" s="8">
        <f t="shared" si="5"/>
        <v>33.465000000000003</v>
      </c>
      <c r="S76" s="8">
        <f t="shared" si="4"/>
        <v>33.465000000000003</v>
      </c>
      <c r="T76" s="1">
        <f t="shared" si="6"/>
        <v>27.432686129385942</v>
      </c>
      <c r="U76" s="1">
        <f t="shared" si="7"/>
        <v>22.425813870614025</v>
      </c>
    </row>
    <row r="77" spans="1:21" x14ac:dyDescent="0.3">
      <c r="A77" t="s">
        <v>57</v>
      </c>
      <c r="B77" t="s">
        <v>607</v>
      </c>
      <c r="C77" t="s">
        <v>580</v>
      </c>
      <c r="D77" t="s">
        <v>581</v>
      </c>
      <c r="E77" s="2">
        <v>67.766999999999996</v>
      </c>
      <c r="F77" s="2">
        <v>0</v>
      </c>
      <c r="G77" s="2">
        <v>11.126666666666599</v>
      </c>
      <c r="H77" s="2">
        <v>-10.2141666666666</v>
      </c>
      <c r="I77" s="1">
        <v>0.99257013000427896</v>
      </c>
      <c r="J77" s="1">
        <v>0.95217436215267004</v>
      </c>
      <c r="K77" s="1">
        <v>0.84475144475862696</v>
      </c>
      <c r="L77" s="1">
        <v>0.59999304739832104</v>
      </c>
      <c r="P77" s="1">
        <f>I77-'Passo 2'!I77</f>
        <v>8.4554429146929122E-3</v>
      </c>
      <c r="Q77" s="1">
        <f>J77-'Passo 2'!J77</f>
        <v>1.4985169772898987E-2</v>
      </c>
      <c r="R77" s="8">
        <f t="shared" si="5"/>
        <v>67.263499999999965</v>
      </c>
      <c r="S77" s="8">
        <f t="shared" si="4"/>
        <v>64.525999999999982</v>
      </c>
      <c r="T77" s="1">
        <f t="shared" si="6"/>
        <v>57.246271156957867</v>
      </c>
      <c r="U77" s="1">
        <f t="shared" si="7"/>
        <v>40.659728843042018</v>
      </c>
    </row>
    <row r="78" spans="1:21" x14ac:dyDescent="0.3">
      <c r="A78" t="s">
        <v>57</v>
      </c>
      <c r="B78" t="s">
        <v>608</v>
      </c>
      <c r="C78" t="s">
        <v>580</v>
      </c>
      <c r="D78" t="s">
        <v>581</v>
      </c>
      <c r="E78" s="2">
        <v>103.345</v>
      </c>
      <c r="F78" s="2">
        <v>0</v>
      </c>
      <c r="G78" s="2">
        <v>15.2706666666666</v>
      </c>
      <c r="H78" s="2">
        <v>-15.032833333333301</v>
      </c>
      <c r="I78" s="1">
        <v>0.94329188639992201</v>
      </c>
      <c r="J78" s="1">
        <v>0.93638782718080205</v>
      </c>
      <c r="K78" s="1">
        <v>0.76956177277823701</v>
      </c>
      <c r="L78" s="1">
        <v>0.61011794080248605</v>
      </c>
      <c r="P78" s="1">
        <f>I78-'Passo 2'!I78</f>
        <v>5.456964536261999E-2</v>
      </c>
      <c r="Q78" s="1">
        <f>J78-'Passo 2'!J78</f>
        <v>7.4019062363927079E-2</v>
      </c>
      <c r="R78" s="8">
        <f t="shared" si="5"/>
        <v>97.48449999999994</v>
      </c>
      <c r="S78" s="8">
        <f t="shared" si="4"/>
        <v>96.770999999999987</v>
      </c>
      <c r="T78" s="1">
        <f t="shared" si="6"/>
        <v>79.530361407766904</v>
      </c>
      <c r="U78" s="1">
        <f t="shared" si="7"/>
        <v>63.052638592232917</v>
      </c>
    </row>
    <row r="79" spans="1:21" x14ac:dyDescent="0.3">
      <c r="A79" t="s">
        <v>57</v>
      </c>
      <c r="B79" t="s">
        <v>69</v>
      </c>
      <c r="C79" t="s">
        <v>580</v>
      </c>
      <c r="D79" t="s">
        <v>581</v>
      </c>
      <c r="E79" s="2">
        <v>153.696</v>
      </c>
      <c r="F79" s="2">
        <v>0</v>
      </c>
      <c r="G79" s="2">
        <v>25.02</v>
      </c>
      <c r="H79" s="2">
        <v>-24.433499999999999</v>
      </c>
      <c r="I79" s="1">
        <v>0.98836664584634604</v>
      </c>
      <c r="J79" s="1">
        <v>0.97691872267332902</v>
      </c>
      <c r="K79" s="1">
        <v>0.82121607306854405</v>
      </c>
      <c r="L79" s="1">
        <v>0.64406929545113001</v>
      </c>
      <c r="P79" s="1">
        <f>I79-'Passo 2'!I79</f>
        <v>1.1194175515302995E-2</v>
      </c>
      <c r="Q79" s="1">
        <f>J79-'Passo 2'!J79</f>
        <v>3.4613783052259706E-3</v>
      </c>
      <c r="R79" s="8">
        <f t="shared" si="5"/>
        <v>151.90799999999999</v>
      </c>
      <c r="S79" s="8">
        <f t="shared" si="4"/>
        <v>150.14849999999998</v>
      </c>
      <c r="T79" s="1">
        <f t="shared" si="6"/>
        <v>126.21762556634295</v>
      </c>
      <c r="U79" s="1">
        <f t="shared" si="7"/>
        <v>98.99087443365687</v>
      </c>
    </row>
    <row r="80" spans="1:21" x14ac:dyDescent="0.3">
      <c r="A80" t="s">
        <v>57</v>
      </c>
      <c r="B80" t="s">
        <v>70</v>
      </c>
      <c r="C80" t="s">
        <v>34</v>
      </c>
      <c r="D80" t="s">
        <v>35</v>
      </c>
      <c r="E80" s="2">
        <v>278.73099999999999</v>
      </c>
      <c r="F80" s="2">
        <v>0</v>
      </c>
      <c r="G80" s="2">
        <v>46.455166666666599</v>
      </c>
      <c r="H80" s="2">
        <v>-46.351666666666603</v>
      </c>
      <c r="I80" s="1">
        <v>1</v>
      </c>
      <c r="J80" s="1">
        <v>0.99888602272441895</v>
      </c>
      <c r="K80" s="1">
        <v>0.882027525750401</v>
      </c>
      <c r="L80" s="1">
        <v>0.61685849697401596</v>
      </c>
      <c r="P80" s="1">
        <f>I80-'Passo 2'!I80</f>
        <v>2.7246700223513054E-2</v>
      </c>
      <c r="Q80" s="1">
        <f>J80-'Passo 2'!J80</f>
        <v>2.4699441396902944E-2</v>
      </c>
      <c r="R80" s="8">
        <f t="shared" si="5"/>
        <v>278.73099999999999</v>
      </c>
      <c r="S80" s="8">
        <f t="shared" si="4"/>
        <v>278.4205</v>
      </c>
      <c r="T80" s="1">
        <f t="shared" si="6"/>
        <v>245.84841427993501</v>
      </c>
      <c r="U80" s="1">
        <f t="shared" si="7"/>
        <v>171.93758572006445</v>
      </c>
    </row>
    <row r="81" spans="1:21" x14ac:dyDescent="0.3">
      <c r="A81" t="s">
        <v>57</v>
      </c>
      <c r="B81" t="s">
        <v>71</v>
      </c>
      <c r="C81" t="s">
        <v>580</v>
      </c>
      <c r="D81" t="s">
        <v>581</v>
      </c>
      <c r="E81" s="2">
        <v>239.65199999999999</v>
      </c>
      <c r="F81" s="2">
        <v>0</v>
      </c>
      <c r="G81" s="2">
        <v>37.703666666666599</v>
      </c>
      <c r="H81" s="2">
        <v>-38.1368333333333</v>
      </c>
      <c r="I81" s="1">
        <v>0.97198020463004697</v>
      </c>
      <c r="J81" s="1">
        <v>0.97740265050990605</v>
      </c>
      <c r="K81" s="1">
        <v>0.80697147104929401</v>
      </c>
      <c r="L81" s="1">
        <v>0.64241138409065801</v>
      </c>
      <c r="P81" s="1">
        <f>I81-'Passo 2'!I81</f>
        <v>1.2781032497120925E-2</v>
      </c>
      <c r="Q81" s="1">
        <f>J81-'Passo 2'!J81</f>
        <v>5.0817435281158008E-2</v>
      </c>
      <c r="R81" s="8">
        <f t="shared" si="5"/>
        <v>232.93700000000001</v>
      </c>
      <c r="S81" s="8">
        <f t="shared" si="4"/>
        <v>234.23649999999998</v>
      </c>
      <c r="T81" s="1">
        <f t="shared" si="6"/>
        <v>193.39232697990539</v>
      </c>
      <c r="U81" s="1">
        <f t="shared" si="7"/>
        <v>153.95517302009438</v>
      </c>
    </row>
    <row r="82" spans="1:21" x14ac:dyDescent="0.3">
      <c r="A82" t="s">
        <v>57</v>
      </c>
      <c r="B82" t="s">
        <v>72</v>
      </c>
      <c r="C82" t="s">
        <v>580</v>
      </c>
      <c r="D82" t="s">
        <v>581</v>
      </c>
      <c r="E82" s="2">
        <v>135.48599999999999</v>
      </c>
      <c r="F82" s="2">
        <v>0</v>
      </c>
      <c r="G82" s="2">
        <v>20.9931666666666</v>
      </c>
      <c r="H82" s="2">
        <v>-19.439833333333301</v>
      </c>
      <c r="I82" s="1">
        <v>0.964841385825841</v>
      </c>
      <c r="J82" s="1">
        <v>0.93044668821870902</v>
      </c>
      <c r="K82" s="1">
        <v>0.766284359943183</v>
      </c>
      <c r="L82" s="1">
        <v>0.62900371410136702</v>
      </c>
      <c r="P82" s="1">
        <f>I82-'Passo 2'!I82</f>
        <v>2.5205556293638964E-2</v>
      </c>
      <c r="Q82" s="1">
        <f>J82-'Passo 2'!J82</f>
        <v>3.8509513898114967E-2</v>
      </c>
      <c r="R82" s="8">
        <f t="shared" si="5"/>
        <v>130.72249999999988</v>
      </c>
      <c r="S82" s="8">
        <f t="shared" si="4"/>
        <v>126.0625</v>
      </c>
      <c r="T82" s="1">
        <f t="shared" si="6"/>
        <v>103.82080279126208</v>
      </c>
      <c r="U82" s="1">
        <f t="shared" si="7"/>
        <v>85.221197208737806</v>
      </c>
    </row>
    <row r="83" spans="1:21" x14ac:dyDescent="0.3">
      <c r="A83" t="s">
        <v>57</v>
      </c>
      <c r="B83" t="s">
        <v>73</v>
      </c>
      <c r="C83" t="s">
        <v>580</v>
      </c>
      <c r="D83" t="s">
        <v>581</v>
      </c>
      <c r="E83" s="2">
        <v>209.67699999999999</v>
      </c>
      <c r="F83" s="2">
        <v>0</v>
      </c>
      <c r="G83" s="2">
        <v>30.197666666666599</v>
      </c>
      <c r="H83" s="2">
        <v>-33.418833333333303</v>
      </c>
      <c r="I83" s="1">
        <v>0.93205978719649696</v>
      </c>
      <c r="J83" s="1">
        <v>0.97814734091006605</v>
      </c>
      <c r="K83" s="1">
        <v>0.85188882386104303</v>
      </c>
      <c r="L83" s="1">
        <v>0.55831830424551998</v>
      </c>
      <c r="P83" s="1">
        <f>I83-'Passo 2'!I83</f>
        <v>0.10427705470795501</v>
      </c>
      <c r="Q83" s="1">
        <f>J83-'Passo 2'!J83</f>
        <v>0.15065553208029503</v>
      </c>
      <c r="R83" s="8">
        <f t="shared" si="5"/>
        <v>195.43149999999989</v>
      </c>
      <c r="S83" s="8">
        <f t="shared" si="4"/>
        <v>205.09499999999991</v>
      </c>
      <c r="T83" s="1">
        <f t="shared" si="6"/>
        <v>178.62149292071192</v>
      </c>
      <c r="U83" s="1">
        <f t="shared" si="7"/>
        <v>117.06650707928789</v>
      </c>
    </row>
    <row r="84" spans="1:21" x14ac:dyDescent="0.3">
      <c r="A84" t="s">
        <v>57</v>
      </c>
      <c r="B84" t="s">
        <v>74</v>
      </c>
      <c r="C84" t="s">
        <v>580</v>
      </c>
      <c r="D84" t="s">
        <v>581</v>
      </c>
      <c r="E84" s="2">
        <v>333.44900000000001</v>
      </c>
      <c r="F84" s="2">
        <v>0</v>
      </c>
      <c r="G84" s="2">
        <v>54.653999999999897</v>
      </c>
      <c r="H84" s="2">
        <v>-46.393000000000001</v>
      </c>
      <c r="I84" s="1">
        <v>0.99171537476495597</v>
      </c>
      <c r="J84" s="1">
        <v>0.91739216491877296</v>
      </c>
      <c r="K84" s="1">
        <v>0.74611716681337503</v>
      </c>
      <c r="L84" s="1">
        <v>0.66299037287035301</v>
      </c>
      <c r="P84" s="1">
        <f>I84-'Passo 2'!I84</f>
        <v>4.8730090658540948E-2</v>
      </c>
      <c r="Q84" s="1">
        <f>J84-'Passo 2'!J84</f>
        <v>-4.6798760829990238E-3</v>
      </c>
      <c r="R84" s="8">
        <f t="shared" si="5"/>
        <v>330.6864999999998</v>
      </c>
      <c r="S84" s="8">
        <f t="shared" si="4"/>
        <v>305.90349999999995</v>
      </c>
      <c r="T84" s="1">
        <f t="shared" si="6"/>
        <v>248.79202315675309</v>
      </c>
      <c r="U84" s="1">
        <f t="shared" si="7"/>
        <v>221.07347684324634</v>
      </c>
    </row>
    <row r="85" spans="1:21" x14ac:dyDescent="0.3">
      <c r="A85" t="s">
        <v>57</v>
      </c>
      <c r="B85" t="s">
        <v>609</v>
      </c>
      <c r="C85" t="s">
        <v>580</v>
      </c>
      <c r="D85" t="s">
        <v>581</v>
      </c>
      <c r="E85" s="2">
        <v>160.28700000000001</v>
      </c>
      <c r="F85" s="2">
        <v>0</v>
      </c>
      <c r="G85" s="2">
        <v>26.714500000000001</v>
      </c>
      <c r="H85" s="2">
        <v>-26.714500000000001</v>
      </c>
      <c r="I85" s="1">
        <v>1</v>
      </c>
      <c r="J85" s="1">
        <v>1</v>
      </c>
      <c r="K85" s="1">
        <v>0.844046993183727</v>
      </c>
      <c r="L85" s="1">
        <v>0.655953006816272</v>
      </c>
      <c r="P85" s="1">
        <f>I85-'Passo 2'!I85</f>
        <v>7.8172278475490131E-3</v>
      </c>
      <c r="Q85" s="1">
        <f>J85-'Passo 2'!J85</f>
        <v>0</v>
      </c>
      <c r="R85" s="8">
        <f t="shared" si="5"/>
        <v>160.28700000000001</v>
      </c>
      <c r="S85" s="8">
        <f t="shared" si="4"/>
        <v>160.28700000000001</v>
      </c>
      <c r="T85" s="1">
        <f t="shared" si="6"/>
        <v>135.28976039644004</v>
      </c>
      <c r="U85" s="1">
        <f t="shared" si="7"/>
        <v>105.14073960355979</v>
      </c>
    </row>
    <row r="86" spans="1:21" x14ac:dyDescent="0.3">
      <c r="A86" t="s">
        <v>57</v>
      </c>
      <c r="B86" t="s">
        <v>75</v>
      </c>
      <c r="C86" t="s">
        <v>580</v>
      </c>
      <c r="D86" t="s">
        <v>581</v>
      </c>
      <c r="E86" s="2">
        <v>48.749000000000002</v>
      </c>
      <c r="F86" s="2">
        <v>0</v>
      </c>
      <c r="G86" s="2">
        <v>7.9913333333333298</v>
      </c>
      <c r="H86" s="2">
        <v>-6.8333333333333304</v>
      </c>
      <c r="I86" s="1">
        <v>0.99178444686044798</v>
      </c>
      <c r="J86" s="1">
        <v>0.92052144659377599</v>
      </c>
      <c r="K86" s="1">
        <v>0.863585523055455</v>
      </c>
      <c r="L86" s="1">
        <v>0.54872037039876798</v>
      </c>
      <c r="P86" s="1">
        <f>I86-'Passo 2'!I86</f>
        <v>7.2175839504399986E-2</v>
      </c>
      <c r="Q86" s="1">
        <f>J86-'Passo 2'!J86</f>
        <v>0</v>
      </c>
      <c r="R86" s="8">
        <f t="shared" si="5"/>
        <v>48.34849999999998</v>
      </c>
      <c r="S86" s="8">
        <f t="shared" si="4"/>
        <v>44.874499999999991</v>
      </c>
      <c r="T86" s="1">
        <f t="shared" si="6"/>
        <v>42.09893066343038</v>
      </c>
      <c r="U86" s="1">
        <f t="shared" si="7"/>
        <v>26.749569336569543</v>
      </c>
    </row>
    <row r="87" spans="1:21" x14ac:dyDescent="0.3">
      <c r="A87" t="s">
        <v>57</v>
      </c>
      <c r="B87" t="s">
        <v>76</v>
      </c>
      <c r="C87" t="s">
        <v>580</v>
      </c>
      <c r="D87" t="s">
        <v>581</v>
      </c>
      <c r="E87" s="2">
        <v>226.65600000000001</v>
      </c>
      <c r="F87" s="2">
        <v>0</v>
      </c>
      <c r="G87" s="2">
        <v>34.2306666666666</v>
      </c>
      <c r="H87" s="2">
        <v>-35.558</v>
      </c>
      <c r="I87" s="1">
        <v>0.95307426231822601</v>
      </c>
      <c r="J87" s="1">
        <v>0.97064273612875895</v>
      </c>
      <c r="K87" s="1">
        <v>0.73094095061926301</v>
      </c>
      <c r="L87" s="1">
        <v>0.69277604782772095</v>
      </c>
      <c r="P87" s="1">
        <f>I87-'Passo 2'!I87</f>
        <v>9.5119917407877952E-2</v>
      </c>
      <c r="Q87" s="1">
        <f>J87-'Passo 2'!J87</f>
        <v>5.6826203586051949E-2</v>
      </c>
      <c r="R87" s="8">
        <f t="shared" si="5"/>
        <v>216.01999999999984</v>
      </c>
      <c r="S87" s="8">
        <f t="shared" si="4"/>
        <v>220.00199999999998</v>
      </c>
      <c r="T87" s="1">
        <f t="shared" si="6"/>
        <v>165.67215210355968</v>
      </c>
      <c r="U87" s="1">
        <f t="shared" si="7"/>
        <v>157.02184789643994</v>
      </c>
    </row>
    <row r="88" spans="1:21" x14ac:dyDescent="0.3">
      <c r="A88" t="s">
        <v>57</v>
      </c>
      <c r="B88" t="s">
        <v>77</v>
      </c>
      <c r="C88" t="s">
        <v>580</v>
      </c>
      <c r="D88" t="s">
        <v>581</v>
      </c>
      <c r="E88" s="2">
        <v>138.43700000000001</v>
      </c>
      <c r="F88" s="2">
        <v>0</v>
      </c>
      <c r="G88" s="2">
        <v>19.317833333333301</v>
      </c>
      <c r="H88" s="2">
        <v>-19.9495</v>
      </c>
      <c r="I88" s="1">
        <v>0.91862724560630404</v>
      </c>
      <c r="J88" s="1">
        <v>0.93231578263036596</v>
      </c>
      <c r="K88" s="1">
        <v>0.77942852330361401</v>
      </c>
      <c r="L88" s="1">
        <v>0.571514504933056</v>
      </c>
      <c r="P88" s="1">
        <f>I88-'Passo 2'!I88</f>
        <v>6.9598445502285999E-2</v>
      </c>
      <c r="Q88" s="1">
        <f>J88-'Passo 2'!J88</f>
        <v>2.0485852770574908E-2</v>
      </c>
      <c r="R88" s="8">
        <f t="shared" si="5"/>
        <v>127.17199999999993</v>
      </c>
      <c r="S88" s="8">
        <f t="shared" si="4"/>
        <v>129.06699999999998</v>
      </c>
      <c r="T88" s="1">
        <f t="shared" si="6"/>
        <v>107.90174648058242</v>
      </c>
      <c r="U88" s="1">
        <f t="shared" si="7"/>
        <v>79.118753519417481</v>
      </c>
    </row>
    <row r="89" spans="1:21" x14ac:dyDescent="0.3">
      <c r="A89" t="s">
        <v>57</v>
      </c>
      <c r="B89" t="s">
        <v>78</v>
      </c>
      <c r="C89" t="s">
        <v>34</v>
      </c>
      <c r="D89" t="s">
        <v>35</v>
      </c>
      <c r="E89" s="2">
        <v>375.53300000000002</v>
      </c>
      <c r="F89" s="2">
        <v>0</v>
      </c>
      <c r="G89" s="2">
        <v>61.088000000000001</v>
      </c>
      <c r="H89" s="2">
        <v>-62.588833333333298</v>
      </c>
      <c r="I89" s="1">
        <v>0.988010374587586</v>
      </c>
      <c r="J89" s="1">
        <v>1</v>
      </c>
      <c r="K89" s="1">
        <v>0.87517542157142802</v>
      </c>
      <c r="L89" s="1">
        <v>0.61283495301615798</v>
      </c>
      <c r="P89" s="1">
        <f>I89-'Passo 2'!I89</f>
        <v>4.3096079439090995E-2</v>
      </c>
      <c r="Q89" s="1">
        <f>J89-'Passo 2'!J89</f>
        <v>6.5022248377640035E-2</v>
      </c>
      <c r="R89" s="8">
        <f t="shared" si="5"/>
        <v>371.03049999999996</v>
      </c>
      <c r="S89" s="8">
        <f t="shared" si="4"/>
        <v>375.53300000000002</v>
      </c>
      <c r="T89" s="1">
        <f t="shared" si="6"/>
        <v>328.65725158898312</v>
      </c>
      <c r="U89" s="1">
        <f t="shared" si="7"/>
        <v>230.13974841101685</v>
      </c>
    </row>
    <row r="90" spans="1:21" x14ac:dyDescent="0.3">
      <c r="A90" t="s">
        <v>57</v>
      </c>
      <c r="B90" t="s">
        <v>79</v>
      </c>
      <c r="C90" t="s">
        <v>580</v>
      </c>
      <c r="D90" t="s">
        <v>581</v>
      </c>
      <c r="E90" s="2">
        <v>103.20699999999999</v>
      </c>
      <c r="F90" s="2">
        <v>0</v>
      </c>
      <c r="G90" s="2">
        <v>16.124833333333299</v>
      </c>
      <c r="H90" s="2">
        <v>-16.8511666666666</v>
      </c>
      <c r="I90" s="1">
        <v>0.96871336246572404</v>
      </c>
      <c r="J90" s="1">
        <v>0.98982627147383395</v>
      </c>
      <c r="K90" s="1">
        <v>0.72986243156094099</v>
      </c>
      <c r="L90" s="1">
        <v>0.72867720237861699</v>
      </c>
      <c r="P90" s="1">
        <f>I90-'Passo 2'!I90</f>
        <v>3.7138953753137027E-2</v>
      </c>
      <c r="Q90" s="1">
        <f>J90-'Passo 2'!J90</f>
        <v>0</v>
      </c>
      <c r="R90" s="8">
        <f t="shared" si="5"/>
        <v>99.97799999999998</v>
      </c>
      <c r="S90" s="8">
        <f t="shared" si="4"/>
        <v>102.15699999999997</v>
      </c>
      <c r="T90" s="1">
        <f t="shared" si="6"/>
        <v>75.326911974110033</v>
      </c>
      <c r="U90" s="1">
        <f t="shared" si="7"/>
        <v>75.204588025889919</v>
      </c>
    </row>
    <row r="91" spans="1:21" x14ac:dyDescent="0.3">
      <c r="A91" t="s">
        <v>57</v>
      </c>
      <c r="B91" t="s">
        <v>610</v>
      </c>
      <c r="C91" t="s">
        <v>34</v>
      </c>
      <c r="D91" t="s">
        <v>35</v>
      </c>
      <c r="E91" s="2">
        <v>441.94900000000001</v>
      </c>
      <c r="F91" s="2">
        <v>0</v>
      </c>
      <c r="G91" s="2">
        <v>73.658166666666602</v>
      </c>
      <c r="H91" s="2">
        <v>-73.345666666666602</v>
      </c>
      <c r="I91" s="1">
        <v>1</v>
      </c>
      <c r="J91" s="1">
        <v>0.99787871451230803</v>
      </c>
      <c r="K91" s="1">
        <v>0.87278054213901701</v>
      </c>
      <c r="L91" s="1">
        <v>0.62509817237329002</v>
      </c>
      <c r="P91" s="1">
        <f>I91-'Passo 2'!I91</f>
        <v>3.9587146933244055E-2</v>
      </c>
      <c r="Q91" s="1">
        <f>J91-'Passo 2'!J91</f>
        <v>6.2385026326567061E-2</v>
      </c>
      <c r="R91" s="8">
        <f t="shared" si="5"/>
        <v>441.94900000000001</v>
      </c>
      <c r="S91" s="8">
        <f t="shared" si="4"/>
        <v>441.01150000000001</v>
      </c>
      <c r="T91" s="1">
        <f t="shared" si="6"/>
        <v>385.72448781779644</v>
      </c>
      <c r="U91" s="1">
        <f t="shared" si="7"/>
        <v>276.26151218220315</v>
      </c>
    </row>
    <row r="92" spans="1:21" x14ac:dyDescent="0.3">
      <c r="A92" t="s">
        <v>57</v>
      </c>
      <c r="B92" t="s">
        <v>80</v>
      </c>
      <c r="C92" t="s">
        <v>34</v>
      </c>
      <c r="D92" t="s">
        <v>35</v>
      </c>
      <c r="E92" s="2">
        <v>39.613</v>
      </c>
      <c r="F92" s="2">
        <v>0</v>
      </c>
      <c r="G92" s="2">
        <v>6.5708333333333302</v>
      </c>
      <c r="H92" s="2">
        <v>-6.5571666666666601</v>
      </c>
      <c r="I92" s="1">
        <v>0.99762704162774796</v>
      </c>
      <c r="J92" s="1">
        <v>0.99659202786963796</v>
      </c>
      <c r="K92" s="1">
        <v>0.89237894223701597</v>
      </c>
      <c r="L92" s="1">
        <v>0.60184012726036995</v>
      </c>
      <c r="P92" s="1">
        <f>I92-'Passo 2'!I92</f>
        <v>1.298816045237694E-2</v>
      </c>
      <c r="Q92" s="1">
        <f>J92-'Passo 2'!J92</f>
        <v>2.415873576855998E-2</v>
      </c>
      <c r="R92" s="8">
        <f t="shared" si="5"/>
        <v>39.518999999999977</v>
      </c>
      <c r="S92" s="8">
        <f t="shared" si="4"/>
        <v>39.477999999999966</v>
      </c>
      <c r="T92" s="1">
        <f t="shared" si="6"/>
        <v>35.349807038834911</v>
      </c>
      <c r="U92" s="1">
        <f t="shared" si="7"/>
        <v>23.840692961165036</v>
      </c>
    </row>
    <row r="93" spans="1:21" x14ac:dyDescent="0.3">
      <c r="A93" t="s">
        <v>57</v>
      </c>
      <c r="B93" t="s">
        <v>611</v>
      </c>
      <c r="C93" t="s">
        <v>580</v>
      </c>
      <c r="D93" t="s">
        <v>581</v>
      </c>
      <c r="E93" s="2">
        <v>85.769000000000005</v>
      </c>
      <c r="F93" s="2">
        <v>0</v>
      </c>
      <c r="G93" s="2">
        <v>13.9701666666666</v>
      </c>
      <c r="H93" s="2">
        <v>-14.283499999999901</v>
      </c>
      <c r="I93" s="1">
        <v>0.98864391563385301</v>
      </c>
      <c r="J93" s="1">
        <v>0.99960358637736202</v>
      </c>
      <c r="K93" s="1">
        <v>0.83930384328780105</v>
      </c>
      <c r="L93" s="1">
        <v>0.64894365872341397</v>
      </c>
      <c r="P93" s="1">
        <f>I93-'Passo 2'!I93</f>
        <v>4.535438211941023E-3</v>
      </c>
      <c r="Q93" s="1">
        <f>J93-'Passo 2'!J93</f>
        <v>-1.9820681131899054E-4</v>
      </c>
      <c r="R93" s="8">
        <f t="shared" si="5"/>
        <v>84.794999999999945</v>
      </c>
      <c r="S93" s="8">
        <f t="shared" si="4"/>
        <v>85.734999999999971</v>
      </c>
      <c r="T93" s="1">
        <f t="shared" si="6"/>
        <v>71.986251334951419</v>
      </c>
      <c r="U93" s="1">
        <f t="shared" si="7"/>
        <v>55.659248665048494</v>
      </c>
    </row>
    <row r="94" spans="1:21" x14ac:dyDescent="0.3">
      <c r="A94" t="s">
        <v>57</v>
      </c>
      <c r="B94" t="s">
        <v>612</v>
      </c>
      <c r="C94" t="s">
        <v>580</v>
      </c>
      <c r="D94" t="s">
        <v>581</v>
      </c>
      <c r="E94" s="2">
        <v>79.474000000000004</v>
      </c>
      <c r="F94" s="2">
        <v>0</v>
      </c>
      <c r="G94" s="2">
        <v>12.904999999999999</v>
      </c>
      <c r="H94" s="2">
        <v>-13.183</v>
      </c>
      <c r="I94" s="1">
        <v>0.98714044844854898</v>
      </c>
      <c r="J94" s="1">
        <v>0.99763444648564303</v>
      </c>
      <c r="K94" s="1">
        <v>0.85114009829027104</v>
      </c>
      <c r="L94" s="1">
        <v>0.63363479664391997</v>
      </c>
      <c r="P94" s="1">
        <f>I94-'Passo 2'!I94</f>
        <v>1.4312857035004956E-2</v>
      </c>
      <c r="Q94" s="1">
        <f>J94-'Passo 2'!J94</f>
        <v>-1.3715177290679614E-3</v>
      </c>
      <c r="R94" s="8">
        <f t="shared" si="5"/>
        <v>78.451999999999984</v>
      </c>
      <c r="S94" s="8">
        <f t="shared" si="4"/>
        <v>79.286000000000001</v>
      </c>
      <c r="T94" s="1">
        <f t="shared" si="6"/>
        <v>67.643508171521006</v>
      </c>
      <c r="U94" s="1">
        <f t="shared" si="7"/>
        <v>50.357491828478899</v>
      </c>
    </row>
    <row r="95" spans="1:21" x14ac:dyDescent="0.3">
      <c r="A95" t="s">
        <v>57</v>
      </c>
      <c r="B95" t="s">
        <v>613</v>
      </c>
      <c r="C95" t="s">
        <v>580</v>
      </c>
      <c r="D95" t="s">
        <v>581</v>
      </c>
      <c r="E95" s="2">
        <v>138.23099999999999</v>
      </c>
      <c r="F95" s="2">
        <v>0</v>
      </c>
      <c r="G95" s="2">
        <v>22.638166666666599</v>
      </c>
      <c r="H95" s="2">
        <v>-22.591166666666599</v>
      </c>
      <c r="I95" s="1">
        <v>0.99131164500003599</v>
      </c>
      <c r="J95" s="1">
        <v>0.990291613313945</v>
      </c>
      <c r="K95" s="1">
        <v>0.75459913684187796</v>
      </c>
      <c r="L95" s="1">
        <v>0.72700412147210303</v>
      </c>
      <c r="P95" s="1">
        <f>I95-'Passo 2'!I95</f>
        <v>2.7074245285066967E-2</v>
      </c>
      <c r="Q95" s="1">
        <f>J95-'Passo 2'!J95</f>
        <v>9.7554094233559541E-3</v>
      </c>
      <c r="R95" s="8">
        <f t="shared" si="5"/>
        <v>137.02999999999997</v>
      </c>
      <c r="S95" s="8">
        <f t="shared" si="4"/>
        <v>136.88899999999992</v>
      </c>
      <c r="T95" s="1">
        <f t="shared" si="6"/>
        <v>104.30899328478962</v>
      </c>
      <c r="U95" s="1">
        <f t="shared" si="7"/>
        <v>100.49450671521026</v>
      </c>
    </row>
    <row r="96" spans="1:21" x14ac:dyDescent="0.3">
      <c r="A96" t="s">
        <v>57</v>
      </c>
      <c r="B96" t="s">
        <v>614</v>
      </c>
      <c r="C96" t="s">
        <v>580</v>
      </c>
      <c r="D96" t="s">
        <v>581</v>
      </c>
      <c r="E96" s="2">
        <v>418.91199999999998</v>
      </c>
      <c r="F96" s="2">
        <v>0</v>
      </c>
      <c r="G96" s="2">
        <v>54.153833333333303</v>
      </c>
      <c r="H96" s="2">
        <v>-50.475166666666603</v>
      </c>
      <c r="I96" s="1">
        <v>0.88781772782827895</v>
      </c>
      <c r="J96" s="1">
        <v>0.86147329272018902</v>
      </c>
      <c r="K96" s="1">
        <v>0.71740376181173804</v>
      </c>
      <c r="L96" s="1">
        <v>0.53188725873672904</v>
      </c>
      <c r="P96" s="1">
        <f>I96-'Passo 2'!I96</f>
        <v>-7.8620330761590695E-3</v>
      </c>
      <c r="Q96" s="1">
        <f>J96-'Passo 2'!J96</f>
        <v>5.9927860744023009E-2</v>
      </c>
      <c r="R96" s="8">
        <f t="shared" si="5"/>
        <v>371.91749999999996</v>
      </c>
      <c r="S96" s="8">
        <f t="shared" si="4"/>
        <v>360.88149999999979</v>
      </c>
      <c r="T96" s="1">
        <f t="shared" si="6"/>
        <v>300.52904466807877</v>
      </c>
      <c r="U96" s="1">
        <f t="shared" si="7"/>
        <v>222.81395533192062</v>
      </c>
    </row>
    <row r="97" spans="1:21" x14ac:dyDescent="0.3">
      <c r="A97" t="s">
        <v>57</v>
      </c>
      <c r="B97" t="s">
        <v>615</v>
      </c>
      <c r="C97" t="s">
        <v>580</v>
      </c>
      <c r="D97" t="s">
        <v>581</v>
      </c>
      <c r="E97" s="2">
        <v>354.12599999999998</v>
      </c>
      <c r="F97" s="2">
        <v>0</v>
      </c>
      <c r="G97" s="2">
        <v>55.838166666666602</v>
      </c>
      <c r="H97" s="2">
        <v>-58.656333333333301</v>
      </c>
      <c r="I97" s="1">
        <v>0.973036433359877</v>
      </c>
      <c r="J97" s="1">
        <v>0.99691070409966998</v>
      </c>
      <c r="K97" s="1">
        <v>0.72938283574838603</v>
      </c>
      <c r="L97" s="1">
        <v>0.74056430171116205</v>
      </c>
      <c r="P97" s="1">
        <f>I97-'Passo 2'!I97</f>
        <v>4.8135409430541953E-2</v>
      </c>
      <c r="Q97" s="1">
        <f>J97-'Passo 2'!J97</f>
        <v>3.6429124097072996E-2</v>
      </c>
      <c r="R97" s="8">
        <f t="shared" si="5"/>
        <v>344.57749999999976</v>
      </c>
      <c r="S97" s="8">
        <f t="shared" si="4"/>
        <v>353.0319999999997</v>
      </c>
      <c r="T97" s="1">
        <f t="shared" si="6"/>
        <v>258.29342609223295</v>
      </c>
      <c r="U97" s="1">
        <f t="shared" si="7"/>
        <v>262.25307390776698</v>
      </c>
    </row>
    <row r="98" spans="1:21" x14ac:dyDescent="0.3">
      <c r="A98" t="s">
        <v>57</v>
      </c>
      <c r="B98" t="s">
        <v>616</v>
      </c>
      <c r="C98" t="s">
        <v>580</v>
      </c>
      <c r="D98" t="s">
        <v>581</v>
      </c>
      <c r="E98" s="2">
        <v>200.887</v>
      </c>
      <c r="F98" s="2">
        <v>0</v>
      </c>
      <c r="G98" s="2">
        <v>25.226666666666599</v>
      </c>
      <c r="H98" s="2">
        <v>-24.7328333333333</v>
      </c>
      <c r="I98" s="1">
        <v>0.87672920597151605</v>
      </c>
      <c r="J98" s="1">
        <v>0.86935441317755702</v>
      </c>
      <c r="K98" s="1">
        <v>0.72148273136793595</v>
      </c>
      <c r="L98" s="1">
        <v>0.524600887781137</v>
      </c>
      <c r="P98" s="1">
        <f>I98-'Passo 2'!I98</f>
        <v>5.9976504203856029E-2</v>
      </c>
      <c r="Q98" s="1">
        <f>J98-'Passo 2'!J98</f>
        <v>3.1161797428404969E-2</v>
      </c>
      <c r="R98" s="8">
        <f t="shared" si="5"/>
        <v>176.12349999999995</v>
      </c>
      <c r="S98" s="8">
        <f t="shared" si="4"/>
        <v>174.64199999999991</v>
      </c>
      <c r="T98" s="1">
        <f t="shared" si="6"/>
        <v>144.93650145631054</v>
      </c>
      <c r="U98" s="1">
        <f t="shared" si="7"/>
        <v>105.38549854368927</v>
      </c>
    </row>
    <row r="99" spans="1:21" x14ac:dyDescent="0.3">
      <c r="A99" t="s">
        <v>57</v>
      </c>
      <c r="B99" t="s">
        <v>81</v>
      </c>
      <c r="C99" t="s">
        <v>34</v>
      </c>
      <c r="D99" t="s">
        <v>35</v>
      </c>
      <c r="E99" s="2">
        <v>288</v>
      </c>
      <c r="F99" s="2">
        <v>0</v>
      </c>
      <c r="G99" s="2">
        <v>47.805333333333301</v>
      </c>
      <c r="H99" s="2">
        <v>-48</v>
      </c>
      <c r="I99" s="1">
        <v>0.99797222222222204</v>
      </c>
      <c r="J99" s="1">
        <v>1</v>
      </c>
      <c r="K99" s="1">
        <v>0.91881833128436896</v>
      </c>
      <c r="L99" s="1">
        <v>0.57915389093785197</v>
      </c>
      <c r="P99" s="1">
        <f>I99-'Passo 2'!I99</f>
        <v>2.7871527777778016E-2</v>
      </c>
      <c r="Q99" s="1">
        <f>J99-'Passo 2'!J99</f>
        <v>0</v>
      </c>
      <c r="R99" s="8">
        <f t="shared" si="5"/>
        <v>287.41599999999994</v>
      </c>
      <c r="S99" s="8">
        <f t="shared" si="4"/>
        <v>288</v>
      </c>
      <c r="T99" s="1">
        <f t="shared" si="6"/>
        <v>264.61967940989825</v>
      </c>
      <c r="U99" s="1">
        <f t="shared" si="7"/>
        <v>166.79632059010137</v>
      </c>
    </row>
    <row r="100" spans="1:21" x14ac:dyDescent="0.3">
      <c r="A100" t="s">
        <v>57</v>
      </c>
      <c r="B100" t="s">
        <v>617</v>
      </c>
      <c r="C100" t="s">
        <v>34</v>
      </c>
      <c r="D100" t="s">
        <v>35</v>
      </c>
      <c r="E100" s="2">
        <v>224.148</v>
      </c>
      <c r="F100" s="2">
        <v>0</v>
      </c>
      <c r="G100" s="2">
        <v>37.328333333333298</v>
      </c>
      <c r="H100" s="2">
        <v>-37.357999999999997</v>
      </c>
      <c r="I100" s="1">
        <v>0.99960294091403801</v>
      </c>
      <c r="J100" s="1">
        <v>0.999999999999999</v>
      </c>
      <c r="K100" s="1">
        <v>0.87118923515803504</v>
      </c>
      <c r="L100" s="1">
        <v>0.62841370575600297</v>
      </c>
      <c r="P100" s="1">
        <f>I100-'Passo 2'!I100</f>
        <v>3.9190624051965051E-2</v>
      </c>
      <c r="Q100" s="1">
        <f>J100-'Passo 2'!J100</f>
        <v>3.7992754787015026E-2</v>
      </c>
      <c r="R100" s="8">
        <f t="shared" si="5"/>
        <v>224.0589999999998</v>
      </c>
      <c r="S100" s="8">
        <f t="shared" si="4"/>
        <v>224.14799999999977</v>
      </c>
      <c r="T100" s="1">
        <f t="shared" si="6"/>
        <v>195.27532468220323</v>
      </c>
      <c r="U100" s="1">
        <f t="shared" si="7"/>
        <v>140.85767531779655</v>
      </c>
    </row>
    <row r="101" spans="1:21" x14ac:dyDescent="0.3">
      <c r="A101" t="s">
        <v>57</v>
      </c>
      <c r="B101" t="s">
        <v>82</v>
      </c>
      <c r="C101" t="s">
        <v>574</v>
      </c>
      <c r="D101" t="s">
        <v>575</v>
      </c>
      <c r="E101" s="2">
        <v>0</v>
      </c>
      <c r="F101" s="2">
        <v>0</v>
      </c>
      <c r="G101" s="2">
        <v>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P101" s="1">
        <f>I101-'Passo 2'!I101</f>
        <v>0</v>
      </c>
      <c r="Q101" s="1">
        <f>J101-'Passo 2'!J101</f>
        <v>0</v>
      </c>
      <c r="R101" s="8">
        <f t="shared" si="5"/>
        <v>0</v>
      </c>
      <c r="S101" s="8">
        <f t="shared" si="4"/>
        <v>0</v>
      </c>
      <c r="T101" s="1">
        <f t="shared" si="6"/>
        <v>0</v>
      </c>
      <c r="U101" s="1">
        <f t="shared" si="7"/>
        <v>0</v>
      </c>
    </row>
    <row r="102" spans="1:21" x14ac:dyDescent="0.3">
      <c r="A102" t="s">
        <v>57</v>
      </c>
      <c r="B102" t="s">
        <v>83</v>
      </c>
      <c r="C102" t="s">
        <v>34</v>
      </c>
      <c r="D102" t="s">
        <v>35</v>
      </c>
      <c r="E102" s="2">
        <v>390.44</v>
      </c>
      <c r="F102" s="2">
        <v>0</v>
      </c>
      <c r="G102" s="2">
        <v>65.073333333333295</v>
      </c>
      <c r="H102" s="2">
        <v>-64.653666666666595</v>
      </c>
      <c r="I102" s="1">
        <v>1</v>
      </c>
      <c r="J102" s="1">
        <v>0.99677543284499504</v>
      </c>
      <c r="K102" s="1">
        <v>0.901508687395706</v>
      </c>
      <c r="L102" s="1">
        <v>0.59526674544928804</v>
      </c>
      <c r="P102" s="1">
        <f>I102-'Passo 2'!I102</f>
        <v>5.6775688966295035E-2</v>
      </c>
      <c r="Q102" s="1">
        <f>J102-'Passo 2'!J102</f>
        <v>0.10989908820817507</v>
      </c>
      <c r="R102" s="8">
        <f t="shared" si="5"/>
        <v>390.44</v>
      </c>
      <c r="S102" s="8">
        <f t="shared" si="4"/>
        <v>389.18099999999987</v>
      </c>
      <c r="T102" s="1">
        <f t="shared" si="6"/>
        <v>351.98505190677946</v>
      </c>
      <c r="U102" s="1">
        <f t="shared" si="7"/>
        <v>232.41594809322001</v>
      </c>
    </row>
    <row r="103" spans="1:21" x14ac:dyDescent="0.3">
      <c r="A103" t="s">
        <v>57</v>
      </c>
      <c r="B103" t="s">
        <v>84</v>
      </c>
      <c r="C103" t="s">
        <v>34</v>
      </c>
      <c r="D103" t="s">
        <v>35</v>
      </c>
      <c r="E103" s="2">
        <v>455.59800000000001</v>
      </c>
      <c r="F103" s="2">
        <v>0</v>
      </c>
      <c r="G103" s="2">
        <v>75.933000000000007</v>
      </c>
      <c r="H103" s="2">
        <v>-75.855833333333294</v>
      </c>
      <c r="I103" s="1">
        <v>1</v>
      </c>
      <c r="J103" s="1">
        <v>0.99949187661051997</v>
      </c>
      <c r="K103" s="1">
        <v>0.87450979226903403</v>
      </c>
      <c r="L103" s="1">
        <v>0.62498208434148494</v>
      </c>
      <c r="P103" s="1">
        <f>I103-'Passo 2'!I103</f>
        <v>3.7075448092398045E-2</v>
      </c>
      <c r="Q103" s="1">
        <f>J103-'Passo 2'!J103</f>
        <v>4.7196212450449915E-2</v>
      </c>
      <c r="R103" s="8">
        <f t="shared" si="5"/>
        <v>455.59800000000001</v>
      </c>
      <c r="S103" s="8">
        <f t="shared" si="4"/>
        <v>455.36649999999969</v>
      </c>
      <c r="T103" s="1">
        <f t="shared" si="6"/>
        <v>398.42491233818737</v>
      </c>
      <c r="U103" s="1">
        <f t="shared" si="7"/>
        <v>284.74058766181184</v>
      </c>
    </row>
    <row r="104" spans="1:21" x14ac:dyDescent="0.3">
      <c r="A104" t="s">
        <v>57</v>
      </c>
      <c r="B104" t="s">
        <v>85</v>
      </c>
      <c r="C104" t="s">
        <v>580</v>
      </c>
      <c r="D104" t="s">
        <v>581</v>
      </c>
      <c r="E104" s="2">
        <v>232.63300000000001</v>
      </c>
      <c r="F104" s="2">
        <v>0</v>
      </c>
      <c r="G104" s="2">
        <v>21.4396666666666</v>
      </c>
      <c r="H104" s="2">
        <v>-38.7721666666666</v>
      </c>
      <c r="I104" s="1">
        <v>0.77648270021879895</v>
      </c>
      <c r="J104" s="1">
        <v>1</v>
      </c>
      <c r="K104" s="1">
        <v>0.64977093365959404</v>
      </c>
      <c r="L104" s="1">
        <v>0.62671176655920502</v>
      </c>
      <c r="P104" s="1">
        <f>I104-'Passo 2'!I104</f>
        <v>-2.2198054446274096E-2</v>
      </c>
      <c r="Q104" s="1">
        <f>J104-'Passo 2'!J104</f>
        <v>0.15017430888996897</v>
      </c>
      <c r="R104" s="8">
        <f t="shared" si="5"/>
        <v>180.63549999999987</v>
      </c>
      <c r="S104" s="8">
        <f t="shared" si="4"/>
        <v>232.63300000000001</v>
      </c>
      <c r="T104" s="1">
        <f t="shared" si="6"/>
        <v>151.15816161003235</v>
      </c>
      <c r="U104" s="1">
        <f t="shared" si="7"/>
        <v>145.79383838996756</v>
      </c>
    </row>
    <row r="105" spans="1:21" x14ac:dyDescent="0.3">
      <c r="A105" t="s">
        <v>57</v>
      </c>
      <c r="B105" t="s">
        <v>86</v>
      </c>
      <c r="C105" t="s">
        <v>34</v>
      </c>
      <c r="D105" t="s">
        <v>35</v>
      </c>
      <c r="E105" s="2">
        <v>60.182000000000002</v>
      </c>
      <c r="F105" s="2">
        <v>0</v>
      </c>
      <c r="G105" s="2">
        <v>10.027666666666599</v>
      </c>
      <c r="H105" s="2">
        <v>-9.9141666666666595</v>
      </c>
      <c r="I105" s="1">
        <v>0.999867069888006</v>
      </c>
      <c r="J105" s="1">
        <v>0.99420923199627798</v>
      </c>
      <c r="K105" s="1">
        <v>0.89358073928716097</v>
      </c>
      <c r="L105" s="1">
        <v>0.600495562597123</v>
      </c>
      <c r="P105" s="1">
        <f>I105-'Passo 2'!I105</f>
        <v>6.6797381276799683E-3</v>
      </c>
      <c r="Q105" s="1">
        <f>J105-'Passo 2'!J105</f>
        <v>2.2606427170914989E-2</v>
      </c>
      <c r="R105" s="8">
        <f t="shared" si="5"/>
        <v>60.173999999999978</v>
      </c>
      <c r="S105" s="8">
        <f t="shared" si="4"/>
        <v>59.833500000000001</v>
      </c>
      <c r="T105" s="1">
        <f t="shared" si="6"/>
        <v>53.777476051779921</v>
      </c>
      <c r="U105" s="1">
        <f t="shared" si="7"/>
        <v>36.139023948220057</v>
      </c>
    </row>
    <row r="106" spans="1:21" x14ac:dyDescent="0.3">
      <c r="A106" t="s">
        <v>57</v>
      </c>
      <c r="B106" t="s">
        <v>87</v>
      </c>
      <c r="C106" t="s">
        <v>34</v>
      </c>
      <c r="D106" t="s">
        <v>35</v>
      </c>
      <c r="E106" s="2">
        <v>79.507000000000005</v>
      </c>
      <c r="F106" s="2">
        <v>0</v>
      </c>
      <c r="G106" s="2">
        <v>13.251166666666601</v>
      </c>
      <c r="H106" s="2">
        <v>-12.7425</v>
      </c>
      <c r="I106" s="1">
        <v>1</v>
      </c>
      <c r="J106" s="1">
        <v>0.98080672142075498</v>
      </c>
      <c r="K106" s="1">
        <v>0.88906781855372796</v>
      </c>
      <c r="L106" s="1">
        <v>0.59173890286702702</v>
      </c>
      <c r="P106" s="1">
        <f>I106-'Passo 2'!I106</f>
        <v>3.2493994239500945E-2</v>
      </c>
      <c r="Q106" s="1">
        <f>J106-'Passo 2'!J106</f>
        <v>6.8673198586289841E-3</v>
      </c>
      <c r="R106" s="8">
        <f t="shared" si="5"/>
        <v>79.507000000000005</v>
      </c>
      <c r="S106" s="8">
        <f t="shared" si="4"/>
        <v>77.980999999999966</v>
      </c>
      <c r="T106" s="1">
        <f t="shared" si="6"/>
        <v>70.687115049751256</v>
      </c>
      <c r="U106" s="1">
        <f t="shared" si="7"/>
        <v>47.04738495024872</v>
      </c>
    </row>
    <row r="107" spans="1:21" x14ac:dyDescent="0.3">
      <c r="A107" t="s">
        <v>57</v>
      </c>
      <c r="B107" t="s">
        <v>88</v>
      </c>
      <c r="C107" t="s">
        <v>580</v>
      </c>
      <c r="D107" t="s">
        <v>581</v>
      </c>
      <c r="E107" s="2">
        <v>142.47999999999999</v>
      </c>
      <c r="F107" s="2">
        <v>0</v>
      </c>
      <c r="G107" s="2">
        <v>19.278666666666599</v>
      </c>
      <c r="H107" s="2">
        <v>-19.785</v>
      </c>
      <c r="I107" s="1">
        <v>0.90592363840539003</v>
      </c>
      <c r="J107" s="1">
        <v>0.91658478382930897</v>
      </c>
      <c r="K107" s="1">
        <v>0.736036692937315</v>
      </c>
      <c r="L107" s="1">
        <v>0.586471729297384</v>
      </c>
      <c r="P107" s="1">
        <f>I107-'Passo 2'!I107</f>
        <v>2.8263615946098053E-2</v>
      </c>
      <c r="Q107" s="1">
        <f>J107-'Passo 2'!J107</f>
        <v>7.4849101628298942E-2</v>
      </c>
      <c r="R107" s="8">
        <f t="shared" si="5"/>
        <v>129.07599999999996</v>
      </c>
      <c r="S107" s="8">
        <f t="shared" si="4"/>
        <v>130.59499999999994</v>
      </c>
      <c r="T107" s="1">
        <f t="shared" si="6"/>
        <v>104.87050800970863</v>
      </c>
      <c r="U107" s="1">
        <f t="shared" si="7"/>
        <v>83.560491990291268</v>
      </c>
    </row>
    <row r="108" spans="1:21" x14ac:dyDescent="0.3">
      <c r="A108" t="s">
        <v>57</v>
      </c>
      <c r="B108" t="s">
        <v>618</v>
      </c>
      <c r="C108" t="s">
        <v>580</v>
      </c>
      <c r="D108" t="s">
        <v>581</v>
      </c>
      <c r="E108" s="2">
        <v>160.833</v>
      </c>
      <c r="F108" s="2">
        <v>0</v>
      </c>
      <c r="G108" s="2">
        <v>26.399166666666599</v>
      </c>
      <c r="H108" s="2">
        <v>-26.524833333333302</v>
      </c>
      <c r="I108" s="1">
        <v>0.992420709680227</v>
      </c>
      <c r="J108" s="1">
        <v>0.99476475598913106</v>
      </c>
      <c r="K108" s="1">
        <v>0.83619410766121205</v>
      </c>
      <c r="L108" s="1">
        <v>0.650991358008146</v>
      </c>
      <c r="P108" s="1">
        <f>I108-'Passo 2'!I108</f>
        <v>-2.145082165972978E-3</v>
      </c>
      <c r="Q108" s="1">
        <f>J108-'Passo 2'!J108</f>
        <v>2.2601083111050135E-3</v>
      </c>
      <c r="R108" s="8">
        <f t="shared" si="5"/>
        <v>159.61399999999995</v>
      </c>
      <c r="S108" s="8">
        <f t="shared" si="4"/>
        <v>159.9909999999999</v>
      </c>
      <c r="T108" s="1">
        <f t="shared" si="6"/>
        <v>134.48760691747572</v>
      </c>
      <c r="U108" s="1">
        <f t="shared" si="7"/>
        <v>104.70089308252415</v>
      </c>
    </row>
    <row r="109" spans="1:21" x14ac:dyDescent="0.3">
      <c r="A109" t="s">
        <v>57</v>
      </c>
      <c r="B109" t="s">
        <v>619</v>
      </c>
      <c r="C109" t="s">
        <v>34</v>
      </c>
      <c r="D109" t="s">
        <v>35</v>
      </c>
      <c r="E109" s="2">
        <v>160</v>
      </c>
      <c r="F109" s="2">
        <v>0</v>
      </c>
      <c r="G109" s="2">
        <v>26.6666666666666</v>
      </c>
      <c r="H109" s="2">
        <v>-26.6666666666666</v>
      </c>
      <c r="I109" s="1">
        <v>1</v>
      </c>
      <c r="J109" s="1">
        <v>1</v>
      </c>
      <c r="K109" s="1">
        <v>0.89073608641788005</v>
      </c>
      <c r="L109" s="1">
        <v>0.60926391358211895</v>
      </c>
      <c r="P109" s="1">
        <f>I109-'Passo 2'!I109</f>
        <v>0</v>
      </c>
      <c r="Q109" s="1">
        <f>J109-'Passo 2'!J109</f>
        <v>1.8750000000000044E-2</v>
      </c>
      <c r="R109" s="8">
        <f t="shared" si="5"/>
        <v>160</v>
      </c>
      <c r="S109" s="8">
        <f t="shared" si="4"/>
        <v>160</v>
      </c>
      <c r="T109" s="1">
        <f t="shared" si="6"/>
        <v>142.5177738268608</v>
      </c>
      <c r="U109" s="1">
        <f t="shared" si="7"/>
        <v>97.482226173139026</v>
      </c>
    </row>
    <row r="110" spans="1:21" x14ac:dyDescent="0.3">
      <c r="A110" t="s">
        <v>57</v>
      </c>
      <c r="B110" t="s">
        <v>620</v>
      </c>
      <c r="C110" t="s">
        <v>580</v>
      </c>
      <c r="D110" t="s">
        <v>581</v>
      </c>
      <c r="E110" s="2">
        <v>139.46600000000001</v>
      </c>
      <c r="F110" s="2">
        <v>0</v>
      </c>
      <c r="G110" s="2">
        <v>21.121500000000001</v>
      </c>
      <c r="H110" s="2">
        <v>-19.484500000000001</v>
      </c>
      <c r="I110" s="1">
        <v>0.95433654080564401</v>
      </c>
      <c r="J110" s="1">
        <v>0.91912365737885904</v>
      </c>
      <c r="K110" s="1">
        <v>0.73921800232760204</v>
      </c>
      <c r="L110" s="1">
        <v>0.634242195856901</v>
      </c>
      <c r="P110" s="1">
        <f>I110-'Passo 2'!I110</f>
        <v>-2.2991266688655032E-2</v>
      </c>
      <c r="Q110" s="1">
        <f>J110-'Passo 2'!J110</f>
        <v>5.4066941046563066E-2</v>
      </c>
      <c r="R110" s="8">
        <f t="shared" si="5"/>
        <v>133.09749999999997</v>
      </c>
      <c r="S110" s="8">
        <f t="shared" si="4"/>
        <v>128.18649999999997</v>
      </c>
      <c r="T110" s="1">
        <f t="shared" si="6"/>
        <v>103.09577791262136</v>
      </c>
      <c r="U110" s="1">
        <f t="shared" si="7"/>
        <v>88.455222087378559</v>
      </c>
    </row>
    <row r="111" spans="1:21" x14ac:dyDescent="0.3">
      <c r="A111" t="s">
        <v>57</v>
      </c>
      <c r="B111" t="s">
        <v>89</v>
      </c>
      <c r="C111" t="s">
        <v>580</v>
      </c>
      <c r="D111" t="s">
        <v>581</v>
      </c>
      <c r="E111" s="2">
        <v>86.331000000000003</v>
      </c>
      <c r="F111" s="2">
        <v>0</v>
      </c>
      <c r="G111" s="2">
        <v>13.923500000000001</v>
      </c>
      <c r="H111" s="2">
        <v>-14.388500000000001</v>
      </c>
      <c r="I111" s="1">
        <v>0.98384126211905298</v>
      </c>
      <c r="J111" s="1">
        <v>1</v>
      </c>
      <c r="K111" s="1">
        <v>0.79305156418179601</v>
      </c>
      <c r="L111" s="1">
        <v>0.69078969793725697</v>
      </c>
      <c r="P111" s="1">
        <f>I111-'Passo 2'!I111</f>
        <v>5.8298872942512014E-2</v>
      </c>
      <c r="Q111" s="1">
        <f>J111-'Passo 2'!J111</f>
        <v>1.4444405833363039E-2</v>
      </c>
      <c r="R111" s="8">
        <f t="shared" si="5"/>
        <v>84.935999999999964</v>
      </c>
      <c r="S111" s="8">
        <f t="shared" si="4"/>
        <v>86.331000000000003</v>
      </c>
      <c r="T111" s="1">
        <f t="shared" si="6"/>
        <v>68.464934587378636</v>
      </c>
      <c r="U111" s="1">
        <f t="shared" si="7"/>
        <v>59.636565412621337</v>
      </c>
    </row>
    <row r="112" spans="1:21" x14ac:dyDescent="0.3">
      <c r="A112" t="s">
        <v>57</v>
      </c>
      <c r="B112" t="s">
        <v>621</v>
      </c>
      <c r="C112" t="s">
        <v>580</v>
      </c>
      <c r="D112" t="s">
        <v>581</v>
      </c>
      <c r="E112" s="2">
        <v>56.652000000000001</v>
      </c>
      <c r="F112" s="2">
        <v>0</v>
      </c>
      <c r="G112" s="2">
        <v>9.3401666666666596</v>
      </c>
      <c r="H112" s="2">
        <v>-9.3578333333333301</v>
      </c>
      <c r="I112" s="1">
        <v>0.99460742780484301</v>
      </c>
      <c r="J112" s="1">
        <v>0.99554296406128595</v>
      </c>
      <c r="K112" s="1">
        <v>0.74583663587285898</v>
      </c>
      <c r="L112" s="1">
        <v>0.74431375599326999</v>
      </c>
      <c r="P112" s="1">
        <f>I112-'Passo 2'!I112</f>
        <v>3.194944573890024E-3</v>
      </c>
      <c r="Q112" s="1">
        <f>J112-'Passo 2'!J112</f>
        <v>3.521499682271001E-3</v>
      </c>
      <c r="R112" s="8">
        <f t="shared" si="5"/>
        <v>56.34649999999997</v>
      </c>
      <c r="S112" s="8">
        <f t="shared" si="4"/>
        <v>56.399499999999975</v>
      </c>
      <c r="T112" s="1">
        <f t="shared" si="6"/>
        <v>42.253137095469206</v>
      </c>
      <c r="U112" s="1">
        <f t="shared" si="7"/>
        <v>42.166862904530731</v>
      </c>
    </row>
    <row r="113" spans="1:21" x14ac:dyDescent="0.3">
      <c r="A113" t="s">
        <v>57</v>
      </c>
      <c r="B113" t="s">
        <v>622</v>
      </c>
      <c r="C113" t="s">
        <v>580</v>
      </c>
      <c r="D113" t="s">
        <v>581</v>
      </c>
      <c r="E113" s="2">
        <v>87.088999999999999</v>
      </c>
      <c r="F113" s="2">
        <v>0</v>
      </c>
      <c r="G113" s="2">
        <v>14.158666666666599</v>
      </c>
      <c r="H113" s="2">
        <v>-14.279</v>
      </c>
      <c r="I113" s="1">
        <v>0.98773094190999999</v>
      </c>
      <c r="J113" s="1">
        <v>0.99187612672094005</v>
      </c>
      <c r="K113" s="1">
        <v>0.84641301596354501</v>
      </c>
      <c r="L113" s="1">
        <v>0.63319405266739504</v>
      </c>
      <c r="P113" s="1">
        <f>I113-'Passo 2'!I113</f>
        <v>2.4279759785965971E-2</v>
      </c>
      <c r="Q113" s="1">
        <f>J113-'Passo 2'!J113</f>
        <v>1.1396387603486047E-2</v>
      </c>
      <c r="R113" s="8">
        <f t="shared" si="5"/>
        <v>86.020499999999984</v>
      </c>
      <c r="S113" s="8">
        <f t="shared" si="4"/>
        <v>86.381499999999946</v>
      </c>
      <c r="T113" s="1">
        <f t="shared" si="6"/>
        <v>73.713263147249165</v>
      </c>
      <c r="U113" s="1">
        <f t="shared" si="7"/>
        <v>55.144236852750765</v>
      </c>
    </row>
    <row r="114" spans="1:21" x14ac:dyDescent="0.3">
      <c r="A114" t="s">
        <v>57</v>
      </c>
      <c r="B114" t="s">
        <v>623</v>
      </c>
      <c r="C114" t="s">
        <v>580</v>
      </c>
      <c r="D114" t="s">
        <v>581</v>
      </c>
      <c r="E114" s="2">
        <v>49.572000000000003</v>
      </c>
      <c r="F114" s="2">
        <v>0</v>
      </c>
      <c r="G114" s="2">
        <v>7.9336666666666602</v>
      </c>
      <c r="H114" s="2">
        <v>-8.2620000000000005</v>
      </c>
      <c r="I114" s="1">
        <v>0.98012991204712296</v>
      </c>
      <c r="J114" s="1">
        <v>1</v>
      </c>
      <c r="K114" s="1">
        <v>0.81936811958259104</v>
      </c>
      <c r="L114" s="1">
        <v>0.66076179246453104</v>
      </c>
      <c r="P114" s="1">
        <f>I114-'Passo 2'!I114</f>
        <v>2.2089082546599137E-3</v>
      </c>
      <c r="Q114" s="1">
        <f>J114-'Passo 2'!J114</f>
        <v>6.3543936093002351E-4</v>
      </c>
      <c r="R114" s="8">
        <f t="shared" si="5"/>
        <v>48.586999999999982</v>
      </c>
      <c r="S114" s="8">
        <f t="shared" si="4"/>
        <v>49.572000000000003</v>
      </c>
      <c r="T114" s="1">
        <f t="shared" si="6"/>
        <v>40.617716423948202</v>
      </c>
      <c r="U114" s="1">
        <f t="shared" si="7"/>
        <v>32.755283576051731</v>
      </c>
    </row>
    <row r="115" spans="1:21" x14ac:dyDescent="0.3">
      <c r="A115" t="s">
        <v>57</v>
      </c>
      <c r="B115" t="s">
        <v>624</v>
      </c>
      <c r="C115" t="s">
        <v>580</v>
      </c>
      <c r="D115" t="s">
        <v>581</v>
      </c>
      <c r="E115" s="2">
        <v>190.82</v>
      </c>
      <c r="F115" s="2">
        <v>0</v>
      </c>
      <c r="G115" s="2">
        <v>31.225166666666599</v>
      </c>
      <c r="H115" s="2">
        <v>-31.770166666666601</v>
      </c>
      <c r="I115" s="1">
        <v>0.99091028194109598</v>
      </c>
      <c r="J115" s="1">
        <v>0.99947856618802999</v>
      </c>
      <c r="K115" s="1">
        <v>0.84771949441855798</v>
      </c>
      <c r="L115" s="1">
        <v>0.64266935371056799</v>
      </c>
      <c r="P115" s="1">
        <f>I115-'Passo 2'!I115</f>
        <v>1.7996017188974034E-2</v>
      </c>
      <c r="Q115" s="1">
        <f>J115-'Passo 2'!J115</f>
        <v>1.2710931768157963E-2</v>
      </c>
      <c r="R115" s="8">
        <f t="shared" si="5"/>
        <v>189.08549999999994</v>
      </c>
      <c r="S115" s="8">
        <f t="shared" si="4"/>
        <v>190.72049999999987</v>
      </c>
      <c r="T115" s="1">
        <f t="shared" si="6"/>
        <v>161.76183392494923</v>
      </c>
      <c r="U115" s="1">
        <f t="shared" si="7"/>
        <v>122.63416607505059</v>
      </c>
    </row>
    <row r="116" spans="1:21" x14ac:dyDescent="0.3">
      <c r="A116" t="s">
        <v>57</v>
      </c>
      <c r="B116" t="s">
        <v>625</v>
      </c>
      <c r="C116" t="s">
        <v>580</v>
      </c>
      <c r="D116" t="s">
        <v>581</v>
      </c>
      <c r="E116" s="2">
        <v>177.047</v>
      </c>
      <c r="F116" s="2">
        <v>0</v>
      </c>
      <c r="G116" s="2">
        <v>28.630666666666599</v>
      </c>
      <c r="H116" s="2">
        <v>-28.178666666666601</v>
      </c>
      <c r="I116" s="1">
        <v>0.98513671510954703</v>
      </c>
      <c r="J116" s="1">
        <v>0.97747773190169795</v>
      </c>
      <c r="K116" s="1">
        <v>0.76976045300936002</v>
      </c>
      <c r="L116" s="1">
        <v>0.69285399400188497</v>
      </c>
      <c r="P116" s="1">
        <f>I116-'Passo 2'!I116</f>
        <v>1.2279225290459994E-2</v>
      </c>
      <c r="Q116" s="1">
        <f>J116-'Passo 2'!J116</f>
        <v>2.1460403169779929E-2</v>
      </c>
      <c r="R116" s="8">
        <f t="shared" si="5"/>
        <v>174.41549999999998</v>
      </c>
      <c r="S116" s="8">
        <f t="shared" si="4"/>
        <v>173.05949999999993</v>
      </c>
      <c r="T116" s="1">
        <f t="shared" si="6"/>
        <v>136.28377892394815</v>
      </c>
      <c r="U116" s="1">
        <f t="shared" si="7"/>
        <v>122.66772107605172</v>
      </c>
    </row>
    <row r="117" spans="1:21" x14ac:dyDescent="0.3">
      <c r="A117" t="s">
        <v>57</v>
      </c>
      <c r="B117" t="s">
        <v>90</v>
      </c>
      <c r="C117" t="s">
        <v>580</v>
      </c>
      <c r="D117" t="s">
        <v>581</v>
      </c>
      <c r="E117" s="2">
        <v>584.71699999999998</v>
      </c>
      <c r="F117" s="2">
        <v>0</v>
      </c>
      <c r="G117" s="2">
        <v>80.854500000000002</v>
      </c>
      <c r="H117" s="2">
        <v>-84.933333333333294</v>
      </c>
      <c r="I117" s="1">
        <v>0.91483914440660996</v>
      </c>
      <c r="J117" s="1">
        <v>0.93576636218888798</v>
      </c>
      <c r="K117" s="1">
        <v>0.74843630485464896</v>
      </c>
      <c r="L117" s="1">
        <v>0.60216920174084898</v>
      </c>
      <c r="P117" s="1">
        <f>I117-'Passo 2'!I117</f>
        <v>1.6228363464719009E-2</v>
      </c>
      <c r="Q117" s="1">
        <f>J117-'Passo 2'!J117</f>
        <v>9.3742784971191928E-2</v>
      </c>
      <c r="R117" s="8">
        <f t="shared" si="5"/>
        <v>534.9219999999998</v>
      </c>
      <c r="S117" s="8">
        <f t="shared" si="4"/>
        <v>547.1585</v>
      </c>
      <c r="T117" s="1">
        <f t="shared" si="6"/>
        <v>437.62343086569575</v>
      </c>
      <c r="U117" s="1">
        <f t="shared" si="7"/>
        <v>352.098569134304</v>
      </c>
    </row>
    <row r="118" spans="1:21" x14ac:dyDescent="0.3">
      <c r="A118" t="s">
        <v>57</v>
      </c>
      <c r="B118" t="s">
        <v>91</v>
      </c>
      <c r="C118" t="s">
        <v>580</v>
      </c>
      <c r="D118" t="s">
        <v>581</v>
      </c>
      <c r="E118" s="2">
        <v>59.27</v>
      </c>
      <c r="F118" s="2">
        <v>0</v>
      </c>
      <c r="G118" s="2">
        <v>8.7501666666666598</v>
      </c>
      <c r="H118" s="2">
        <v>-9.7288333333333306</v>
      </c>
      <c r="I118" s="1">
        <v>0.94289691243462104</v>
      </c>
      <c r="J118" s="1">
        <v>0.99243293403070598</v>
      </c>
      <c r="K118" s="1">
        <v>0.75730758956189104</v>
      </c>
      <c r="L118" s="1">
        <v>0.67802225690343598</v>
      </c>
      <c r="P118" s="1">
        <f>I118-'Passo 2'!I118</f>
        <v>-2.294584106629971E-3</v>
      </c>
      <c r="Q118" s="1">
        <f>J118-'Passo 2'!J118</f>
        <v>1.3775940610764037E-2</v>
      </c>
      <c r="R118" s="8">
        <f t="shared" si="5"/>
        <v>55.885499999999993</v>
      </c>
      <c r="S118" s="8">
        <f t="shared" si="4"/>
        <v>58.821499999999943</v>
      </c>
      <c r="T118" s="1">
        <f t="shared" si="6"/>
        <v>44.885620833333284</v>
      </c>
      <c r="U118" s="1">
        <f t="shared" si="7"/>
        <v>40.186379166666654</v>
      </c>
    </row>
    <row r="119" spans="1:21" x14ac:dyDescent="0.3">
      <c r="A119" t="s">
        <v>57</v>
      </c>
      <c r="B119" t="s">
        <v>92</v>
      </c>
      <c r="C119" t="s">
        <v>580</v>
      </c>
      <c r="D119" t="s">
        <v>581</v>
      </c>
      <c r="E119" s="2">
        <v>86.406999999999996</v>
      </c>
      <c r="F119" s="2">
        <v>0</v>
      </c>
      <c r="G119" s="2">
        <v>11.8846666666666</v>
      </c>
      <c r="H119" s="2">
        <v>-12.4698333333333</v>
      </c>
      <c r="I119" s="1">
        <v>0.91262860647864097</v>
      </c>
      <c r="J119" s="1">
        <v>0.93294524749152197</v>
      </c>
      <c r="K119" s="1">
        <v>0.72638689339676898</v>
      </c>
      <c r="L119" s="1">
        <v>0.61918696057339495</v>
      </c>
      <c r="P119" s="1">
        <f>I119-'Passo 2'!I119</f>
        <v>3.0194312960754921E-2</v>
      </c>
      <c r="Q119" s="1">
        <f>J119-'Passo 2'!J119</f>
        <v>3.023481893827995E-2</v>
      </c>
      <c r="R119" s="8">
        <f t="shared" si="5"/>
        <v>78.857499999999931</v>
      </c>
      <c r="S119" s="8">
        <f t="shared" si="4"/>
        <v>80.612999999999928</v>
      </c>
      <c r="T119" s="1">
        <f t="shared" si="6"/>
        <v>62.764912297734618</v>
      </c>
      <c r="U119" s="1">
        <f t="shared" si="7"/>
        <v>53.502087702265335</v>
      </c>
    </row>
    <row r="120" spans="1:21" x14ac:dyDescent="0.3">
      <c r="A120" t="s">
        <v>57</v>
      </c>
      <c r="B120" t="s">
        <v>93</v>
      </c>
      <c r="C120" t="s">
        <v>580</v>
      </c>
      <c r="D120" t="s">
        <v>581</v>
      </c>
      <c r="E120" s="2">
        <v>77.662000000000006</v>
      </c>
      <c r="F120" s="2">
        <v>0</v>
      </c>
      <c r="G120" s="2">
        <v>12.0948333333333</v>
      </c>
      <c r="H120" s="2">
        <v>-11.5525</v>
      </c>
      <c r="I120" s="1">
        <v>0.96721047616594902</v>
      </c>
      <c r="J120" s="1">
        <v>0.946260719528211</v>
      </c>
      <c r="K120" s="1">
        <v>0.71635133979049004</v>
      </c>
      <c r="L120" s="1">
        <v>0.69711985590367098</v>
      </c>
      <c r="P120" s="1">
        <f>I120-'Passo 2'!I120</f>
        <v>2.7297777548864977E-2</v>
      </c>
      <c r="Q120" s="1">
        <f>J120-'Passo 2'!J120</f>
        <v>9.7216141742395568E-4</v>
      </c>
      <c r="R120" s="8">
        <f t="shared" si="5"/>
        <v>75.11549999999994</v>
      </c>
      <c r="S120" s="8">
        <f t="shared" si="4"/>
        <v>73.488499999999931</v>
      </c>
      <c r="T120" s="1">
        <f t="shared" si="6"/>
        <v>55.633277750809043</v>
      </c>
      <c r="U120" s="1">
        <f t="shared" si="7"/>
        <v>54.139722249190903</v>
      </c>
    </row>
    <row r="121" spans="1:21" x14ac:dyDescent="0.3">
      <c r="A121" t="s">
        <v>57</v>
      </c>
      <c r="B121" t="s">
        <v>626</v>
      </c>
      <c r="C121" t="s">
        <v>34</v>
      </c>
      <c r="D121" t="s">
        <v>35</v>
      </c>
      <c r="E121" s="2">
        <v>185.143</v>
      </c>
      <c r="F121" s="2">
        <v>0</v>
      </c>
      <c r="G121" s="2">
        <v>26.211500000000001</v>
      </c>
      <c r="H121" s="2">
        <v>-30.8571666666666</v>
      </c>
      <c r="I121" s="1">
        <v>0.92472305191122495</v>
      </c>
      <c r="J121" s="1">
        <v>1</v>
      </c>
      <c r="K121" s="1">
        <v>0.852478686683661</v>
      </c>
      <c r="L121" s="1">
        <v>0.57224436522756295</v>
      </c>
      <c r="P121" s="1">
        <f>I121-'Passo 2'!I121</f>
        <v>0.10603425460319893</v>
      </c>
      <c r="Q121" s="1">
        <f>J121-'Passo 2'!J121</f>
        <v>0.12085253020638098</v>
      </c>
      <c r="R121" s="8">
        <f t="shared" si="5"/>
        <v>171.20599999999993</v>
      </c>
      <c r="S121" s="8">
        <f t="shared" si="4"/>
        <v>185.143</v>
      </c>
      <c r="T121" s="1">
        <f t="shared" si="6"/>
        <v>157.83046148867305</v>
      </c>
      <c r="U121" s="1">
        <f t="shared" si="7"/>
        <v>105.94703851132668</v>
      </c>
    </row>
    <row r="122" spans="1:21" x14ac:dyDescent="0.3">
      <c r="A122" t="s">
        <v>57</v>
      </c>
      <c r="B122" t="s">
        <v>94</v>
      </c>
      <c r="C122" t="s">
        <v>580</v>
      </c>
      <c r="D122" t="s">
        <v>581</v>
      </c>
      <c r="E122" s="2">
        <v>164.011</v>
      </c>
      <c r="F122" s="2">
        <v>0</v>
      </c>
      <c r="G122" s="2">
        <v>25.6093333333333</v>
      </c>
      <c r="H122" s="2">
        <v>-27.181999999999999</v>
      </c>
      <c r="I122" s="1">
        <v>0.96843199541494096</v>
      </c>
      <c r="J122" s="1">
        <v>0.99719835864667605</v>
      </c>
      <c r="K122" s="1">
        <v>0.75074820441339496</v>
      </c>
      <c r="L122" s="1">
        <v>0.71488214964822205</v>
      </c>
      <c r="P122" s="1">
        <f>I122-'Passo 2'!I122</f>
        <v>5.6730950972800009E-2</v>
      </c>
      <c r="Q122" s="1">
        <f>J122-'Passo 2'!J122</f>
        <v>7.6513160702636029E-2</v>
      </c>
      <c r="R122" s="8">
        <f t="shared" si="5"/>
        <v>158.83349999999987</v>
      </c>
      <c r="S122" s="8">
        <f t="shared" si="4"/>
        <v>163.55149999999998</v>
      </c>
      <c r="T122" s="1">
        <f t="shared" si="6"/>
        <v>123.13096375404531</v>
      </c>
      <c r="U122" s="1">
        <f t="shared" si="7"/>
        <v>117.24853624595454</v>
      </c>
    </row>
    <row r="123" spans="1:21" x14ac:dyDescent="0.3">
      <c r="A123" t="s">
        <v>57</v>
      </c>
      <c r="B123" t="s">
        <v>95</v>
      </c>
      <c r="C123" t="s">
        <v>580</v>
      </c>
      <c r="D123" t="s">
        <v>581</v>
      </c>
      <c r="E123" s="2">
        <v>515</v>
      </c>
      <c r="F123" s="2">
        <v>0</v>
      </c>
      <c r="G123" s="2">
        <v>65</v>
      </c>
      <c r="H123" s="2">
        <v>-73.6666666666666</v>
      </c>
      <c r="I123" s="1">
        <v>0.87864077669902896</v>
      </c>
      <c r="J123" s="1">
        <v>0.92912621359223302</v>
      </c>
      <c r="K123" s="1">
        <v>0.74505756359881603</v>
      </c>
      <c r="L123" s="1">
        <v>0.56270942669244495</v>
      </c>
      <c r="P123" s="1">
        <f>I123-'Passo 2'!I123</f>
        <v>0.135407766990292</v>
      </c>
      <c r="Q123" s="1">
        <f>J123-'Passo 2'!J123</f>
        <v>3.009708737864103E-2</v>
      </c>
      <c r="R123" s="8">
        <f t="shared" si="5"/>
        <v>452.49999999999989</v>
      </c>
      <c r="S123" s="8">
        <f t="shared" si="4"/>
        <v>478.5</v>
      </c>
      <c r="T123" s="1">
        <f t="shared" si="6"/>
        <v>383.70464525339025</v>
      </c>
      <c r="U123" s="1">
        <f t="shared" si="7"/>
        <v>289.79535474660912</v>
      </c>
    </row>
    <row r="124" spans="1:21" x14ac:dyDescent="0.3">
      <c r="A124" t="s">
        <v>57</v>
      </c>
      <c r="B124" t="s">
        <v>96</v>
      </c>
      <c r="C124" t="s">
        <v>580</v>
      </c>
      <c r="D124" t="s">
        <v>581</v>
      </c>
      <c r="E124" s="2">
        <v>346.928</v>
      </c>
      <c r="F124" s="2">
        <v>0</v>
      </c>
      <c r="G124" s="2">
        <v>56.172166666666598</v>
      </c>
      <c r="H124" s="2">
        <v>-56.109833333333299</v>
      </c>
      <c r="I124" s="1">
        <v>0.98573911589724605</v>
      </c>
      <c r="J124" s="1">
        <v>0.98520009915602003</v>
      </c>
      <c r="K124" s="1">
        <v>0.74607835942439504</v>
      </c>
      <c r="L124" s="1">
        <v>0.72486085562887204</v>
      </c>
      <c r="P124" s="1">
        <f>I124-'Passo 2'!I124</f>
        <v>5.97991514089381E-2</v>
      </c>
      <c r="Q124" s="1">
        <f>J124-'Passo 2'!J124</f>
        <v>1.9893176682193037E-2</v>
      </c>
      <c r="R124" s="8">
        <f t="shared" si="5"/>
        <v>341.98049999999978</v>
      </c>
      <c r="S124" s="8">
        <f t="shared" si="4"/>
        <v>341.79349999999971</v>
      </c>
      <c r="T124" s="1">
        <f t="shared" si="6"/>
        <v>258.83547307838654</v>
      </c>
      <c r="U124" s="1">
        <f t="shared" si="7"/>
        <v>251.47452692161332</v>
      </c>
    </row>
    <row r="125" spans="1:21" x14ac:dyDescent="0.3">
      <c r="A125" t="s">
        <v>57</v>
      </c>
      <c r="B125" t="s">
        <v>97</v>
      </c>
      <c r="C125" t="s">
        <v>580</v>
      </c>
      <c r="D125" t="s">
        <v>581</v>
      </c>
      <c r="E125" s="2">
        <v>175.381</v>
      </c>
      <c r="F125" s="2">
        <v>0</v>
      </c>
      <c r="G125" s="2">
        <v>16.9516666666666</v>
      </c>
      <c r="H125" s="2">
        <v>-13.819333333333301</v>
      </c>
      <c r="I125" s="1">
        <v>0.78996869672313397</v>
      </c>
      <c r="J125" s="1">
        <v>0.73638820624811097</v>
      </c>
      <c r="K125" s="1">
        <v>0.69766886716481802</v>
      </c>
      <c r="L125" s="1">
        <v>0.32868803580642703</v>
      </c>
      <c r="P125" s="1">
        <f>I125-'Passo 2'!I125</f>
        <v>3.8071398840240023E-2</v>
      </c>
      <c r="Q125" s="1">
        <f>J125-'Passo 2'!J125</f>
        <v>2.3905098043688011E-2</v>
      </c>
      <c r="R125" s="8">
        <f t="shared" si="5"/>
        <v>138.54549999999995</v>
      </c>
      <c r="S125" s="8">
        <f t="shared" si="4"/>
        <v>129.14849999999996</v>
      </c>
      <c r="T125" s="1">
        <f t="shared" si="6"/>
        <v>122.35786359223295</v>
      </c>
      <c r="U125" s="1">
        <f t="shared" si="7"/>
        <v>57.645636407766979</v>
      </c>
    </row>
    <row r="126" spans="1:21" x14ac:dyDescent="0.3">
      <c r="A126" t="s">
        <v>57</v>
      </c>
      <c r="B126" t="s">
        <v>98</v>
      </c>
      <c r="C126" t="s">
        <v>580</v>
      </c>
      <c r="D126" t="s">
        <v>581</v>
      </c>
      <c r="E126" s="2">
        <v>97.926000000000002</v>
      </c>
      <c r="F126" s="2">
        <v>0</v>
      </c>
      <c r="G126" s="2">
        <v>16.264666666666599</v>
      </c>
      <c r="H126" s="2">
        <v>-16.300833333333301</v>
      </c>
      <c r="I126" s="1">
        <v>0.99827420705430603</v>
      </c>
      <c r="J126" s="1">
        <v>0.999382186549026</v>
      </c>
      <c r="K126" s="1">
        <v>0.783883395341056</v>
      </c>
      <c r="L126" s="1">
        <v>0.71377299826227603</v>
      </c>
      <c r="P126" s="1">
        <f>I126-'Passo 2'!I126</f>
        <v>3.5174519535159043E-2</v>
      </c>
      <c r="Q126" s="1">
        <f>J126-'Passo 2'!J126</f>
        <v>3.1299144251779598E-3</v>
      </c>
      <c r="R126" s="8">
        <f t="shared" si="5"/>
        <v>97.756999999999977</v>
      </c>
      <c r="S126" s="8">
        <f t="shared" si="4"/>
        <v>97.865499999999926</v>
      </c>
      <c r="T126" s="1">
        <f t="shared" si="6"/>
        <v>76.762565372168254</v>
      </c>
      <c r="U126" s="1">
        <f t="shared" si="7"/>
        <v>69.896934627831641</v>
      </c>
    </row>
    <row r="127" spans="1:21" x14ac:dyDescent="0.3">
      <c r="A127" t="s">
        <v>57</v>
      </c>
      <c r="B127" t="s">
        <v>627</v>
      </c>
      <c r="C127" t="s">
        <v>580</v>
      </c>
      <c r="D127" t="s">
        <v>581</v>
      </c>
      <c r="E127" s="2">
        <v>86.262</v>
      </c>
      <c r="F127" s="2">
        <v>0</v>
      </c>
      <c r="G127" s="2">
        <v>14.1223333333333</v>
      </c>
      <c r="H127" s="2">
        <v>-14.377000000000001</v>
      </c>
      <c r="I127" s="1">
        <v>0.99114326122742302</v>
      </c>
      <c r="J127" s="1">
        <v>1</v>
      </c>
      <c r="K127" s="1">
        <v>0.81774307398046797</v>
      </c>
      <c r="L127" s="1">
        <v>0.67340018724695405</v>
      </c>
      <c r="P127" s="1">
        <f>I127-'Passo 2'!I127</f>
        <v>1.3267719273840073E-2</v>
      </c>
      <c r="Q127" s="1">
        <f>J127-'Passo 2'!J127</f>
        <v>0</v>
      </c>
      <c r="R127" s="8">
        <f t="shared" si="5"/>
        <v>85.497999999999962</v>
      </c>
      <c r="S127" s="8">
        <f t="shared" si="4"/>
        <v>86.262</v>
      </c>
      <c r="T127" s="1">
        <f t="shared" si="6"/>
        <v>70.540153047703129</v>
      </c>
      <c r="U127" s="1">
        <f t="shared" si="7"/>
        <v>58.088846952296748</v>
      </c>
    </row>
    <row r="128" spans="1:21" x14ac:dyDescent="0.3">
      <c r="A128" t="s">
        <v>57</v>
      </c>
      <c r="B128" t="s">
        <v>628</v>
      </c>
      <c r="C128" t="s">
        <v>580</v>
      </c>
      <c r="D128" t="s">
        <v>581</v>
      </c>
      <c r="E128" s="2">
        <v>106.66800000000001</v>
      </c>
      <c r="F128" s="2">
        <v>0</v>
      </c>
      <c r="G128" s="2">
        <v>14.923</v>
      </c>
      <c r="H128" s="2">
        <v>-15.579666666666601</v>
      </c>
      <c r="I128" s="1">
        <v>0.91970412869839102</v>
      </c>
      <c r="J128" s="1">
        <v>0.93817264784190202</v>
      </c>
      <c r="K128" s="1">
        <v>0.73610614303000799</v>
      </c>
      <c r="L128" s="1">
        <v>0.62177063351028505</v>
      </c>
      <c r="P128" s="1">
        <f>I128-'Passo 2'!I128</f>
        <v>6.3463269209135031E-2</v>
      </c>
      <c r="Q128" s="1">
        <f>J128-'Passo 2'!J128</f>
        <v>9.7705028687142037E-2</v>
      </c>
      <c r="R128" s="8">
        <f t="shared" si="5"/>
        <v>98.10299999999998</v>
      </c>
      <c r="S128" s="8">
        <f t="shared" si="4"/>
        <v>100.07300000000001</v>
      </c>
      <c r="T128" s="1">
        <f t="shared" si="6"/>
        <v>78.518970064724897</v>
      </c>
      <c r="U128" s="1">
        <f t="shared" si="7"/>
        <v>66.323029935275088</v>
      </c>
    </row>
    <row r="129" spans="1:21" x14ac:dyDescent="0.3">
      <c r="A129" t="s">
        <v>57</v>
      </c>
      <c r="B129" t="s">
        <v>99</v>
      </c>
      <c r="C129" t="s">
        <v>580</v>
      </c>
      <c r="D129" t="s">
        <v>581</v>
      </c>
      <c r="E129" s="2">
        <v>80.138999999999996</v>
      </c>
      <c r="F129" s="2">
        <v>0</v>
      </c>
      <c r="G129" s="2">
        <v>11.749833333333299</v>
      </c>
      <c r="H129" s="2">
        <v>-12.165999999999899</v>
      </c>
      <c r="I129" s="1">
        <v>0.93985450280138205</v>
      </c>
      <c r="J129" s="1">
        <v>0.955433683974095</v>
      </c>
      <c r="K129" s="1">
        <v>0.799615810631778</v>
      </c>
      <c r="L129" s="1">
        <v>0.59567237614369895</v>
      </c>
      <c r="P129" s="1">
        <f>I129-'Passo 2'!I129</f>
        <v>4.7816918104793049E-2</v>
      </c>
      <c r="Q129" s="1">
        <f>J129-'Passo 2'!J129</f>
        <v>5.8242553563183974E-2</v>
      </c>
      <c r="R129" s="8">
        <f t="shared" si="5"/>
        <v>75.318999999999946</v>
      </c>
      <c r="S129" s="8">
        <f t="shared" si="4"/>
        <v>76.567499999999995</v>
      </c>
      <c r="T129" s="1">
        <f t="shared" si="6"/>
        <v>64.080411448220048</v>
      </c>
      <c r="U129" s="1">
        <f t="shared" si="7"/>
        <v>47.736588551779889</v>
      </c>
    </row>
    <row r="130" spans="1:21" x14ac:dyDescent="0.3">
      <c r="A130" t="s">
        <v>57</v>
      </c>
      <c r="B130" t="s">
        <v>100</v>
      </c>
      <c r="C130" t="s">
        <v>580</v>
      </c>
      <c r="D130" t="s">
        <v>581</v>
      </c>
      <c r="E130" s="2">
        <v>155.26900000000001</v>
      </c>
      <c r="F130" s="2">
        <v>0</v>
      </c>
      <c r="G130" s="2">
        <v>23.4179999999999</v>
      </c>
      <c r="H130" s="2">
        <v>-23.723499999999898</v>
      </c>
      <c r="I130" s="1">
        <v>0.95246636482491598</v>
      </c>
      <c r="J130" s="1">
        <v>0.95836902408078795</v>
      </c>
      <c r="K130" s="1">
        <v>0.74940884538808805</v>
      </c>
      <c r="L130" s="1">
        <v>0.66142654351761698</v>
      </c>
      <c r="P130" s="1">
        <f>I130-'Passo 2'!I130</f>
        <v>5.5249277061099944E-2</v>
      </c>
      <c r="Q130" s="1">
        <f>J130-'Passo 2'!J130</f>
        <v>6.3119489402262974E-2</v>
      </c>
      <c r="R130" s="8">
        <f t="shared" si="5"/>
        <v>147.88849999999988</v>
      </c>
      <c r="S130" s="8">
        <f t="shared" ref="S130:S193" si="8">J130*E130</f>
        <v>148.80499999999986</v>
      </c>
      <c r="T130" s="1">
        <f t="shared" si="6"/>
        <v>116.35996201456305</v>
      </c>
      <c r="U130" s="1">
        <f t="shared" si="7"/>
        <v>102.69903798543687</v>
      </c>
    </row>
    <row r="131" spans="1:21" x14ac:dyDescent="0.3">
      <c r="A131" t="s">
        <v>57</v>
      </c>
      <c r="B131" t="s">
        <v>101</v>
      </c>
      <c r="C131" t="s">
        <v>580</v>
      </c>
      <c r="D131" t="s">
        <v>581</v>
      </c>
      <c r="E131" s="2">
        <v>138.16999999999999</v>
      </c>
      <c r="F131" s="2">
        <v>0</v>
      </c>
      <c r="G131" s="2">
        <v>20.7611666666666</v>
      </c>
      <c r="H131" s="2">
        <v>-20.626666666666601</v>
      </c>
      <c r="I131" s="1">
        <v>0.950774408337555</v>
      </c>
      <c r="J131" s="1">
        <v>0.94785409278425103</v>
      </c>
      <c r="K131" s="1">
        <v>0.74615723460358896</v>
      </c>
      <c r="L131" s="1">
        <v>0.65247126651821596</v>
      </c>
      <c r="P131" s="1">
        <f>I131-'Passo 2'!I131</f>
        <v>5.3510168632843969E-2</v>
      </c>
      <c r="Q131" s="1">
        <f>J131-'Passo 2'!J131</f>
        <v>2.3355286965333066E-2</v>
      </c>
      <c r="R131" s="8">
        <f t="shared" ref="R131:R194" si="9">I131*E131</f>
        <v>131.36849999999995</v>
      </c>
      <c r="S131" s="8">
        <f t="shared" si="8"/>
        <v>130.96499999999995</v>
      </c>
      <c r="T131" s="1">
        <f t="shared" ref="T131:T194" si="10">K131*E131</f>
        <v>103.09654510517788</v>
      </c>
      <c r="U131" s="1">
        <f t="shared" ref="U131:U194" si="11">L131*E131</f>
        <v>90.151954894821898</v>
      </c>
    </row>
    <row r="132" spans="1:21" x14ac:dyDescent="0.3">
      <c r="A132" t="s">
        <v>57</v>
      </c>
      <c r="B132" t="s">
        <v>102</v>
      </c>
      <c r="C132" t="s">
        <v>580</v>
      </c>
      <c r="D132" t="s">
        <v>581</v>
      </c>
      <c r="E132" s="2">
        <v>169</v>
      </c>
      <c r="F132" s="2">
        <v>0</v>
      </c>
      <c r="G132" s="2">
        <v>24.385166666666599</v>
      </c>
      <c r="H132" s="2">
        <v>-27.7098333333333</v>
      </c>
      <c r="I132" s="1">
        <v>0.93287278106508797</v>
      </c>
      <c r="J132" s="1">
        <v>0.99189053254437798</v>
      </c>
      <c r="K132" s="1">
        <v>0.73764639824017098</v>
      </c>
      <c r="L132" s="1">
        <v>0.68711691536929498</v>
      </c>
      <c r="P132" s="1">
        <f>I132-'Passo 2'!I132</f>
        <v>8.3035502958579976E-2</v>
      </c>
      <c r="Q132" s="1">
        <f>J132-'Passo 2'!J132</f>
        <v>4.0408284023668029E-2</v>
      </c>
      <c r="R132" s="8">
        <f t="shared" si="9"/>
        <v>157.65549999999988</v>
      </c>
      <c r="S132" s="8">
        <f t="shared" si="8"/>
        <v>167.62949999999987</v>
      </c>
      <c r="T132" s="1">
        <f t="shared" si="10"/>
        <v>124.6622413025889</v>
      </c>
      <c r="U132" s="1">
        <f t="shared" si="11"/>
        <v>116.12275869741084</v>
      </c>
    </row>
    <row r="133" spans="1:21" x14ac:dyDescent="0.3">
      <c r="A133" t="s">
        <v>57</v>
      </c>
      <c r="B133" t="s">
        <v>103</v>
      </c>
      <c r="C133" t="s">
        <v>580</v>
      </c>
      <c r="D133" t="s">
        <v>581</v>
      </c>
      <c r="E133" s="2">
        <v>188.96100000000001</v>
      </c>
      <c r="F133" s="2">
        <v>0</v>
      </c>
      <c r="G133" s="2">
        <v>29.293666666666599</v>
      </c>
      <c r="H133" s="2">
        <v>-27.640666666666601</v>
      </c>
      <c r="I133" s="1">
        <v>0.96507480379549204</v>
      </c>
      <c r="J133" s="1">
        <v>0.93883129322981895</v>
      </c>
      <c r="K133" s="1">
        <v>0.77168589021014899</v>
      </c>
      <c r="L133" s="1">
        <v>0.632220206815162</v>
      </c>
      <c r="P133" s="1">
        <f>I133-'Passo 2'!I133</f>
        <v>0.10016881790422405</v>
      </c>
      <c r="Q133" s="1">
        <f>J133-'Passo 2'!J133</f>
        <v>6.1965167415497957E-2</v>
      </c>
      <c r="R133" s="8">
        <f t="shared" si="9"/>
        <v>182.36149999999998</v>
      </c>
      <c r="S133" s="8">
        <f t="shared" si="8"/>
        <v>177.40249999999983</v>
      </c>
      <c r="T133" s="1">
        <f t="shared" si="10"/>
        <v>145.81853749999996</v>
      </c>
      <c r="U133" s="1">
        <f t="shared" si="11"/>
        <v>119.46496249999983</v>
      </c>
    </row>
    <row r="134" spans="1:21" x14ac:dyDescent="0.3">
      <c r="A134" t="s">
        <v>57</v>
      </c>
      <c r="B134" t="s">
        <v>104</v>
      </c>
      <c r="C134" t="s">
        <v>580</v>
      </c>
      <c r="D134" t="s">
        <v>581</v>
      </c>
      <c r="E134" s="2">
        <v>187.77799999999999</v>
      </c>
      <c r="F134" s="2">
        <v>0</v>
      </c>
      <c r="G134" s="2">
        <v>30.1675</v>
      </c>
      <c r="H134" s="2">
        <v>-28.4285</v>
      </c>
      <c r="I134" s="1">
        <v>0.981965405958099</v>
      </c>
      <c r="J134" s="1">
        <v>0.95418259860047505</v>
      </c>
      <c r="K134" s="1">
        <v>0.78829614665648096</v>
      </c>
      <c r="L134" s="1">
        <v>0.64785185790209199</v>
      </c>
      <c r="P134" s="1">
        <f>I134-'Passo 2'!I134</f>
        <v>0.10486318951101803</v>
      </c>
      <c r="Q134" s="1">
        <f>J134-'Passo 2'!J134</f>
        <v>6.6791636932974074E-2</v>
      </c>
      <c r="R134" s="8">
        <f t="shared" si="9"/>
        <v>184.39149999999989</v>
      </c>
      <c r="S134" s="8">
        <f t="shared" si="8"/>
        <v>179.17449999999999</v>
      </c>
      <c r="T134" s="1">
        <f t="shared" si="10"/>
        <v>148.02467382686066</v>
      </c>
      <c r="U134" s="1">
        <f t="shared" si="11"/>
        <v>121.65232617313903</v>
      </c>
    </row>
    <row r="135" spans="1:21" x14ac:dyDescent="0.3">
      <c r="A135" t="s">
        <v>57</v>
      </c>
      <c r="B135" t="s">
        <v>105</v>
      </c>
      <c r="C135" t="s">
        <v>580</v>
      </c>
      <c r="D135" t="s">
        <v>581</v>
      </c>
      <c r="E135" s="2">
        <v>222.79400000000001</v>
      </c>
      <c r="F135" s="2">
        <v>0</v>
      </c>
      <c r="G135" s="2">
        <v>34.390333333333302</v>
      </c>
      <c r="H135" s="2">
        <v>-35.619666666666603</v>
      </c>
      <c r="I135" s="1">
        <v>0.96307800030521395</v>
      </c>
      <c r="J135" s="1">
        <v>0.97963140838622198</v>
      </c>
      <c r="K135" s="1">
        <v>0.76863077351731202</v>
      </c>
      <c r="L135" s="1">
        <v>0.67407863517412403</v>
      </c>
      <c r="P135" s="1">
        <f>I135-'Passo 2'!I135</f>
        <v>8.1292584180901906E-2</v>
      </c>
      <c r="Q135" s="1">
        <f>J135-'Passo 2'!J135</f>
        <v>2.2242519996049981E-2</v>
      </c>
      <c r="R135" s="8">
        <f t="shared" si="9"/>
        <v>214.56799999999984</v>
      </c>
      <c r="S135" s="8">
        <f t="shared" si="8"/>
        <v>218.25599999999994</v>
      </c>
      <c r="T135" s="1">
        <f t="shared" si="10"/>
        <v>171.24632455501603</v>
      </c>
      <c r="U135" s="1">
        <f t="shared" si="11"/>
        <v>150.18067544498379</v>
      </c>
    </row>
    <row r="136" spans="1:21" x14ac:dyDescent="0.3">
      <c r="A136" t="s">
        <v>57</v>
      </c>
      <c r="B136" t="s">
        <v>106</v>
      </c>
      <c r="C136" t="s">
        <v>580</v>
      </c>
      <c r="D136" t="s">
        <v>581</v>
      </c>
      <c r="E136" s="2">
        <v>204.095</v>
      </c>
      <c r="F136" s="2">
        <v>0</v>
      </c>
      <c r="G136" s="2">
        <v>33.618000000000002</v>
      </c>
      <c r="H136" s="2">
        <v>-30.6471666666666</v>
      </c>
      <c r="I136" s="1">
        <v>0.99415223302873601</v>
      </c>
      <c r="J136" s="1">
        <v>0.95048384330826297</v>
      </c>
      <c r="K136" s="1">
        <v>0.73780267843073499</v>
      </c>
      <c r="L136" s="1">
        <v>0.70683339790626398</v>
      </c>
      <c r="P136" s="1">
        <f>I136-'Passo 2'!I136</f>
        <v>7.6109164849701982E-2</v>
      </c>
      <c r="Q136" s="1">
        <f>J136-'Passo 2'!J136</f>
        <v>7.2525049609250991E-2</v>
      </c>
      <c r="R136" s="8">
        <f t="shared" si="9"/>
        <v>202.90149999999988</v>
      </c>
      <c r="S136" s="8">
        <f t="shared" si="8"/>
        <v>193.98899999999992</v>
      </c>
      <c r="T136" s="1">
        <f t="shared" si="10"/>
        <v>150.58183765432085</v>
      </c>
      <c r="U136" s="1">
        <f t="shared" si="11"/>
        <v>144.26116234567894</v>
      </c>
    </row>
    <row r="137" spans="1:21" x14ac:dyDescent="0.3">
      <c r="A137" t="s">
        <v>57</v>
      </c>
      <c r="B137" t="s">
        <v>107</v>
      </c>
      <c r="C137" t="s">
        <v>34</v>
      </c>
      <c r="D137" t="s">
        <v>35</v>
      </c>
      <c r="E137" s="2">
        <v>256.59500000000003</v>
      </c>
      <c r="F137" s="2">
        <v>0</v>
      </c>
      <c r="G137" s="2">
        <v>39.986166666666598</v>
      </c>
      <c r="H137" s="2">
        <v>-42.765833333333298</v>
      </c>
      <c r="I137" s="1">
        <v>0.96750131530232397</v>
      </c>
      <c r="J137" s="1">
        <v>1</v>
      </c>
      <c r="K137" s="1">
        <v>0.85088559370158201</v>
      </c>
      <c r="L137" s="1">
        <v>0.61661572160074196</v>
      </c>
      <c r="P137" s="1">
        <f>I137-'Passo 2'!I137</f>
        <v>2.2475106685633017E-2</v>
      </c>
      <c r="Q137" s="1">
        <f>J137-'Passo 2'!J137</f>
        <v>3.6623862507063953E-2</v>
      </c>
      <c r="R137" s="8">
        <f t="shared" si="9"/>
        <v>248.25599999999986</v>
      </c>
      <c r="S137" s="8">
        <f t="shared" si="8"/>
        <v>256.59500000000003</v>
      </c>
      <c r="T137" s="1">
        <f t="shared" si="10"/>
        <v>218.33298891585747</v>
      </c>
      <c r="U137" s="1">
        <f t="shared" si="11"/>
        <v>158.2205110841424</v>
      </c>
    </row>
    <row r="138" spans="1:21" x14ac:dyDescent="0.3">
      <c r="A138" t="s">
        <v>57</v>
      </c>
      <c r="B138" t="s">
        <v>108</v>
      </c>
      <c r="C138" t="s">
        <v>580</v>
      </c>
      <c r="D138" t="s">
        <v>581</v>
      </c>
      <c r="E138" s="2">
        <v>88.165999999999997</v>
      </c>
      <c r="F138" s="2">
        <v>0</v>
      </c>
      <c r="G138" s="2">
        <v>14.5223333333333</v>
      </c>
      <c r="H138" s="2">
        <v>-14.67</v>
      </c>
      <c r="I138" s="1">
        <v>0.99414740376108701</v>
      </c>
      <c r="J138" s="1">
        <v>0.99917201642356401</v>
      </c>
      <c r="K138" s="1">
        <v>0.723192673121686</v>
      </c>
      <c r="L138" s="1">
        <v>0.77012674706296502</v>
      </c>
      <c r="P138" s="1">
        <f>I138-'Passo 2'!I138</f>
        <v>5.2111925231948963E-2</v>
      </c>
      <c r="Q138" s="1">
        <f>J138-'Passo 2'!J138</f>
        <v>5.0926661071160062E-3</v>
      </c>
      <c r="R138" s="8">
        <f t="shared" si="9"/>
        <v>87.649999999999991</v>
      </c>
      <c r="S138" s="8">
        <f t="shared" si="8"/>
        <v>88.092999999999947</v>
      </c>
      <c r="T138" s="1">
        <f t="shared" si="10"/>
        <v>63.761005218446563</v>
      </c>
      <c r="U138" s="1">
        <f t="shared" si="11"/>
        <v>67.89899478155337</v>
      </c>
    </row>
    <row r="139" spans="1:21" x14ac:dyDescent="0.3">
      <c r="A139" t="s">
        <v>57</v>
      </c>
      <c r="B139" t="s">
        <v>629</v>
      </c>
      <c r="C139" t="s">
        <v>580</v>
      </c>
      <c r="D139" t="s">
        <v>581</v>
      </c>
      <c r="E139" s="2">
        <v>89.504000000000005</v>
      </c>
      <c r="F139" s="2">
        <v>0</v>
      </c>
      <c r="G139" s="2">
        <v>14.8775</v>
      </c>
      <c r="H139" s="2">
        <v>-14.1758333333333</v>
      </c>
      <c r="I139" s="1">
        <v>0.99866486414014999</v>
      </c>
      <c r="J139" s="1">
        <v>0.97514636217375705</v>
      </c>
      <c r="K139" s="1">
        <v>0.80423696916006204</v>
      </c>
      <c r="L139" s="1">
        <v>0.669574257153845</v>
      </c>
      <c r="P139" s="1">
        <f>I139-'Passo 2'!I139</f>
        <v>5.2623346442619567E-3</v>
      </c>
      <c r="Q139" s="1">
        <f>J139-'Passo 2'!J139</f>
        <v>-2.3518501966389715E-3</v>
      </c>
      <c r="R139" s="8">
        <f t="shared" si="9"/>
        <v>89.384499999999989</v>
      </c>
      <c r="S139" s="8">
        <f t="shared" si="8"/>
        <v>87.279499999999956</v>
      </c>
      <c r="T139" s="1">
        <f t="shared" si="10"/>
        <v>71.982425687702204</v>
      </c>
      <c r="U139" s="1">
        <f t="shared" si="11"/>
        <v>59.929574312297746</v>
      </c>
    </row>
    <row r="140" spans="1:21" x14ac:dyDescent="0.3">
      <c r="A140" t="s">
        <v>57</v>
      </c>
      <c r="B140" t="s">
        <v>109</v>
      </c>
      <c r="C140" t="s">
        <v>580</v>
      </c>
      <c r="D140" t="s">
        <v>581</v>
      </c>
      <c r="E140" s="2">
        <v>194.226</v>
      </c>
      <c r="F140" s="2">
        <v>0</v>
      </c>
      <c r="G140" s="2">
        <v>29.1495</v>
      </c>
      <c r="H140" s="2">
        <v>-26.861166666666598</v>
      </c>
      <c r="I140" s="1">
        <v>0.950240956411603</v>
      </c>
      <c r="J140" s="1">
        <v>0.91489553406855895</v>
      </c>
      <c r="K140" s="1">
        <v>0.75964671360727898</v>
      </c>
      <c r="L140" s="1">
        <v>0.60548977687288297</v>
      </c>
      <c r="P140" s="1">
        <f>I140-'Passo 2'!I140</f>
        <v>2.4746944281405003E-2</v>
      </c>
      <c r="Q140" s="1">
        <f>J140-'Passo 2'!J140</f>
        <v>-2.0452977459248012E-2</v>
      </c>
      <c r="R140" s="8">
        <f t="shared" si="9"/>
        <v>184.5615</v>
      </c>
      <c r="S140" s="8">
        <f t="shared" si="8"/>
        <v>177.69649999999993</v>
      </c>
      <c r="T140" s="1">
        <f t="shared" si="10"/>
        <v>147.54314259708735</v>
      </c>
      <c r="U140" s="1">
        <f t="shared" si="11"/>
        <v>117.60185740291257</v>
      </c>
    </row>
    <row r="141" spans="1:21" x14ac:dyDescent="0.3">
      <c r="A141" t="s">
        <v>57</v>
      </c>
      <c r="B141" t="s">
        <v>110</v>
      </c>
      <c r="C141" t="s">
        <v>580</v>
      </c>
      <c r="D141" t="s">
        <v>581</v>
      </c>
      <c r="E141" s="2">
        <v>461.92200000000003</v>
      </c>
      <c r="F141" s="2">
        <v>0</v>
      </c>
      <c r="G141" s="2">
        <v>65.425333333333299</v>
      </c>
      <c r="H141" s="2">
        <v>-68.871333333333297</v>
      </c>
      <c r="I141" s="1">
        <v>0.92491156515602202</v>
      </c>
      <c r="J141" s="1">
        <v>0.94729196704205398</v>
      </c>
      <c r="K141" s="1">
        <v>0.74084383020483002</v>
      </c>
      <c r="L141" s="1">
        <v>0.63135970199324598</v>
      </c>
      <c r="P141" s="1">
        <f>I141-'Passo 2'!I141</f>
        <v>2.5753265702868067E-2</v>
      </c>
      <c r="Q141" s="1">
        <f>J141-'Passo 2'!J141</f>
        <v>2.4345019288970038E-2</v>
      </c>
      <c r="R141" s="8">
        <f t="shared" si="9"/>
        <v>427.23700000000002</v>
      </c>
      <c r="S141" s="8">
        <f t="shared" si="8"/>
        <v>437.5749999999997</v>
      </c>
      <c r="T141" s="1">
        <f t="shared" si="10"/>
        <v>342.21206373587552</v>
      </c>
      <c r="U141" s="1">
        <f t="shared" si="11"/>
        <v>291.6389362641242</v>
      </c>
    </row>
    <row r="142" spans="1:21" x14ac:dyDescent="0.3">
      <c r="A142" t="s">
        <v>57</v>
      </c>
      <c r="B142" t="s">
        <v>111</v>
      </c>
      <c r="C142" t="s">
        <v>580</v>
      </c>
      <c r="D142" t="s">
        <v>581</v>
      </c>
      <c r="E142" s="2">
        <v>52.466000000000001</v>
      </c>
      <c r="F142" s="2">
        <v>0</v>
      </c>
      <c r="G142" s="2">
        <v>8.7368333333333297</v>
      </c>
      <c r="H142" s="2">
        <v>-8.7373333333333303</v>
      </c>
      <c r="I142" s="1">
        <v>0.99957115084054404</v>
      </c>
      <c r="J142" s="1">
        <v>0.99959974078450797</v>
      </c>
      <c r="K142" s="1">
        <v>0.80546562393867105</v>
      </c>
      <c r="L142" s="1">
        <v>0.69370526768638097</v>
      </c>
      <c r="P142" s="1">
        <f>I142-'Passo 2'!I142</f>
        <v>3.993062173598072E-3</v>
      </c>
      <c r="Q142" s="1">
        <f>J142-'Passo 2'!J142</f>
        <v>2.4206152555950045E-3</v>
      </c>
      <c r="R142" s="8">
        <f t="shared" si="9"/>
        <v>52.443499999999986</v>
      </c>
      <c r="S142" s="8">
        <f t="shared" si="8"/>
        <v>52.444999999999993</v>
      </c>
      <c r="T142" s="1">
        <f t="shared" si="10"/>
        <v>42.259559425566316</v>
      </c>
      <c r="U142" s="1">
        <f t="shared" si="11"/>
        <v>36.395940574433666</v>
      </c>
    </row>
    <row r="143" spans="1:21" x14ac:dyDescent="0.3">
      <c r="A143" t="s">
        <v>57</v>
      </c>
      <c r="B143" t="s">
        <v>112</v>
      </c>
      <c r="C143" t="s">
        <v>580</v>
      </c>
      <c r="D143" t="s">
        <v>581</v>
      </c>
      <c r="E143" s="2">
        <v>255.53</v>
      </c>
      <c r="F143" s="2">
        <v>0</v>
      </c>
      <c r="G143" s="2">
        <v>34.8391666666666</v>
      </c>
      <c r="H143" s="2">
        <v>-37.14</v>
      </c>
      <c r="I143" s="1">
        <v>0.90902242398152799</v>
      </c>
      <c r="J143" s="1">
        <v>0.93603490783860999</v>
      </c>
      <c r="K143" s="1">
        <v>0.71863411958544898</v>
      </c>
      <c r="L143" s="1">
        <v>0.626423212234689</v>
      </c>
      <c r="P143" s="1">
        <f>I143-'Passo 2'!I143</f>
        <v>5.9349195789143994E-2</v>
      </c>
      <c r="Q143" s="1">
        <f>J143-'Passo 2'!J143</f>
        <v>7.6065432630220031E-2</v>
      </c>
      <c r="R143" s="8">
        <f t="shared" si="9"/>
        <v>232.28249999999986</v>
      </c>
      <c r="S143" s="8">
        <f t="shared" si="8"/>
        <v>239.185</v>
      </c>
      <c r="T143" s="1">
        <f t="shared" si="10"/>
        <v>183.63257657766977</v>
      </c>
      <c r="U143" s="1">
        <f t="shared" si="11"/>
        <v>160.06992342233008</v>
      </c>
    </row>
    <row r="144" spans="1:21" x14ac:dyDescent="0.3">
      <c r="A144" t="s">
        <v>57</v>
      </c>
      <c r="B144" t="s">
        <v>113</v>
      </c>
      <c r="C144" t="s">
        <v>580</v>
      </c>
      <c r="D144" t="s">
        <v>581</v>
      </c>
      <c r="E144" s="2">
        <v>238.577</v>
      </c>
      <c r="F144" s="2">
        <v>0</v>
      </c>
      <c r="G144" s="2">
        <v>32.550666666666601</v>
      </c>
      <c r="H144" s="2">
        <v>-32.696166666666599</v>
      </c>
      <c r="I144" s="1">
        <v>0.90931020173780297</v>
      </c>
      <c r="J144" s="1">
        <v>0.91113979972922698</v>
      </c>
      <c r="K144" s="1">
        <v>0.71058734058476902</v>
      </c>
      <c r="L144" s="1">
        <v>0.60986266088226204</v>
      </c>
      <c r="P144" s="1">
        <f>I144-'Passo 2'!I144</f>
        <v>1.5544247769063935E-2</v>
      </c>
      <c r="Q144" s="1">
        <f>J144-'Passo 2'!J144</f>
        <v>1.0059645313671983E-2</v>
      </c>
      <c r="R144" s="8">
        <f t="shared" si="9"/>
        <v>216.94049999999982</v>
      </c>
      <c r="S144" s="8">
        <f t="shared" si="8"/>
        <v>217.37699999999978</v>
      </c>
      <c r="T144" s="1">
        <f t="shared" si="10"/>
        <v>169.52979595469245</v>
      </c>
      <c r="U144" s="1">
        <f t="shared" si="11"/>
        <v>145.49920404530744</v>
      </c>
    </row>
    <row r="145" spans="1:21" x14ac:dyDescent="0.3">
      <c r="A145" t="s">
        <v>57</v>
      </c>
      <c r="B145" t="s">
        <v>114</v>
      </c>
      <c r="C145" t="s">
        <v>580</v>
      </c>
      <c r="D145" t="s">
        <v>581</v>
      </c>
      <c r="E145" s="2">
        <v>570.76800000000003</v>
      </c>
      <c r="F145" s="2">
        <v>0</v>
      </c>
      <c r="G145" s="2">
        <v>85.108333333333306</v>
      </c>
      <c r="H145" s="2">
        <v>-85.218333333333305</v>
      </c>
      <c r="I145" s="1">
        <v>0.94733587026602695</v>
      </c>
      <c r="J145" s="1">
        <v>0.94791403862865398</v>
      </c>
      <c r="K145" s="1">
        <v>0.83047515435695396</v>
      </c>
      <c r="L145" s="1">
        <v>0.56477475453772796</v>
      </c>
      <c r="P145" s="1">
        <f>I145-'Passo 2'!I145</f>
        <v>0.13379166316261593</v>
      </c>
      <c r="Q145" s="1">
        <f>J145-'Passo 2'!J145</f>
        <v>1.8672210074845985E-2</v>
      </c>
      <c r="R145" s="8">
        <f t="shared" si="9"/>
        <v>540.70899999999972</v>
      </c>
      <c r="S145" s="8">
        <f t="shared" si="8"/>
        <v>541.03899999999965</v>
      </c>
      <c r="T145" s="1">
        <f t="shared" si="10"/>
        <v>474.00864290200991</v>
      </c>
      <c r="U145" s="1">
        <f t="shared" si="11"/>
        <v>322.35535709798995</v>
      </c>
    </row>
    <row r="146" spans="1:21" x14ac:dyDescent="0.3">
      <c r="A146" t="s">
        <v>57</v>
      </c>
      <c r="B146" t="s">
        <v>630</v>
      </c>
      <c r="C146" t="s">
        <v>580</v>
      </c>
      <c r="D146" t="s">
        <v>581</v>
      </c>
      <c r="E146" s="2">
        <v>627.79499999999996</v>
      </c>
      <c r="F146" s="2">
        <v>0</v>
      </c>
      <c r="G146" s="2">
        <v>89.069166666666604</v>
      </c>
      <c r="H146" s="2">
        <v>-91.866</v>
      </c>
      <c r="I146" s="1">
        <v>0.92562858895021405</v>
      </c>
      <c r="J146" s="1">
        <v>0.93899362052899404</v>
      </c>
      <c r="K146" s="1">
        <v>0.67528055603716197</v>
      </c>
      <c r="L146" s="1">
        <v>0.68934165344204601</v>
      </c>
      <c r="P146" s="1">
        <f>I146-'Passo 2'!I146</f>
        <v>5.7657356302614038E-2</v>
      </c>
      <c r="Q146" s="1">
        <f>J146-'Passo 2'!J146</f>
        <v>4.2298839589357096E-2</v>
      </c>
      <c r="R146" s="8">
        <f t="shared" si="9"/>
        <v>581.10499999999956</v>
      </c>
      <c r="S146" s="8">
        <f t="shared" si="8"/>
        <v>589.49549999999977</v>
      </c>
      <c r="T146" s="1">
        <f t="shared" si="10"/>
        <v>423.93775667735008</v>
      </c>
      <c r="U146" s="1">
        <f t="shared" si="11"/>
        <v>432.76524332264927</v>
      </c>
    </row>
    <row r="147" spans="1:21" x14ac:dyDescent="0.3">
      <c r="A147" t="s">
        <v>57</v>
      </c>
      <c r="B147" t="s">
        <v>631</v>
      </c>
      <c r="C147" t="s">
        <v>580</v>
      </c>
      <c r="D147" t="s">
        <v>581</v>
      </c>
      <c r="E147" s="2">
        <v>165.36600000000001</v>
      </c>
      <c r="F147" s="2">
        <v>0</v>
      </c>
      <c r="G147" s="2">
        <v>25.596499999999899</v>
      </c>
      <c r="H147" s="2">
        <v>-26.423166666666599</v>
      </c>
      <c r="I147" s="1">
        <v>0.96436087224701506</v>
      </c>
      <c r="J147" s="1">
        <v>0.97935790912279397</v>
      </c>
      <c r="K147" s="1">
        <v>0.85687328110703498</v>
      </c>
      <c r="L147" s="1">
        <v>0.58684550026277404</v>
      </c>
      <c r="P147" s="1">
        <f>I147-'Passo 2'!I147</f>
        <v>9.5070933565545079E-2</v>
      </c>
      <c r="Q147" s="1">
        <f>J147-'Passo 2'!J147</f>
        <v>4.1072530024309994E-2</v>
      </c>
      <c r="R147" s="8">
        <f t="shared" si="9"/>
        <v>159.47249999999991</v>
      </c>
      <c r="S147" s="8">
        <f t="shared" si="8"/>
        <v>161.95249999999996</v>
      </c>
      <c r="T147" s="1">
        <f t="shared" si="10"/>
        <v>141.69770700354596</v>
      </c>
      <c r="U147" s="1">
        <f t="shared" si="11"/>
        <v>97.044292996453905</v>
      </c>
    </row>
    <row r="148" spans="1:21" x14ac:dyDescent="0.3">
      <c r="A148" t="s">
        <v>57</v>
      </c>
      <c r="B148" t="s">
        <v>632</v>
      </c>
      <c r="C148" t="s">
        <v>580</v>
      </c>
      <c r="D148" t="s">
        <v>581</v>
      </c>
      <c r="E148" s="2">
        <v>381.9</v>
      </c>
      <c r="F148" s="2">
        <v>0.247</v>
      </c>
      <c r="G148" s="2">
        <v>58.677999999999997</v>
      </c>
      <c r="H148" s="2">
        <v>-51.589499999999902</v>
      </c>
      <c r="I148" s="1">
        <v>0.96061927206074804</v>
      </c>
      <c r="J148" s="1">
        <v>0.90493584708038699</v>
      </c>
      <c r="K148" s="1">
        <v>0.70620288431981904</v>
      </c>
      <c r="L148" s="1">
        <v>0.65967561790589302</v>
      </c>
      <c r="P148" s="1">
        <f>I148-'Passo 2'!I148</f>
        <v>0.10723487824037703</v>
      </c>
      <c r="Q148" s="1">
        <f>J148-'Passo 2'!J148</f>
        <v>6.1208431526577955E-2</v>
      </c>
      <c r="R148" s="8">
        <f t="shared" si="9"/>
        <v>366.86049999999966</v>
      </c>
      <c r="S148" s="8">
        <f t="shared" si="8"/>
        <v>345.59499999999974</v>
      </c>
      <c r="T148" s="1">
        <f t="shared" si="10"/>
        <v>269.69888152173888</v>
      </c>
      <c r="U148" s="1">
        <f t="shared" si="11"/>
        <v>251.93011847826054</v>
      </c>
    </row>
    <row r="149" spans="1:21" x14ac:dyDescent="0.3">
      <c r="A149" t="s">
        <v>57</v>
      </c>
      <c r="B149" t="s">
        <v>633</v>
      </c>
      <c r="C149" t="s">
        <v>580</v>
      </c>
      <c r="D149" t="s">
        <v>581</v>
      </c>
      <c r="E149" s="2">
        <v>103.041</v>
      </c>
      <c r="F149" s="2">
        <v>0</v>
      </c>
      <c r="G149" s="2">
        <v>15.3403333333333</v>
      </c>
      <c r="H149" s="2">
        <v>-15.9273333333333</v>
      </c>
      <c r="I149" s="1">
        <v>0.94662804126512701</v>
      </c>
      <c r="J149" s="1">
        <v>0.96371832571500604</v>
      </c>
      <c r="K149" s="1">
        <v>0.80531168186099</v>
      </c>
      <c r="L149" s="1">
        <v>0.60503468511914305</v>
      </c>
      <c r="P149" s="1">
        <f>I149-'Passo 2'!I149</f>
        <v>0.11999107151522204</v>
      </c>
      <c r="Q149" s="1">
        <f>J149-'Passo 2'!J149</f>
        <v>1.0995623101484053E-2</v>
      </c>
      <c r="R149" s="8">
        <f t="shared" si="9"/>
        <v>97.541499999999942</v>
      </c>
      <c r="S149" s="8">
        <f t="shared" si="8"/>
        <v>99.302499999999938</v>
      </c>
      <c r="T149" s="1">
        <f t="shared" si="10"/>
        <v>82.980121010638271</v>
      </c>
      <c r="U149" s="1">
        <f t="shared" si="11"/>
        <v>62.343378989361618</v>
      </c>
    </row>
    <row r="150" spans="1:21" x14ac:dyDescent="0.3">
      <c r="A150" t="s">
        <v>57</v>
      </c>
      <c r="B150" t="s">
        <v>634</v>
      </c>
      <c r="C150" t="s">
        <v>580</v>
      </c>
      <c r="D150" t="s">
        <v>581</v>
      </c>
      <c r="E150" s="2">
        <v>198.291</v>
      </c>
      <c r="F150" s="2">
        <v>0</v>
      </c>
      <c r="G150" s="2">
        <v>27.562833333333302</v>
      </c>
      <c r="H150" s="2">
        <v>-29.093833333333301</v>
      </c>
      <c r="I150" s="1">
        <v>0.917005814686496</v>
      </c>
      <c r="J150" s="1">
        <v>0.94016874189953104</v>
      </c>
      <c r="K150" s="1">
        <v>0.68205017503314702</v>
      </c>
      <c r="L150" s="1">
        <v>0.67512438155288002</v>
      </c>
      <c r="P150" s="1">
        <f>I150-'Passo 2'!I150</f>
        <v>0.11619538960416798</v>
      </c>
      <c r="Q150" s="1">
        <f>J150-'Passo 2'!J150</f>
        <v>0.12022229954965202</v>
      </c>
      <c r="R150" s="8">
        <f t="shared" si="9"/>
        <v>181.83399999999997</v>
      </c>
      <c r="S150" s="8">
        <f t="shared" si="8"/>
        <v>186.42699999999991</v>
      </c>
      <c r="T150" s="1">
        <f t="shared" si="10"/>
        <v>135.24441125749775</v>
      </c>
      <c r="U150" s="1">
        <f t="shared" si="11"/>
        <v>133.87108874250214</v>
      </c>
    </row>
    <row r="151" spans="1:21" x14ac:dyDescent="0.3">
      <c r="A151" t="s">
        <v>57</v>
      </c>
      <c r="B151" t="s">
        <v>115</v>
      </c>
      <c r="C151" t="s">
        <v>34</v>
      </c>
      <c r="D151" t="s">
        <v>35</v>
      </c>
      <c r="E151" s="2">
        <v>179.97399999999999</v>
      </c>
      <c r="F151" s="2">
        <v>0</v>
      </c>
      <c r="G151" s="2">
        <v>29.904</v>
      </c>
      <c r="H151" s="2">
        <v>-29.955500000000001</v>
      </c>
      <c r="I151" s="1">
        <v>0.99847200151132898</v>
      </c>
      <c r="J151" s="1">
        <v>0.99933045884405503</v>
      </c>
      <c r="K151" s="1">
        <v>0.88270787688930097</v>
      </c>
      <c r="L151" s="1">
        <v>0.61509458346608303</v>
      </c>
      <c r="P151" s="1">
        <f>I151-'Passo 2'!I151</f>
        <v>3.8697256270349922E-2</v>
      </c>
      <c r="Q151" s="1">
        <f>J151-'Passo 2'!J151</f>
        <v>8.6156889328458997E-2</v>
      </c>
      <c r="R151" s="8">
        <f t="shared" si="9"/>
        <v>179.6989999999999</v>
      </c>
      <c r="S151" s="8">
        <f t="shared" si="8"/>
        <v>179.85349999999994</v>
      </c>
      <c r="T151" s="1">
        <f t="shared" si="10"/>
        <v>158.86446743527503</v>
      </c>
      <c r="U151" s="1">
        <f t="shared" si="11"/>
        <v>110.70103256472483</v>
      </c>
    </row>
    <row r="152" spans="1:21" x14ac:dyDescent="0.3">
      <c r="A152" t="s">
        <v>57</v>
      </c>
      <c r="B152" t="s">
        <v>635</v>
      </c>
      <c r="C152" t="s">
        <v>580</v>
      </c>
      <c r="D152" t="s">
        <v>581</v>
      </c>
      <c r="E152" s="2">
        <v>191.34200000000001</v>
      </c>
      <c r="F152" s="2">
        <v>0</v>
      </c>
      <c r="G152" s="2">
        <v>28.707666666666601</v>
      </c>
      <c r="H152" s="2">
        <v>-31.277000000000001</v>
      </c>
      <c r="I152" s="1">
        <v>0.95009982126245096</v>
      </c>
      <c r="J152" s="1">
        <v>0.99038371084236598</v>
      </c>
      <c r="K152" s="1">
        <v>0.82572372910005498</v>
      </c>
      <c r="L152" s="1">
        <v>0.61475980300476196</v>
      </c>
      <c r="P152" s="1">
        <f>I152-'Passo 2'!I152</f>
        <v>-1.029047464749E-2</v>
      </c>
      <c r="Q152" s="1">
        <f>J152-'Passo 2'!J152</f>
        <v>0.15745105622393496</v>
      </c>
      <c r="R152" s="8">
        <f t="shared" si="9"/>
        <v>181.7939999999999</v>
      </c>
      <c r="S152" s="8">
        <f t="shared" si="8"/>
        <v>189.50200000000001</v>
      </c>
      <c r="T152" s="1">
        <f t="shared" si="10"/>
        <v>157.99562977346272</v>
      </c>
      <c r="U152" s="1">
        <f t="shared" si="11"/>
        <v>117.62937022653718</v>
      </c>
    </row>
    <row r="153" spans="1:21" x14ac:dyDescent="0.3">
      <c r="A153" t="s">
        <v>57</v>
      </c>
      <c r="B153" t="s">
        <v>116</v>
      </c>
      <c r="C153" t="s">
        <v>580</v>
      </c>
      <c r="D153" t="s">
        <v>581</v>
      </c>
      <c r="E153" s="2">
        <v>66.721999999999994</v>
      </c>
      <c r="F153" s="2">
        <v>0</v>
      </c>
      <c r="G153" s="2">
        <v>11.0683333333333</v>
      </c>
      <c r="H153" s="2">
        <v>-11.0988333333333</v>
      </c>
      <c r="I153" s="1">
        <v>0.99766194058931101</v>
      </c>
      <c r="J153" s="1">
        <v>0.99903330235904197</v>
      </c>
      <c r="K153" s="1">
        <v>0.81224619453662605</v>
      </c>
      <c r="L153" s="1">
        <v>0.68444904841172605</v>
      </c>
      <c r="P153" s="1">
        <f>I153-'Passo 2'!I153</f>
        <v>2.6902670783259808E-3</v>
      </c>
      <c r="Q153" s="1">
        <f>J153-'Passo 2'!J153</f>
        <v>1.2139923863193958E-2</v>
      </c>
      <c r="R153" s="8">
        <f t="shared" si="9"/>
        <v>66.566000000000003</v>
      </c>
      <c r="S153" s="8">
        <f t="shared" si="8"/>
        <v>66.657499999999999</v>
      </c>
      <c r="T153" s="1">
        <f t="shared" si="10"/>
        <v>54.194690591872757</v>
      </c>
      <c r="U153" s="1">
        <f t="shared" si="11"/>
        <v>45.667809408127184</v>
      </c>
    </row>
    <row r="154" spans="1:21" x14ac:dyDescent="0.3">
      <c r="A154" t="s">
        <v>57</v>
      </c>
      <c r="B154" t="s">
        <v>117</v>
      </c>
      <c r="C154" t="s">
        <v>34</v>
      </c>
      <c r="D154" t="s">
        <v>35</v>
      </c>
      <c r="E154" s="2">
        <v>80.042000000000002</v>
      </c>
      <c r="F154" s="2">
        <v>0</v>
      </c>
      <c r="G154" s="2">
        <v>13.171333333333299</v>
      </c>
      <c r="H154" s="2">
        <v>-13.3403333333333</v>
      </c>
      <c r="I154" s="1">
        <v>0.99366582544164295</v>
      </c>
      <c r="J154" s="1">
        <v>1</v>
      </c>
      <c r="K154" s="1">
        <v>0.89324864913153501</v>
      </c>
      <c r="L154" s="1">
        <v>0.60041717631010705</v>
      </c>
      <c r="P154" s="1">
        <f>I154-'Passo 2'!I154</f>
        <v>1.4754753754278926E-2</v>
      </c>
      <c r="Q154" s="1">
        <f>J154-'Passo 2'!J154</f>
        <v>6.3910197146498038E-2</v>
      </c>
      <c r="R154" s="8">
        <f t="shared" si="9"/>
        <v>79.534999999999982</v>
      </c>
      <c r="S154" s="8">
        <f t="shared" si="8"/>
        <v>80.042000000000002</v>
      </c>
      <c r="T154" s="1">
        <f t="shared" si="10"/>
        <v>71.497408373786328</v>
      </c>
      <c r="U154" s="1">
        <f t="shared" si="11"/>
        <v>48.058591626213591</v>
      </c>
    </row>
    <row r="155" spans="1:21" x14ac:dyDescent="0.3">
      <c r="A155" t="s">
        <v>57</v>
      </c>
      <c r="B155" t="s">
        <v>118</v>
      </c>
      <c r="C155" t="s">
        <v>580</v>
      </c>
      <c r="D155" t="s">
        <v>35</v>
      </c>
      <c r="E155" s="2">
        <v>340.36799999999999</v>
      </c>
      <c r="F155" s="2">
        <v>0</v>
      </c>
      <c r="G155" s="2">
        <v>55.0966666666666</v>
      </c>
      <c r="H155" s="2">
        <v>-53.195166666666601</v>
      </c>
      <c r="I155" s="1">
        <v>0.98562144502420901</v>
      </c>
      <c r="J155" s="1">
        <v>0.96886164386781304</v>
      </c>
      <c r="K155" s="1">
        <v>0.73801009526506001</v>
      </c>
      <c r="L155" s="1">
        <v>0.71647299362696204</v>
      </c>
      <c r="P155" s="1">
        <f>I155-'Passo 2'!I155</f>
        <v>7.2205671508485003E-2</v>
      </c>
      <c r="Q155" s="1">
        <f>J155-'Passo 2'!J155</f>
        <v>0</v>
      </c>
      <c r="R155" s="8">
        <f t="shared" si="9"/>
        <v>335.47399999999999</v>
      </c>
      <c r="S155" s="8">
        <f t="shared" si="8"/>
        <v>329.76949999999977</v>
      </c>
      <c r="T155" s="1">
        <f t="shared" si="10"/>
        <v>251.19502010517795</v>
      </c>
      <c r="U155" s="1">
        <f t="shared" si="11"/>
        <v>243.86447989482181</v>
      </c>
    </row>
    <row r="156" spans="1:21" x14ac:dyDescent="0.3">
      <c r="A156" t="s">
        <v>57</v>
      </c>
      <c r="B156" t="s">
        <v>119</v>
      </c>
      <c r="C156" t="s">
        <v>580</v>
      </c>
      <c r="D156" t="s">
        <v>581</v>
      </c>
      <c r="E156" s="2">
        <v>148.60900000000001</v>
      </c>
      <c r="F156" s="2">
        <v>0</v>
      </c>
      <c r="G156" s="2">
        <v>23.4025</v>
      </c>
      <c r="H156" s="2">
        <v>-23.277166666666599</v>
      </c>
      <c r="I156" s="1">
        <v>0.97243101023491096</v>
      </c>
      <c r="J156" s="1">
        <v>0.96990088083494197</v>
      </c>
      <c r="K156" s="1">
        <v>0.74249689150833198</v>
      </c>
      <c r="L156" s="1">
        <v>0.69983499956152095</v>
      </c>
      <c r="P156" s="1">
        <f>I156-'Passo 2'!I156</f>
        <v>4.0566183743917961E-2</v>
      </c>
      <c r="Q156" s="1">
        <f>J156-'Passo 2'!J156</f>
        <v>3.5637141761265978E-2</v>
      </c>
      <c r="R156" s="8">
        <f t="shared" si="9"/>
        <v>144.51199999999989</v>
      </c>
      <c r="S156" s="8">
        <f t="shared" si="8"/>
        <v>144.13599999999991</v>
      </c>
      <c r="T156" s="1">
        <f t="shared" si="10"/>
        <v>110.34172055016171</v>
      </c>
      <c r="U156" s="1">
        <f t="shared" si="11"/>
        <v>104.00177944983807</v>
      </c>
    </row>
    <row r="157" spans="1:21" x14ac:dyDescent="0.3">
      <c r="A157" t="s">
        <v>57</v>
      </c>
      <c r="B157" t="s">
        <v>120</v>
      </c>
      <c r="C157" t="s">
        <v>580</v>
      </c>
      <c r="D157" t="s">
        <v>581</v>
      </c>
      <c r="E157" s="2">
        <v>40.722000000000001</v>
      </c>
      <c r="F157" s="2">
        <v>0</v>
      </c>
      <c r="G157" s="2">
        <v>6.7234999999999996</v>
      </c>
      <c r="H157" s="2">
        <v>-5.70583333333333</v>
      </c>
      <c r="I157" s="1">
        <v>0.99532193900103105</v>
      </c>
      <c r="J157" s="1">
        <v>0.92035017926427898</v>
      </c>
      <c r="K157" s="1">
        <v>0.80572614352063598</v>
      </c>
      <c r="L157" s="1">
        <v>0.60994597474467405</v>
      </c>
      <c r="P157" s="1">
        <f>I157-'Passo 2'!I157</f>
        <v>4.5061637444133051E-2</v>
      </c>
      <c r="Q157" s="1">
        <f>J157-'Passo 2'!J157</f>
        <v>1.1148764795442023E-2</v>
      </c>
      <c r="R157" s="8">
        <f t="shared" si="9"/>
        <v>40.531499999999987</v>
      </c>
      <c r="S157" s="8">
        <f t="shared" si="8"/>
        <v>37.478499999999968</v>
      </c>
      <c r="T157" s="1">
        <f t="shared" si="10"/>
        <v>32.810780016447339</v>
      </c>
      <c r="U157" s="1">
        <f t="shared" si="11"/>
        <v>24.838219983552616</v>
      </c>
    </row>
    <row r="158" spans="1:21" x14ac:dyDescent="0.3">
      <c r="A158" t="s">
        <v>57</v>
      </c>
      <c r="B158" t="s">
        <v>121</v>
      </c>
      <c r="C158" t="s">
        <v>34</v>
      </c>
      <c r="D158" t="s">
        <v>35</v>
      </c>
      <c r="E158" s="2">
        <v>442.23899999999998</v>
      </c>
      <c r="F158" s="2">
        <v>0</v>
      </c>
      <c r="G158" s="2">
        <v>73.699833333333302</v>
      </c>
      <c r="H158" s="2">
        <v>-73.660333333333298</v>
      </c>
      <c r="I158" s="1">
        <v>0.999954775585147</v>
      </c>
      <c r="J158" s="1">
        <v>0.999686820927145</v>
      </c>
      <c r="K158" s="1">
        <v>0.87963573883638901</v>
      </c>
      <c r="L158" s="1">
        <v>0.62000585767590299</v>
      </c>
      <c r="P158" s="1">
        <f>I158-'Passo 2'!I158</f>
        <v>3.3599479014741029E-2</v>
      </c>
      <c r="Q158" s="1">
        <f>J158-'Passo 2'!J158</f>
        <v>7.4823794373629626E-3</v>
      </c>
      <c r="R158" s="8">
        <f t="shared" si="9"/>
        <v>442.21899999999982</v>
      </c>
      <c r="S158" s="8">
        <f t="shared" si="8"/>
        <v>442.10049999999967</v>
      </c>
      <c r="T158" s="1">
        <f t="shared" si="10"/>
        <v>389.00922950726584</v>
      </c>
      <c r="U158" s="1">
        <f t="shared" si="11"/>
        <v>274.19077049273363</v>
      </c>
    </row>
    <row r="159" spans="1:21" x14ac:dyDescent="0.3">
      <c r="A159" t="s">
        <v>57</v>
      </c>
      <c r="B159" t="s">
        <v>122</v>
      </c>
      <c r="C159" t="s">
        <v>34</v>
      </c>
      <c r="D159" t="s">
        <v>35</v>
      </c>
      <c r="E159" s="2">
        <v>237.376</v>
      </c>
      <c r="F159" s="2">
        <v>0</v>
      </c>
      <c r="G159" s="2">
        <v>39.562666666666601</v>
      </c>
      <c r="H159" s="2">
        <v>-39.332833333333298</v>
      </c>
      <c r="I159" s="1">
        <v>0.999999999999999</v>
      </c>
      <c r="J159" s="1">
        <v>0.99709532555945002</v>
      </c>
      <c r="K159" s="1">
        <v>0.89967217688936596</v>
      </c>
      <c r="L159" s="1">
        <v>0.59742314867008295</v>
      </c>
      <c r="P159" s="1">
        <f>I159-'Passo 2'!I159</f>
        <v>4.6744405500134034E-2</v>
      </c>
      <c r="Q159" s="1">
        <f>J159-'Passo 2'!J159</f>
        <v>3.1637570773794033E-2</v>
      </c>
      <c r="R159" s="8">
        <f t="shared" si="9"/>
        <v>237.37599999999978</v>
      </c>
      <c r="S159" s="8">
        <f t="shared" si="8"/>
        <v>236.68650000000002</v>
      </c>
      <c r="T159" s="1">
        <f t="shared" si="10"/>
        <v>213.56058266129014</v>
      </c>
      <c r="U159" s="1">
        <f t="shared" si="11"/>
        <v>141.81391733870962</v>
      </c>
    </row>
    <row r="160" spans="1:21" x14ac:dyDescent="0.3">
      <c r="A160" t="s">
        <v>57</v>
      </c>
      <c r="B160" t="s">
        <v>123</v>
      </c>
      <c r="C160" t="s">
        <v>34</v>
      </c>
      <c r="D160" t="s">
        <v>35</v>
      </c>
      <c r="E160" s="2">
        <v>98.765000000000001</v>
      </c>
      <c r="F160" s="2">
        <v>0</v>
      </c>
      <c r="G160" s="2">
        <v>16.317</v>
      </c>
      <c r="H160" s="2">
        <v>-15.9776666666666</v>
      </c>
      <c r="I160" s="1">
        <v>0.99563104338581399</v>
      </c>
      <c r="J160" s="1">
        <v>0.98532374829139802</v>
      </c>
      <c r="K160" s="1">
        <v>0.91499163138944295</v>
      </c>
      <c r="L160" s="1">
        <v>0.56596316028776905</v>
      </c>
      <c r="P160" s="1">
        <f>I160-'Passo 2'!I160</f>
        <v>8.7941072242190943E-2</v>
      </c>
      <c r="Q160" s="1">
        <f>J160-'Passo 2'!J160</f>
        <v>7.0019743836378989E-2</v>
      </c>
      <c r="R160" s="8">
        <f t="shared" si="9"/>
        <v>98.333499999999916</v>
      </c>
      <c r="S160" s="8">
        <f t="shared" si="8"/>
        <v>97.315499999999929</v>
      </c>
      <c r="T160" s="1">
        <f t="shared" si="10"/>
        <v>90.369148474178331</v>
      </c>
      <c r="U160" s="1">
        <f t="shared" si="11"/>
        <v>55.897351525821513</v>
      </c>
    </row>
    <row r="161" spans="1:21" x14ac:dyDescent="0.3">
      <c r="A161" t="s">
        <v>57</v>
      </c>
      <c r="B161" t="s">
        <v>124</v>
      </c>
      <c r="C161" t="s">
        <v>34</v>
      </c>
      <c r="D161" t="s">
        <v>35</v>
      </c>
      <c r="E161" s="2">
        <v>164.517</v>
      </c>
      <c r="F161" s="2">
        <v>0</v>
      </c>
      <c r="G161" s="2">
        <v>27.1696666666666</v>
      </c>
      <c r="H161" s="2">
        <v>-27.419499999999999</v>
      </c>
      <c r="I161" s="1">
        <v>0.99544423980500396</v>
      </c>
      <c r="J161" s="1">
        <v>1</v>
      </c>
      <c r="K161" s="1">
        <v>0.86255380756584199</v>
      </c>
      <c r="L161" s="1">
        <v>0.63289043223916197</v>
      </c>
      <c r="P161" s="1">
        <f>I161-'Passo 2'!I161</f>
        <v>1.5238546776320971E-2</v>
      </c>
      <c r="Q161" s="1">
        <f>J161-'Passo 2'!J161</f>
        <v>3.0385917564750953E-2</v>
      </c>
      <c r="R161" s="8">
        <f t="shared" si="9"/>
        <v>163.76749999999984</v>
      </c>
      <c r="S161" s="8">
        <f t="shared" si="8"/>
        <v>164.517</v>
      </c>
      <c r="T161" s="1">
        <f t="shared" si="10"/>
        <v>141.90476475930961</v>
      </c>
      <c r="U161" s="1">
        <f t="shared" si="11"/>
        <v>104.12123524069021</v>
      </c>
    </row>
    <row r="162" spans="1:21" x14ac:dyDescent="0.3">
      <c r="A162" t="s">
        <v>57</v>
      </c>
      <c r="B162" t="s">
        <v>125</v>
      </c>
      <c r="C162" t="s">
        <v>34</v>
      </c>
      <c r="D162" t="s">
        <v>35</v>
      </c>
      <c r="E162" s="2">
        <v>635.62199999999996</v>
      </c>
      <c r="F162" s="2">
        <v>0</v>
      </c>
      <c r="G162" s="2">
        <v>105.362666666666</v>
      </c>
      <c r="H162" s="2">
        <v>-105.937</v>
      </c>
      <c r="I162" s="1">
        <v>0.99728926940854701</v>
      </c>
      <c r="J162" s="1">
        <v>1</v>
      </c>
      <c r="K162" s="1">
        <v>0.93080071464640601</v>
      </c>
      <c r="L162" s="1">
        <v>0.56648855476214099</v>
      </c>
      <c r="P162" s="1">
        <f>I162-'Passo 2'!I162</f>
        <v>6.3323799365000433E-4</v>
      </c>
      <c r="Q162" s="1">
        <f>J162-'Passo 2'!J162</f>
        <v>7.5207434607361012E-2</v>
      </c>
      <c r="R162" s="8">
        <f t="shared" si="9"/>
        <v>633.89899999999943</v>
      </c>
      <c r="S162" s="8">
        <f t="shared" si="8"/>
        <v>635.62199999999996</v>
      </c>
      <c r="T162" s="1">
        <f t="shared" si="10"/>
        <v>591.63741184497781</v>
      </c>
      <c r="U162" s="1">
        <f t="shared" si="11"/>
        <v>360.07258815502155</v>
      </c>
    </row>
    <row r="163" spans="1:21" x14ac:dyDescent="0.3">
      <c r="A163" t="s">
        <v>57</v>
      </c>
      <c r="B163" t="s">
        <v>636</v>
      </c>
      <c r="C163" t="s">
        <v>34</v>
      </c>
      <c r="D163" t="s">
        <v>35</v>
      </c>
      <c r="E163" s="2">
        <v>598.37599999999998</v>
      </c>
      <c r="F163" s="2">
        <v>0</v>
      </c>
      <c r="G163" s="2">
        <v>99.729333333333301</v>
      </c>
      <c r="H163" s="2">
        <v>-99.2796666666666</v>
      </c>
      <c r="I163" s="1">
        <v>1</v>
      </c>
      <c r="J163" s="1">
        <v>0.99774556466168396</v>
      </c>
      <c r="K163" s="1">
        <v>0.88302283705922002</v>
      </c>
      <c r="L163" s="1">
        <v>0.61472272760246305</v>
      </c>
      <c r="P163" s="1">
        <f>I163-'Passo 2'!I163</f>
        <v>6.718183884380946E-3</v>
      </c>
      <c r="Q163" s="1">
        <f>J163-'Passo 2'!J163</f>
        <v>5.0921995534579989E-2</v>
      </c>
      <c r="R163" s="8">
        <f t="shared" si="9"/>
        <v>598.37599999999998</v>
      </c>
      <c r="S163" s="8">
        <f t="shared" si="8"/>
        <v>597.02699999999982</v>
      </c>
      <c r="T163" s="1">
        <f t="shared" si="10"/>
        <v>528.37967314814784</v>
      </c>
      <c r="U163" s="1">
        <f t="shared" si="11"/>
        <v>367.83532685185139</v>
      </c>
    </row>
    <row r="164" spans="1:21" x14ac:dyDescent="0.3">
      <c r="A164" t="s">
        <v>57</v>
      </c>
      <c r="B164" t="s">
        <v>126</v>
      </c>
      <c r="C164" t="s">
        <v>34</v>
      </c>
      <c r="D164" t="s">
        <v>35</v>
      </c>
      <c r="E164" s="2">
        <v>666.56399999999996</v>
      </c>
      <c r="F164" s="2">
        <v>0</v>
      </c>
      <c r="G164" s="2">
        <v>111.09399999999999</v>
      </c>
      <c r="H164" s="2">
        <v>-110.78449999999999</v>
      </c>
      <c r="I164" s="1">
        <v>1</v>
      </c>
      <c r="J164" s="1">
        <v>0.99860703548346397</v>
      </c>
      <c r="K164" s="1">
        <v>0.874292489222952</v>
      </c>
      <c r="L164" s="1">
        <v>0.62431454626051197</v>
      </c>
      <c r="P164" s="1">
        <f>I164-'Passo 2'!I164</f>
        <v>4.7202519187955039E-2</v>
      </c>
      <c r="Q164" s="1">
        <f>J164-'Passo 2'!J164</f>
        <v>7.4989798428957921E-2</v>
      </c>
      <c r="R164" s="8">
        <f t="shared" si="9"/>
        <v>666.56399999999996</v>
      </c>
      <c r="S164" s="8">
        <f t="shared" si="8"/>
        <v>665.63549999999964</v>
      </c>
      <c r="T164" s="1">
        <f t="shared" si="10"/>
        <v>582.77189878640775</v>
      </c>
      <c r="U164" s="1">
        <f t="shared" si="11"/>
        <v>416.14560121359187</v>
      </c>
    </row>
    <row r="165" spans="1:21" x14ac:dyDescent="0.3">
      <c r="A165" t="s">
        <v>57</v>
      </c>
      <c r="B165" t="s">
        <v>127</v>
      </c>
      <c r="C165" t="s">
        <v>580</v>
      </c>
      <c r="D165" t="s">
        <v>581</v>
      </c>
      <c r="E165" s="2">
        <v>148.101</v>
      </c>
      <c r="F165" s="2">
        <v>0</v>
      </c>
      <c r="G165" s="2">
        <v>24.133500000000002</v>
      </c>
      <c r="H165" s="2">
        <v>-23.5281666666666</v>
      </c>
      <c r="I165" s="1">
        <v>0.98885895436222504</v>
      </c>
      <c r="J165" s="1">
        <v>0.97659705201180202</v>
      </c>
      <c r="K165" s="1">
        <v>0.85639096599410203</v>
      </c>
      <c r="L165" s="1">
        <v>0.60906504037992604</v>
      </c>
      <c r="P165" s="1">
        <f>I165-'Passo 2'!I165</f>
        <v>7.1110255838920056E-2</v>
      </c>
      <c r="Q165" s="1">
        <f>J165-'Passo 2'!J165</f>
        <v>4.183969048149605E-2</v>
      </c>
      <c r="R165" s="8">
        <f t="shared" si="9"/>
        <v>146.45099999999988</v>
      </c>
      <c r="S165" s="8">
        <f t="shared" si="8"/>
        <v>144.63499999999988</v>
      </c>
      <c r="T165" s="1">
        <f t="shared" si="10"/>
        <v>126.83235845469251</v>
      </c>
      <c r="U165" s="1">
        <f t="shared" si="11"/>
        <v>90.203141545307432</v>
      </c>
    </row>
    <row r="166" spans="1:21" x14ac:dyDescent="0.3">
      <c r="A166" t="s">
        <v>57</v>
      </c>
      <c r="B166" t="s">
        <v>128</v>
      </c>
      <c r="C166" t="s">
        <v>580</v>
      </c>
      <c r="D166" t="s">
        <v>581</v>
      </c>
      <c r="E166" s="2">
        <v>64.141000000000005</v>
      </c>
      <c r="F166" s="2">
        <v>0</v>
      </c>
      <c r="G166" s="2">
        <v>8.6343333333333305</v>
      </c>
      <c r="H166" s="2">
        <v>-8.4126666666666594</v>
      </c>
      <c r="I166" s="1">
        <v>0.90384465474501396</v>
      </c>
      <c r="J166" s="1">
        <v>0.89347687126798703</v>
      </c>
      <c r="K166" s="1">
        <v>0.69711012131494798</v>
      </c>
      <c r="L166" s="1">
        <v>0.60021140469805301</v>
      </c>
      <c r="P166" s="1">
        <f>I166-'Passo 2'!I166</f>
        <v>-1.5801125645064085E-2</v>
      </c>
      <c r="Q166" s="1">
        <f>J166-'Passo 2'!J166</f>
        <v>1.7866887014545973E-2</v>
      </c>
      <c r="R166" s="8">
        <f t="shared" si="9"/>
        <v>57.973499999999945</v>
      </c>
      <c r="S166" s="8">
        <f t="shared" si="8"/>
        <v>57.30849999999996</v>
      </c>
      <c r="T166" s="1">
        <f t="shared" si="10"/>
        <v>44.713340291262085</v>
      </c>
      <c r="U166" s="1">
        <f t="shared" si="11"/>
        <v>38.498159708737823</v>
      </c>
    </row>
    <row r="167" spans="1:21" x14ac:dyDescent="0.3">
      <c r="A167" t="s">
        <v>57</v>
      </c>
      <c r="B167" t="s">
        <v>129</v>
      </c>
      <c r="C167" t="s">
        <v>580</v>
      </c>
      <c r="D167" t="s">
        <v>581</v>
      </c>
      <c r="E167" s="2">
        <v>295.49200000000002</v>
      </c>
      <c r="F167" s="2">
        <v>0</v>
      </c>
      <c r="G167" s="2">
        <v>48.44</v>
      </c>
      <c r="H167" s="2">
        <v>-48.186166666666601</v>
      </c>
      <c r="I167" s="1">
        <v>0.991789963856889</v>
      </c>
      <c r="J167" s="1">
        <v>0.98921290593315503</v>
      </c>
      <c r="K167" s="1">
        <v>0.76574521966151299</v>
      </c>
      <c r="L167" s="1">
        <v>0.71525765012853104</v>
      </c>
      <c r="P167" s="1">
        <f>I167-'Passo 2'!I167</f>
        <v>3.7063609167083955E-2</v>
      </c>
      <c r="Q167" s="1">
        <f>J167-'Passo 2'!J167</f>
        <v>3.4044914921550484E-3</v>
      </c>
      <c r="R167" s="8">
        <f t="shared" si="9"/>
        <v>293.06599999999986</v>
      </c>
      <c r="S167" s="8">
        <f t="shared" si="8"/>
        <v>292.30449999999985</v>
      </c>
      <c r="T167" s="1">
        <f t="shared" si="10"/>
        <v>226.27158644821981</v>
      </c>
      <c r="U167" s="1">
        <f t="shared" si="11"/>
        <v>211.35291355177992</v>
      </c>
    </row>
    <row r="168" spans="1:21" x14ac:dyDescent="0.3">
      <c r="A168" t="s">
        <v>57</v>
      </c>
      <c r="B168" t="s">
        <v>637</v>
      </c>
      <c r="C168" t="s">
        <v>34</v>
      </c>
      <c r="D168" t="s">
        <v>35</v>
      </c>
      <c r="E168" s="2">
        <v>599.23800000000006</v>
      </c>
      <c r="F168" s="2">
        <v>0</v>
      </c>
      <c r="G168" s="2">
        <v>99.843333333333305</v>
      </c>
      <c r="H168" s="2">
        <v>-99.873000000000005</v>
      </c>
      <c r="I168" s="1">
        <v>0.99985147804378205</v>
      </c>
      <c r="J168" s="1">
        <v>1</v>
      </c>
      <c r="K168" s="1">
        <v>0.88214685104178303</v>
      </c>
      <c r="L168" s="1">
        <v>0.61770462700199802</v>
      </c>
      <c r="P168" s="1">
        <f>I168-'Passo 2'!I168</f>
        <v>2.0497698744072035E-2</v>
      </c>
      <c r="Q168" s="1">
        <f>J168-'Passo 2'!J168</f>
        <v>2.9092781165414028E-2</v>
      </c>
      <c r="R168" s="8">
        <f t="shared" si="9"/>
        <v>599.14899999999989</v>
      </c>
      <c r="S168" s="8">
        <f t="shared" si="8"/>
        <v>599.23800000000006</v>
      </c>
      <c r="T168" s="1">
        <f t="shared" si="10"/>
        <v>528.61591472457599</v>
      </c>
      <c r="U168" s="1">
        <f t="shared" si="11"/>
        <v>370.1520852754233</v>
      </c>
    </row>
    <row r="169" spans="1:21" x14ac:dyDescent="0.3">
      <c r="A169" t="s">
        <v>57</v>
      </c>
      <c r="B169" t="s">
        <v>638</v>
      </c>
      <c r="C169" t="s">
        <v>580</v>
      </c>
      <c r="D169" t="s">
        <v>581</v>
      </c>
      <c r="E169" s="2">
        <v>0</v>
      </c>
      <c r="F169" s="2">
        <v>0</v>
      </c>
      <c r="G169" s="2">
        <v>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P169" s="1">
        <f>I169-'Passo 2'!I169</f>
        <v>0</v>
      </c>
      <c r="Q169" s="1">
        <f>J169-'Passo 2'!J169</f>
        <v>0</v>
      </c>
      <c r="R169" s="8">
        <f t="shared" si="9"/>
        <v>0</v>
      </c>
      <c r="S169" s="8">
        <f t="shared" si="8"/>
        <v>0</v>
      </c>
      <c r="T169" s="1">
        <f t="shared" si="10"/>
        <v>0</v>
      </c>
      <c r="U169" s="1">
        <f t="shared" si="11"/>
        <v>0</v>
      </c>
    </row>
    <row r="170" spans="1:21" x14ac:dyDescent="0.3">
      <c r="A170" t="s">
        <v>57</v>
      </c>
      <c r="B170" t="s">
        <v>130</v>
      </c>
      <c r="C170" t="s">
        <v>34</v>
      </c>
      <c r="D170" t="s">
        <v>35</v>
      </c>
      <c r="E170" s="2">
        <v>81.097999999999999</v>
      </c>
      <c r="F170" s="2">
        <v>0</v>
      </c>
      <c r="G170" s="2">
        <v>13.5163333333333</v>
      </c>
      <c r="H170" s="2">
        <v>-13.2545</v>
      </c>
      <c r="I170" s="1">
        <v>1</v>
      </c>
      <c r="J170" s="1">
        <v>0.99031418777281799</v>
      </c>
      <c r="K170" s="1">
        <v>0.88886135534529598</v>
      </c>
      <c r="L170" s="1">
        <v>0.60145283242752101</v>
      </c>
      <c r="P170" s="1">
        <f>I170-'Passo 2'!I170</f>
        <v>1.2201287331377042E-2</v>
      </c>
      <c r="Q170" s="1">
        <f>J170-'Passo 2'!J170</f>
        <v>1.0209869540556027E-2</v>
      </c>
      <c r="R170" s="8">
        <f t="shared" si="9"/>
        <v>81.097999999999999</v>
      </c>
      <c r="S170" s="8">
        <f t="shared" si="8"/>
        <v>80.312499999999986</v>
      </c>
      <c r="T170" s="1">
        <f t="shared" si="10"/>
        <v>72.084878195792811</v>
      </c>
      <c r="U170" s="1">
        <f t="shared" si="11"/>
        <v>48.776621804207096</v>
      </c>
    </row>
    <row r="171" spans="1:21" x14ac:dyDescent="0.3">
      <c r="A171" t="s">
        <v>57</v>
      </c>
      <c r="B171" t="s">
        <v>639</v>
      </c>
      <c r="C171" t="s">
        <v>580</v>
      </c>
      <c r="D171" t="s">
        <v>581</v>
      </c>
      <c r="E171" s="2">
        <v>126.643</v>
      </c>
      <c r="F171" s="2">
        <v>0</v>
      </c>
      <c r="G171" s="2">
        <v>20.0178333333333</v>
      </c>
      <c r="H171" s="2">
        <v>-20.0073333333333</v>
      </c>
      <c r="I171" s="1">
        <v>0.97419517857283799</v>
      </c>
      <c r="J171" s="1">
        <v>0.97394644788894702</v>
      </c>
      <c r="K171" s="1">
        <v>0.84244855489989701</v>
      </c>
      <c r="L171" s="1">
        <v>0.60569307156188801</v>
      </c>
      <c r="P171" s="1">
        <f>I171-'Passo 2'!I171</f>
        <v>1.249575578594897E-2</v>
      </c>
      <c r="Q171" s="1">
        <f>J171-'Passo 2'!J171</f>
        <v>6.1377257329659041E-2</v>
      </c>
      <c r="R171" s="8">
        <f t="shared" si="9"/>
        <v>123.37499999999993</v>
      </c>
      <c r="S171" s="8">
        <f t="shared" si="8"/>
        <v>123.34349999999992</v>
      </c>
      <c r="T171" s="1">
        <f t="shared" si="10"/>
        <v>106.69021233818766</v>
      </c>
      <c r="U171" s="1">
        <f t="shared" si="11"/>
        <v>76.706787661812186</v>
      </c>
    </row>
    <row r="172" spans="1:21" x14ac:dyDescent="0.3">
      <c r="A172" t="s">
        <v>57</v>
      </c>
      <c r="B172" t="s">
        <v>640</v>
      </c>
      <c r="C172" t="s">
        <v>580</v>
      </c>
      <c r="D172" t="s">
        <v>581</v>
      </c>
      <c r="E172" s="2">
        <v>297.04300000000001</v>
      </c>
      <c r="F172" s="2">
        <v>0</v>
      </c>
      <c r="G172" s="2">
        <v>48.997999999999998</v>
      </c>
      <c r="H172" s="2">
        <v>-49.200333333333298</v>
      </c>
      <c r="I172" s="1">
        <v>0.99485764687267397</v>
      </c>
      <c r="J172" s="1">
        <v>0.996901122059769</v>
      </c>
      <c r="K172" s="1">
        <v>0.79316709491146498</v>
      </c>
      <c r="L172" s="1">
        <v>0.69859167402097799</v>
      </c>
      <c r="P172" s="1">
        <f>I172-'Passo 2'!I172</f>
        <v>4.9319458798889881E-3</v>
      </c>
      <c r="Q172" s="1">
        <f>J172-'Passo 2'!J172</f>
        <v>2.1377376339504206E-4</v>
      </c>
      <c r="R172" s="8">
        <f t="shared" si="9"/>
        <v>295.51549999999969</v>
      </c>
      <c r="S172" s="8">
        <f t="shared" si="8"/>
        <v>296.12249999999995</v>
      </c>
      <c r="T172" s="1">
        <f t="shared" si="10"/>
        <v>235.6047333737863</v>
      </c>
      <c r="U172" s="1">
        <f t="shared" si="11"/>
        <v>207.51176662621336</v>
      </c>
    </row>
    <row r="173" spans="1:21" x14ac:dyDescent="0.3">
      <c r="A173" t="s">
        <v>57</v>
      </c>
      <c r="B173" t="s">
        <v>641</v>
      </c>
      <c r="C173" t="s">
        <v>580</v>
      </c>
      <c r="D173" t="s">
        <v>581</v>
      </c>
      <c r="E173" s="2">
        <v>175.06200000000001</v>
      </c>
      <c r="F173" s="2">
        <v>0</v>
      </c>
      <c r="G173" s="2">
        <v>28.474499999999999</v>
      </c>
      <c r="H173" s="2">
        <v>-27.573833333333301</v>
      </c>
      <c r="I173" s="1">
        <v>0.98796140795832299</v>
      </c>
      <c r="J173" s="1">
        <v>0.97252687619243405</v>
      </c>
      <c r="K173" s="1">
        <v>0.82596026955615398</v>
      </c>
      <c r="L173" s="1">
        <v>0.63452801459460295</v>
      </c>
      <c r="P173" s="1">
        <f>I173-'Passo 2'!I173</f>
        <v>4.5986564759914028E-2</v>
      </c>
      <c r="Q173" s="1">
        <f>J173-'Passo 2'!J173</f>
        <v>2.8978304829146095E-2</v>
      </c>
      <c r="R173" s="8">
        <f t="shared" si="9"/>
        <v>172.95449999999994</v>
      </c>
      <c r="S173" s="8">
        <f t="shared" si="8"/>
        <v>170.25249999999991</v>
      </c>
      <c r="T173" s="1">
        <f t="shared" si="10"/>
        <v>144.59425670903943</v>
      </c>
      <c r="U173" s="1">
        <f t="shared" si="11"/>
        <v>111.08174329096039</v>
      </c>
    </row>
    <row r="174" spans="1:21" x14ac:dyDescent="0.3">
      <c r="A174" t="s">
        <v>57</v>
      </c>
      <c r="B174" t="s">
        <v>131</v>
      </c>
      <c r="C174" t="s">
        <v>580</v>
      </c>
      <c r="D174" t="s">
        <v>581</v>
      </c>
      <c r="E174" s="2">
        <v>189.50200000000001</v>
      </c>
      <c r="F174" s="2">
        <v>0</v>
      </c>
      <c r="G174" s="2">
        <v>30.684166666666599</v>
      </c>
      <c r="H174" s="2">
        <v>-29.996666666666599</v>
      </c>
      <c r="I174" s="1">
        <v>0.98576004474886703</v>
      </c>
      <c r="J174" s="1">
        <v>0.97487625460417204</v>
      </c>
      <c r="K174" s="1">
        <v>0.83435965521143296</v>
      </c>
      <c r="L174" s="1">
        <v>0.626276644141607</v>
      </c>
      <c r="P174" s="1">
        <f>I174-'Passo 2'!I174</f>
        <v>2.3611888001181081E-2</v>
      </c>
      <c r="Q174" s="1">
        <f>J174-'Passo 2'!J174</f>
        <v>0</v>
      </c>
      <c r="R174" s="8">
        <f t="shared" si="9"/>
        <v>186.80349999999981</v>
      </c>
      <c r="S174" s="8">
        <f t="shared" si="8"/>
        <v>184.74099999999981</v>
      </c>
      <c r="T174" s="1">
        <f t="shared" si="10"/>
        <v>158.11282338187698</v>
      </c>
      <c r="U174" s="1">
        <f t="shared" si="11"/>
        <v>118.68067661812282</v>
      </c>
    </row>
    <row r="175" spans="1:21" x14ac:dyDescent="0.3">
      <c r="A175" t="s">
        <v>57</v>
      </c>
      <c r="B175" t="s">
        <v>132</v>
      </c>
      <c r="C175" t="s">
        <v>34</v>
      </c>
      <c r="D175" t="s">
        <v>35</v>
      </c>
      <c r="E175" s="2">
        <v>218.75299999999999</v>
      </c>
      <c r="F175" s="2">
        <v>0</v>
      </c>
      <c r="G175" s="2">
        <v>33.01</v>
      </c>
      <c r="H175" s="2">
        <v>-36.458833333333303</v>
      </c>
      <c r="I175" s="1">
        <v>0.952702362939022</v>
      </c>
      <c r="J175" s="1">
        <v>1</v>
      </c>
      <c r="K175" s="1">
        <v>0.85177984614084301</v>
      </c>
      <c r="L175" s="1">
        <v>0.60092251679817899</v>
      </c>
      <c r="P175" s="1">
        <f>I175-'Passo 2'!I175</f>
        <v>5.1656434425995101E-4</v>
      </c>
      <c r="Q175" s="1">
        <f>J175-'Passo 2'!J175</f>
        <v>0</v>
      </c>
      <c r="R175" s="8">
        <f t="shared" si="9"/>
        <v>208.40649999999985</v>
      </c>
      <c r="S175" s="8">
        <f t="shared" si="8"/>
        <v>218.75299999999999</v>
      </c>
      <c r="T175" s="1">
        <f t="shared" si="10"/>
        <v>186.32939668284783</v>
      </c>
      <c r="U175" s="1">
        <f t="shared" si="11"/>
        <v>131.45360331715204</v>
      </c>
    </row>
    <row r="176" spans="1:21" x14ac:dyDescent="0.3">
      <c r="A176" t="s">
        <v>57</v>
      </c>
      <c r="B176" t="s">
        <v>133</v>
      </c>
      <c r="C176" t="s">
        <v>580</v>
      </c>
      <c r="D176" t="s">
        <v>581</v>
      </c>
      <c r="E176" s="2">
        <v>122.13</v>
      </c>
      <c r="F176" s="2">
        <v>0</v>
      </c>
      <c r="G176" s="2">
        <v>19.583500000000001</v>
      </c>
      <c r="H176" s="2">
        <v>-18.564833333333301</v>
      </c>
      <c r="I176" s="1">
        <v>0.98104888233849097</v>
      </c>
      <c r="J176" s="1">
        <v>0.95602636534839902</v>
      </c>
      <c r="K176" s="1">
        <v>0.84004380942425105</v>
      </c>
      <c r="L176" s="1">
        <v>0.59703143826263905</v>
      </c>
      <c r="P176" s="1">
        <f>I176-'Passo 2'!I176</f>
        <v>2.2598870056496967E-2</v>
      </c>
      <c r="Q176" s="1">
        <f>J176-'Passo 2'!J176</f>
        <v>5.1952837140750718E-3</v>
      </c>
      <c r="R176" s="8">
        <f t="shared" si="9"/>
        <v>119.8154999999999</v>
      </c>
      <c r="S176" s="8">
        <f t="shared" si="8"/>
        <v>116.75949999999997</v>
      </c>
      <c r="T176" s="1">
        <f t="shared" si="10"/>
        <v>102.59455044498378</v>
      </c>
      <c r="U176" s="1">
        <f t="shared" si="11"/>
        <v>72.91544955501611</v>
      </c>
    </row>
    <row r="177" spans="1:21" x14ac:dyDescent="0.3">
      <c r="A177" t="s">
        <v>57</v>
      </c>
      <c r="B177" t="s">
        <v>642</v>
      </c>
      <c r="C177" t="s">
        <v>580</v>
      </c>
      <c r="D177" t="s">
        <v>581</v>
      </c>
      <c r="E177" s="2">
        <v>80.447999999999993</v>
      </c>
      <c r="F177" s="2">
        <v>0</v>
      </c>
      <c r="G177" s="2">
        <v>12.1618333333333</v>
      </c>
      <c r="H177" s="2">
        <v>-11.0046666666666</v>
      </c>
      <c r="I177" s="1">
        <v>0.95352898766905303</v>
      </c>
      <c r="J177" s="1">
        <v>0.91037688941925199</v>
      </c>
      <c r="K177" s="1">
        <v>0.74777167864006799</v>
      </c>
      <c r="L177" s="1">
        <v>0.61613419844823603</v>
      </c>
      <c r="P177" s="1">
        <f>I177-'Passo 2'!I177</f>
        <v>1.7477128082737048E-2</v>
      </c>
      <c r="Q177" s="1">
        <f>J177-'Passo 2'!J177</f>
        <v>4.4761833731105982E-2</v>
      </c>
      <c r="R177" s="8">
        <f t="shared" si="9"/>
        <v>76.709499999999977</v>
      </c>
      <c r="S177" s="8">
        <f t="shared" si="8"/>
        <v>73.237999999999971</v>
      </c>
      <c r="T177" s="1">
        <f t="shared" si="10"/>
        <v>60.156736003236183</v>
      </c>
      <c r="U177" s="1">
        <f t="shared" si="11"/>
        <v>49.56676399676369</v>
      </c>
    </row>
    <row r="178" spans="1:21" x14ac:dyDescent="0.3">
      <c r="A178" t="s">
        <v>57</v>
      </c>
      <c r="B178" t="s">
        <v>643</v>
      </c>
      <c r="C178" t="s">
        <v>580</v>
      </c>
      <c r="D178" t="s">
        <v>581</v>
      </c>
      <c r="E178" s="2">
        <v>60.494999999999997</v>
      </c>
      <c r="F178" s="2">
        <v>0</v>
      </c>
      <c r="G178" s="2">
        <v>8.3476666666666599</v>
      </c>
      <c r="H178" s="2">
        <v>-9.8049999999999997</v>
      </c>
      <c r="I178" s="1">
        <v>0.91396809653690303</v>
      </c>
      <c r="J178" s="1">
        <v>0.98623853211009105</v>
      </c>
      <c r="K178" s="1">
        <v>0.71896051346616896</v>
      </c>
      <c r="L178" s="1">
        <v>0.68124611518082601</v>
      </c>
      <c r="P178" s="1">
        <f>I178-'Passo 2'!I178</f>
        <v>2.7861806760889007E-2</v>
      </c>
      <c r="Q178" s="1">
        <f>J178-'Passo 2'!J178</f>
        <v>6.3451524919414082E-2</v>
      </c>
      <c r="R178" s="8">
        <f t="shared" si="9"/>
        <v>55.290499999999945</v>
      </c>
      <c r="S178" s="8">
        <f t="shared" si="8"/>
        <v>59.662499999999959</v>
      </c>
      <c r="T178" s="1">
        <f t="shared" si="10"/>
        <v>43.493516262135891</v>
      </c>
      <c r="U178" s="1">
        <f t="shared" si="11"/>
        <v>41.211983737864067</v>
      </c>
    </row>
    <row r="179" spans="1:21" x14ac:dyDescent="0.3">
      <c r="A179" t="s">
        <v>57</v>
      </c>
      <c r="B179" t="s">
        <v>644</v>
      </c>
      <c r="C179" t="s">
        <v>580</v>
      </c>
      <c r="D179" t="s">
        <v>581</v>
      </c>
      <c r="E179" s="2">
        <v>252.46199999999999</v>
      </c>
      <c r="F179" s="2">
        <v>0</v>
      </c>
      <c r="G179" s="2">
        <v>36.603000000000002</v>
      </c>
      <c r="H179" s="2">
        <v>-35.728666666666598</v>
      </c>
      <c r="I179" s="1">
        <v>0.93495258692397198</v>
      </c>
      <c r="J179" s="1">
        <v>0.92456290451632295</v>
      </c>
      <c r="K179" s="1">
        <v>0.73729666185912401</v>
      </c>
      <c r="L179" s="1">
        <v>0.62221882958117103</v>
      </c>
      <c r="P179" s="1">
        <f>I179-'Passo 2'!I179</f>
        <v>4.2339045084011984E-2</v>
      </c>
      <c r="Q179" s="1">
        <f>J179-'Passo 2'!J179</f>
        <v>4.5769264285319133E-3</v>
      </c>
      <c r="R179" s="8">
        <f t="shared" si="9"/>
        <v>236.03999999999979</v>
      </c>
      <c r="S179" s="8">
        <f t="shared" si="8"/>
        <v>233.41699999999992</v>
      </c>
      <c r="T179" s="1">
        <f t="shared" si="10"/>
        <v>186.13938984627816</v>
      </c>
      <c r="U179" s="1">
        <f t="shared" si="11"/>
        <v>157.08661015372158</v>
      </c>
    </row>
    <row r="180" spans="1:21" x14ac:dyDescent="0.3">
      <c r="A180" t="s">
        <v>57</v>
      </c>
      <c r="B180" t="s">
        <v>134</v>
      </c>
      <c r="C180" t="s">
        <v>34</v>
      </c>
      <c r="D180" t="s">
        <v>35</v>
      </c>
      <c r="E180" s="2">
        <v>200</v>
      </c>
      <c r="F180" s="2">
        <v>0</v>
      </c>
      <c r="G180" s="2">
        <v>33.3333333333333</v>
      </c>
      <c r="H180" s="2">
        <v>-33.3333333333333</v>
      </c>
      <c r="I180" s="1">
        <v>1</v>
      </c>
      <c r="J180" s="1">
        <v>1</v>
      </c>
      <c r="K180" s="1">
        <v>0.93593577791262095</v>
      </c>
      <c r="L180" s="1">
        <v>0.56406422208737805</v>
      </c>
      <c r="P180" s="1">
        <f>I180-'Passo 2'!I180</f>
        <v>0</v>
      </c>
      <c r="Q180" s="1">
        <f>J180-'Passo 2'!J180</f>
        <v>0</v>
      </c>
      <c r="R180" s="8">
        <f t="shared" si="9"/>
        <v>200</v>
      </c>
      <c r="S180" s="8">
        <f t="shared" si="8"/>
        <v>200</v>
      </c>
      <c r="T180" s="1">
        <f t="shared" si="10"/>
        <v>187.18715558252418</v>
      </c>
      <c r="U180" s="1">
        <f t="shared" si="11"/>
        <v>112.81284441747562</v>
      </c>
    </row>
    <row r="181" spans="1:21" x14ac:dyDescent="0.3">
      <c r="A181" t="s">
        <v>57</v>
      </c>
      <c r="B181" t="s">
        <v>135</v>
      </c>
      <c r="C181" t="s">
        <v>34</v>
      </c>
      <c r="D181" t="s">
        <v>35</v>
      </c>
      <c r="E181" s="2">
        <v>154.08000000000001</v>
      </c>
      <c r="F181" s="2">
        <v>0</v>
      </c>
      <c r="G181" s="2">
        <v>25.662666666666599</v>
      </c>
      <c r="H181" s="2">
        <v>-25.68</v>
      </c>
      <c r="I181" s="1">
        <v>0.99966251298026998</v>
      </c>
      <c r="J181" s="1">
        <v>1</v>
      </c>
      <c r="K181" s="1">
        <v>0.87625635807440005</v>
      </c>
      <c r="L181" s="1">
        <v>0.62340615490586904</v>
      </c>
      <c r="P181" s="1">
        <f>I181-'Passo 2'!I181</f>
        <v>2.3026998961579004E-2</v>
      </c>
      <c r="Q181" s="1">
        <f>J181-'Passo 2'!J181</f>
        <v>1.4927310488059842E-3</v>
      </c>
      <c r="R181" s="8">
        <f t="shared" si="9"/>
        <v>154.02800000000002</v>
      </c>
      <c r="S181" s="8">
        <f t="shared" si="8"/>
        <v>154.08000000000001</v>
      </c>
      <c r="T181" s="1">
        <f t="shared" si="10"/>
        <v>135.01357965210357</v>
      </c>
      <c r="U181" s="1">
        <f t="shared" si="11"/>
        <v>96.054420347896311</v>
      </c>
    </row>
    <row r="182" spans="1:21" x14ac:dyDescent="0.3">
      <c r="A182" t="s">
        <v>57</v>
      </c>
      <c r="B182" t="s">
        <v>136</v>
      </c>
      <c r="C182" t="s">
        <v>580</v>
      </c>
      <c r="D182" t="s">
        <v>581</v>
      </c>
      <c r="E182" s="2">
        <v>97.884</v>
      </c>
      <c r="F182" s="2">
        <v>0</v>
      </c>
      <c r="G182" s="2">
        <v>15.171999999999899</v>
      </c>
      <c r="H182" s="2">
        <v>-14.6956666666666</v>
      </c>
      <c r="I182" s="1">
        <v>0.96499938702954502</v>
      </c>
      <c r="J182" s="1">
        <v>0.950400474030485</v>
      </c>
      <c r="K182" s="1">
        <v>0.81217024880655397</v>
      </c>
      <c r="L182" s="1">
        <v>0.60322961225347504</v>
      </c>
      <c r="P182" s="1">
        <f>I182-'Passo 2'!I182</f>
        <v>1.0108904417474029E-2</v>
      </c>
      <c r="Q182" s="1">
        <f>J182-'Passo 2'!J182</f>
        <v>8.3925871439664013E-2</v>
      </c>
      <c r="R182" s="8">
        <f t="shared" si="9"/>
        <v>94.457999999999984</v>
      </c>
      <c r="S182" s="8">
        <f t="shared" si="8"/>
        <v>93.028999999999996</v>
      </c>
      <c r="T182" s="1">
        <f t="shared" si="10"/>
        <v>79.498472634180729</v>
      </c>
      <c r="U182" s="1">
        <f t="shared" si="11"/>
        <v>59.046527365819152</v>
      </c>
    </row>
    <row r="183" spans="1:21" x14ac:dyDescent="0.3">
      <c r="A183" t="s">
        <v>57</v>
      </c>
      <c r="B183" t="s">
        <v>137</v>
      </c>
      <c r="C183" t="s">
        <v>580</v>
      </c>
      <c r="D183" t="s">
        <v>581</v>
      </c>
      <c r="E183" s="2">
        <v>270.80700000000002</v>
      </c>
      <c r="F183" s="2">
        <v>0</v>
      </c>
      <c r="G183" s="2">
        <v>41.844000000000001</v>
      </c>
      <c r="H183" s="2">
        <v>-43.311166666666601</v>
      </c>
      <c r="I183" s="1">
        <v>0.96354784034386098</v>
      </c>
      <c r="J183" s="1">
        <v>0.97980111296975303</v>
      </c>
      <c r="K183" s="1">
        <v>0.74584234261718396</v>
      </c>
      <c r="L183" s="1">
        <v>0.69750661069643005</v>
      </c>
      <c r="P183" s="1">
        <f>I183-'Passo 2'!I183</f>
        <v>6.6255672859269032E-2</v>
      </c>
      <c r="Q183" s="1">
        <f>J183-'Passo 2'!J183</f>
        <v>9.4753828372240445E-3</v>
      </c>
      <c r="R183" s="8">
        <f t="shared" si="9"/>
        <v>260.93549999999999</v>
      </c>
      <c r="S183" s="8">
        <f t="shared" si="8"/>
        <v>265.33699999999993</v>
      </c>
      <c r="T183" s="1">
        <f t="shared" si="10"/>
        <v>201.97932727713174</v>
      </c>
      <c r="U183" s="1">
        <f t="shared" si="11"/>
        <v>188.88967272286814</v>
      </c>
    </row>
    <row r="184" spans="1:21" x14ac:dyDescent="0.3">
      <c r="A184" t="s">
        <v>57</v>
      </c>
      <c r="B184" t="s">
        <v>138</v>
      </c>
      <c r="C184" t="s">
        <v>580</v>
      </c>
      <c r="D184" t="s">
        <v>581</v>
      </c>
      <c r="E184" s="2">
        <v>685.65800000000002</v>
      </c>
      <c r="F184" s="2">
        <v>0</v>
      </c>
      <c r="G184" s="2">
        <v>112.5625</v>
      </c>
      <c r="H184" s="2">
        <v>-112.3535</v>
      </c>
      <c r="I184" s="1">
        <v>0.99250136365359898</v>
      </c>
      <c r="J184" s="1">
        <v>0.99158691359248996</v>
      </c>
      <c r="K184" s="1">
        <v>0.75676323841843596</v>
      </c>
      <c r="L184" s="1">
        <v>0.72732503882765398</v>
      </c>
      <c r="P184" s="1">
        <f>I184-'Passo 2'!I184</f>
        <v>9.0467842568739965E-3</v>
      </c>
      <c r="Q184" s="1">
        <f>J184-'Passo 2'!J184</f>
        <v>1.1828054219449324E-3</v>
      </c>
      <c r="R184" s="8">
        <f t="shared" si="9"/>
        <v>680.51649999999938</v>
      </c>
      <c r="S184" s="8">
        <f t="shared" si="8"/>
        <v>679.88949999999954</v>
      </c>
      <c r="T184" s="1">
        <f t="shared" si="10"/>
        <v>518.88076852750794</v>
      </c>
      <c r="U184" s="1">
        <f t="shared" si="11"/>
        <v>498.6962314724916</v>
      </c>
    </row>
    <row r="185" spans="1:21" x14ac:dyDescent="0.3">
      <c r="A185" t="s">
        <v>57</v>
      </c>
      <c r="B185" t="s">
        <v>139</v>
      </c>
      <c r="C185" t="s">
        <v>580</v>
      </c>
      <c r="D185" t="s">
        <v>581</v>
      </c>
      <c r="E185" s="2">
        <v>0</v>
      </c>
      <c r="F185" s="2">
        <v>0</v>
      </c>
      <c r="G185" s="2">
        <v>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P185" s="1">
        <f>I185-'Passo 2'!I185</f>
        <v>0</v>
      </c>
      <c r="Q185" s="1">
        <f>J185-'Passo 2'!J185</f>
        <v>0</v>
      </c>
      <c r="R185" s="8">
        <f t="shared" si="9"/>
        <v>0</v>
      </c>
      <c r="S185" s="8">
        <f t="shared" si="8"/>
        <v>0</v>
      </c>
      <c r="T185" s="1">
        <f t="shared" si="10"/>
        <v>0</v>
      </c>
      <c r="U185" s="1">
        <f t="shared" si="11"/>
        <v>0</v>
      </c>
    </row>
    <row r="186" spans="1:21" x14ac:dyDescent="0.3">
      <c r="A186" t="s">
        <v>57</v>
      </c>
      <c r="B186" t="s">
        <v>140</v>
      </c>
      <c r="C186" t="s">
        <v>580</v>
      </c>
      <c r="D186" t="s">
        <v>581</v>
      </c>
      <c r="E186" s="2">
        <v>0</v>
      </c>
      <c r="F186" s="2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P186" s="1">
        <f>I186-'Passo 2'!I186</f>
        <v>0</v>
      </c>
      <c r="Q186" s="1">
        <f>J186-'Passo 2'!J186</f>
        <v>0</v>
      </c>
      <c r="R186" s="8">
        <f t="shared" si="9"/>
        <v>0</v>
      </c>
      <c r="S186" s="8">
        <f t="shared" si="8"/>
        <v>0</v>
      </c>
      <c r="T186" s="1">
        <f t="shared" si="10"/>
        <v>0</v>
      </c>
      <c r="U186" s="1">
        <f t="shared" si="11"/>
        <v>0</v>
      </c>
    </row>
    <row r="187" spans="1:21" x14ac:dyDescent="0.3">
      <c r="A187" t="s">
        <v>57</v>
      </c>
      <c r="B187" t="s">
        <v>141</v>
      </c>
      <c r="C187" t="s">
        <v>34</v>
      </c>
      <c r="D187" t="s">
        <v>35</v>
      </c>
      <c r="E187" s="2">
        <v>65</v>
      </c>
      <c r="F187" s="2">
        <v>0</v>
      </c>
      <c r="G187" s="2">
        <v>10.8333333333333</v>
      </c>
      <c r="H187" s="2">
        <v>-10.8333333333333</v>
      </c>
      <c r="I187" s="1">
        <v>1</v>
      </c>
      <c r="J187" s="1">
        <v>1</v>
      </c>
      <c r="K187" s="1">
        <v>0.90855775765496605</v>
      </c>
      <c r="L187" s="1">
        <v>0.59144224234503295</v>
      </c>
      <c r="P187" s="1">
        <f>I187-'Passo 2'!I187</f>
        <v>0</v>
      </c>
      <c r="Q187" s="1">
        <f>J187-'Passo 2'!J187</f>
        <v>2.15384615384695E-3</v>
      </c>
      <c r="R187" s="8">
        <f t="shared" si="9"/>
        <v>65</v>
      </c>
      <c r="S187" s="8">
        <f t="shared" si="8"/>
        <v>65</v>
      </c>
      <c r="T187" s="1">
        <f t="shared" si="10"/>
        <v>59.056254247572795</v>
      </c>
      <c r="U187" s="1">
        <f t="shared" si="11"/>
        <v>38.443745752427141</v>
      </c>
    </row>
    <row r="188" spans="1:21" x14ac:dyDescent="0.3">
      <c r="A188" t="s">
        <v>57</v>
      </c>
      <c r="B188" t="s">
        <v>142</v>
      </c>
      <c r="C188" t="s">
        <v>580</v>
      </c>
      <c r="D188" t="s">
        <v>581</v>
      </c>
      <c r="E188" s="2">
        <v>495.87400000000002</v>
      </c>
      <c r="F188" s="2">
        <v>0</v>
      </c>
      <c r="G188" s="2">
        <v>78.236333333333306</v>
      </c>
      <c r="H188" s="2">
        <v>-81.353166666666596</v>
      </c>
      <c r="I188" s="1">
        <v>0.97332386856338404</v>
      </c>
      <c r="J188" s="1">
        <v>0.99218047326538505</v>
      </c>
      <c r="K188" s="1">
        <v>0.74554538558658501</v>
      </c>
      <c r="L188" s="1">
        <v>0.71995895624218498</v>
      </c>
      <c r="P188" s="1">
        <f>I188-'Passo 2'!I188</f>
        <v>7.3607408333065116E-5</v>
      </c>
      <c r="Q188" s="1">
        <f>J188-'Passo 2'!J188</f>
        <v>2.5524629240492036E-2</v>
      </c>
      <c r="R188" s="8">
        <f t="shared" si="9"/>
        <v>482.6459999999995</v>
      </c>
      <c r="S188" s="8">
        <f t="shared" si="8"/>
        <v>491.99649999999957</v>
      </c>
      <c r="T188" s="1">
        <f t="shared" si="10"/>
        <v>369.69657253236227</v>
      </c>
      <c r="U188" s="1">
        <f t="shared" si="11"/>
        <v>357.00892746763725</v>
      </c>
    </row>
    <row r="189" spans="1:21" x14ac:dyDescent="0.3">
      <c r="A189" t="s">
        <v>57</v>
      </c>
      <c r="B189" t="s">
        <v>143</v>
      </c>
      <c r="C189" t="s">
        <v>34</v>
      </c>
      <c r="D189" t="s">
        <v>35</v>
      </c>
      <c r="E189" s="2">
        <v>192.09399999999999</v>
      </c>
      <c r="F189" s="2">
        <v>0</v>
      </c>
      <c r="G189" s="2">
        <v>31.411666666666601</v>
      </c>
      <c r="H189" s="2">
        <v>-32.010166666666599</v>
      </c>
      <c r="I189" s="1">
        <v>0.99056711818172305</v>
      </c>
      <c r="J189" s="1">
        <v>0.99991410455297902</v>
      </c>
      <c r="K189" s="1">
        <v>0.88654189618027801</v>
      </c>
      <c r="L189" s="1">
        <v>0.60393932655442395</v>
      </c>
      <c r="P189" s="1">
        <f>I189-'Passo 2'!I189</f>
        <v>2.7889991358397093E-2</v>
      </c>
      <c r="Q189" s="1">
        <f>J189-'Passo 2'!J189</f>
        <v>6.2628192447447995E-2</v>
      </c>
      <c r="R189" s="8">
        <f t="shared" si="9"/>
        <v>190.2819999999999</v>
      </c>
      <c r="S189" s="8">
        <f t="shared" si="8"/>
        <v>192.07749999999996</v>
      </c>
      <c r="T189" s="1">
        <f t="shared" si="10"/>
        <v>170.29937900485433</v>
      </c>
      <c r="U189" s="1">
        <f t="shared" si="11"/>
        <v>116.01312099514551</v>
      </c>
    </row>
    <row r="190" spans="1:21" x14ac:dyDescent="0.3">
      <c r="A190" t="s">
        <v>57</v>
      </c>
      <c r="B190" t="s">
        <v>645</v>
      </c>
      <c r="C190" t="s">
        <v>580</v>
      </c>
      <c r="D190" t="s">
        <v>581</v>
      </c>
      <c r="E190" s="2">
        <v>0</v>
      </c>
      <c r="F190" s="2">
        <v>0</v>
      </c>
      <c r="G190" s="2">
        <v>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P190" s="1">
        <f>I190-'Passo 2'!I190</f>
        <v>0</v>
      </c>
      <c r="Q190" s="1">
        <f>J190-'Passo 2'!J190</f>
        <v>0</v>
      </c>
      <c r="R190" s="8">
        <f t="shared" si="9"/>
        <v>0</v>
      </c>
      <c r="S190" s="8">
        <f t="shared" si="8"/>
        <v>0</v>
      </c>
      <c r="T190" s="1">
        <f t="shared" si="10"/>
        <v>0</v>
      </c>
      <c r="U190" s="1">
        <f t="shared" si="11"/>
        <v>0</v>
      </c>
    </row>
    <row r="191" spans="1:21" x14ac:dyDescent="0.3">
      <c r="A191" t="s">
        <v>57</v>
      </c>
      <c r="B191" t="s">
        <v>144</v>
      </c>
      <c r="C191" t="s">
        <v>34</v>
      </c>
      <c r="D191" t="s">
        <v>35</v>
      </c>
      <c r="E191" s="2">
        <v>0</v>
      </c>
      <c r="F191" s="2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P191" s="1">
        <f>I191-'Passo 2'!I191</f>
        <v>0</v>
      </c>
      <c r="Q191" s="1">
        <f>J191-'Passo 2'!J191</f>
        <v>0</v>
      </c>
      <c r="R191" s="8">
        <f t="shared" si="9"/>
        <v>0</v>
      </c>
      <c r="S191" s="8">
        <f t="shared" si="8"/>
        <v>0</v>
      </c>
      <c r="T191" s="1">
        <f t="shared" si="10"/>
        <v>0</v>
      </c>
      <c r="U191" s="1">
        <f t="shared" si="11"/>
        <v>0</v>
      </c>
    </row>
    <row r="192" spans="1:21" x14ac:dyDescent="0.3">
      <c r="A192" t="s">
        <v>57</v>
      </c>
      <c r="B192" t="s">
        <v>145</v>
      </c>
      <c r="C192" t="s">
        <v>34</v>
      </c>
      <c r="D192" t="s">
        <v>35</v>
      </c>
      <c r="E192" s="2">
        <v>111.72499999999999</v>
      </c>
      <c r="F192" s="2">
        <v>0</v>
      </c>
      <c r="G192" s="2">
        <v>18.620833333333302</v>
      </c>
      <c r="H192" s="2">
        <v>-18.594166666666599</v>
      </c>
      <c r="I192" s="1">
        <v>1</v>
      </c>
      <c r="J192" s="1">
        <v>0.99928395614231302</v>
      </c>
      <c r="K192" s="1">
        <v>0.87968762984993298</v>
      </c>
      <c r="L192" s="1">
        <v>0.61959632629238004</v>
      </c>
      <c r="P192" s="1">
        <f>I192-'Passo 2'!I192</f>
        <v>6.0205862609085004E-2</v>
      </c>
      <c r="Q192" s="1">
        <f>J192-'Passo 2'!J192</f>
        <v>5.6231819198926059E-2</v>
      </c>
      <c r="R192" s="8">
        <f t="shared" si="9"/>
        <v>111.72499999999999</v>
      </c>
      <c r="S192" s="8">
        <f t="shared" si="8"/>
        <v>111.64499999999991</v>
      </c>
      <c r="T192" s="1">
        <f t="shared" si="10"/>
        <v>98.283100444983759</v>
      </c>
      <c r="U192" s="1">
        <f t="shared" si="11"/>
        <v>69.224399555016163</v>
      </c>
    </row>
    <row r="193" spans="1:21" x14ac:dyDescent="0.3">
      <c r="A193" t="s">
        <v>57</v>
      </c>
      <c r="B193" t="s">
        <v>146</v>
      </c>
      <c r="C193" t="s">
        <v>580</v>
      </c>
      <c r="D193" t="s">
        <v>581</v>
      </c>
      <c r="E193" s="2">
        <v>76.466999999999999</v>
      </c>
      <c r="F193" s="2">
        <v>0</v>
      </c>
      <c r="G193" s="2">
        <v>10.0546666666666</v>
      </c>
      <c r="H193" s="2">
        <v>-10.6181666666666</v>
      </c>
      <c r="I193" s="1">
        <v>0.89447081747682</v>
      </c>
      <c r="J193" s="1">
        <v>0.91657839329383906</v>
      </c>
      <c r="K193" s="1">
        <v>0.72961032209972898</v>
      </c>
      <c r="L193" s="1">
        <v>0.58143888867092897</v>
      </c>
      <c r="P193" s="1">
        <f>I193-'Passo 2'!I193</f>
        <v>-4.9995422862148975E-2</v>
      </c>
      <c r="Q193" s="1">
        <f>J193-'Passo 2'!J193</f>
        <v>4.0867302234951053E-2</v>
      </c>
      <c r="R193" s="8">
        <f t="shared" si="9"/>
        <v>68.397499999999994</v>
      </c>
      <c r="S193" s="8">
        <f t="shared" si="8"/>
        <v>70.087999999999994</v>
      </c>
      <c r="T193" s="1">
        <f t="shared" si="10"/>
        <v>55.791112499999976</v>
      </c>
      <c r="U193" s="1">
        <f t="shared" si="11"/>
        <v>44.460887499999927</v>
      </c>
    </row>
    <row r="194" spans="1:21" x14ac:dyDescent="0.3">
      <c r="A194" t="s">
        <v>57</v>
      </c>
      <c r="B194" t="s">
        <v>147</v>
      </c>
      <c r="C194" t="s">
        <v>580</v>
      </c>
      <c r="D194" t="s">
        <v>581</v>
      </c>
      <c r="E194" s="2">
        <v>99.554000000000002</v>
      </c>
      <c r="F194" s="2">
        <v>0</v>
      </c>
      <c r="G194" s="2">
        <v>14.704333333333301</v>
      </c>
      <c r="H194" s="2">
        <v>-14.845333333333301</v>
      </c>
      <c r="I194" s="1">
        <v>0.94310625389235903</v>
      </c>
      <c r="J194" s="1">
        <v>0.94735520421078001</v>
      </c>
      <c r="K194" s="1">
        <v>0.82373132593697895</v>
      </c>
      <c r="L194" s="1">
        <v>0.56673013216615997</v>
      </c>
      <c r="P194" s="1">
        <f>I194-'Passo 2'!I194</f>
        <v>0</v>
      </c>
      <c r="Q194" s="1">
        <f>J194-'Passo 2'!J194</f>
        <v>6.8646161881994017E-2</v>
      </c>
      <c r="R194" s="8">
        <f t="shared" si="9"/>
        <v>93.889999999999915</v>
      </c>
      <c r="S194" s="8">
        <f t="shared" ref="S194:S257" si="12">J194*E194</f>
        <v>94.312999999999988</v>
      </c>
      <c r="T194" s="1">
        <f t="shared" si="10"/>
        <v>82.005748422330001</v>
      </c>
      <c r="U194" s="1">
        <f t="shared" si="11"/>
        <v>56.420251577669895</v>
      </c>
    </row>
    <row r="195" spans="1:21" x14ac:dyDescent="0.3">
      <c r="A195" t="s">
        <v>57</v>
      </c>
      <c r="B195" t="s">
        <v>148</v>
      </c>
      <c r="C195" t="s">
        <v>34</v>
      </c>
      <c r="D195" t="s">
        <v>35</v>
      </c>
      <c r="E195" s="2">
        <v>354.84899999999999</v>
      </c>
      <c r="F195" s="2">
        <v>0</v>
      </c>
      <c r="G195" s="2">
        <v>59.141500000000001</v>
      </c>
      <c r="H195" s="2">
        <v>-59.057499999999997</v>
      </c>
      <c r="I195" s="1">
        <v>1</v>
      </c>
      <c r="J195" s="1">
        <v>0.99928983877649302</v>
      </c>
      <c r="K195" s="1">
        <v>0.89095149461253798</v>
      </c>
      <c r="L195" s="1">
        <v>0.60833834416395505</v>
      </c>
      <c r="P195" s="1">
        <f>I195-'Passo 2'!I195</f>
        <v>5.467114180970345E-4</v>
      </c>
      <c r="Q195" s="1">
        <f>J195-'Passo 2'!J195</f>
        <v>4.6005484022779708E-3</v>
      </c>
      <c r="R195" s="8">
        <f t="shared" ref="R195:R258" si="13">I195*E195</f>
        <v>354.84899999999999</v>
      </c>
      <c r="S195" s="8">
        <f t="shared" si="12"/>
        <v>354.59699999999975</v>
      </c>
      <c r="T195" s="1">
        <f t="shared" ref="T195:T258" si="14">K195*E195</f>
        <v>316.15324691176448</v>
      </c>
      <c r="U195" s="1">
        <f t="shared" ref="U195:U258" si="15">L195*E195</f>
        <v>215.86825308823529</v>
      </c>
    </row>
    <row r="196" spans="1:21" x14ac:dyDescent="0.3">
      <c r="A196" t="s">
        <v>57</v>
      </c>
      <c r="B196" t="s">
        <v>149</v>
      </c>
      <c r="C196" t="s">
        <v>34</v>
      </c>
      <c r="D196" t="s">
        <v>35</v>
      </c>
      <c r="E196" s="2">
        <v>315.59699999999998</v>
      </c>
      <c r="F196" s="2">
        <v>0</v>
      </c>
      <c r="G196" s="2">
        <v>52.599499999999999</v>
      </c>
      <c r="H196" s="2">
        <v>-51.826333333333302</v>
      </c>
      <c r="I196" s="1">
        <v>1</v>
      </c>
      <c r="J196" s="1">
        <v>0.99265043710808398</v>
      </c>
      <c r="K196" s="1">
        <v>0.89713941816039999</v>
      </c>
      <c r="L196" s="1">
        <v>0.59551101894768299</v>
      </c>
      <c r="P196" s="1">
        <f>I196-'Passo 2'!I196</f>
        <v>0.10623516700095403</v>
      </c>
      <c r="Q196" s="1">
        <f>J196-'Passo 2'!J196</f>
        <v>6.0986004302955976E-2</v>
      </c>
      <c r="R196" s="8">
        <f t="shared" si="13"/>
        <v>315.59699999999998</v>
      </c>
      <c r="S196" s="8">
        <f t="shared" si="12"/>
        <v>313.27749999999997</v>
      </c>
      <c r="T196" s="1">
        <f t="shared" si="14"/>
        <v>283.13450895316771</v>
      </c>
      <c r="U196" s="1">
        <f t="shared" si="15"/>
        <v>187.94149104683189</v>
      </c>
    </row>
    <row r="197" spans="1:21" x14ac:dyDescent="0.3">
      <c r="A197" t="s">
        <v>57</v>
      </c>
      <c r="B197" t="s">
        <v>150</v>
      </c>
      <c r="C197" t="s">
        <v>580</v>
      </c>
      <c r="D197" t="s">
        <v>581</v>
      </c>
      <c r="E197" s="2">
        <v>54.831000000000003</v>
      </c>
      <c r="F197" s="2">
        <v>0</v>
      </c>
      <c r="G197" s="2">
        <v>8.2206666666666592</v>
      </c>
      <c r="H197" s="2">
        <v>-8.3658333333333292</v>
      </c>
      <c r="I197" s="1">
        <v>0.94978205759515599</v>
      </c>
      <c r="J197" s="1">
        <v>0.95772464481771202</v>
      </c>
      <c r="K197" s="1">
        <v>0.77403649144570597</v>
      </c>
      <c r="L197" s="1">
        <v>0.63347021096716105</v>
      </c>
      <c r="P197" s="1">
        <f>I197-'Passo 2'!I197</f>
        <v>7.8605168608999465E-3</v>
      </c>
      <c r="Q197" s="1">
        <f>J197-'Passo 2'!J197</f>
        <v>4.2284474111360049E-2</v>
      </c>
      <c r="R197" s="8">
        <f t="shared" si="13"/>
        <v>52.077500000000001</v>
      </c>
      <c r="S197" s="8">
        <f t="shared" si="12"/>
        <v>52.51299999999997</v>
      </c>
      <c r="T197" s="1">
        <f t="shared" si="14"/>
        <v>42.441194862459504</v>
      </c>
      <c r="U197" s="1">
        <f t="shared" si="15"/>
        <v>34.733805137540408</v>
      </c>
    </row>
    <row r="198" spans="1:21" x14ac:dyDescent="0.3">
      <c r="A198" t="s">
        <v>57</v>
      </c>
      <c r="B198" t="s">
        <v>151</v>
      </c>
      <c r="C198" t="s">
        <v>580</v>
      </c>
      <c r="D198" t="s">
        <v>581</v>
      </c>
      <c r="E198" s="2">
        <v>442.113</v>
      </c>
      <c r="F198" s="2">
        <v>0</v>
      </c>
      <c r="G198" s="2">
        <v>67.349000000000004</v>
      </c>
      <c r="H198" s="2">
        <v>-64.021500000000003</v>
      </c>
      <c r="I198" s="1">
        <v>0.95700307387477801</v>
      </c>
      <c r="J198" s="1">
        <v>0.93442400472277398</v>
      </c>
      <c r="K198" s="1">
        <v>0.74324646200915201</v>
      </c>
      <c r="L198" s="1">
        <v>0.64818061658839998</v>
      </c>
      <c r="P198" s="1">
        <f>I198-'Passo 2'!I198</f>
        <v>1.4803907598283983E-2</v>
      </c>
      <c r="Q198" s="1">
        <f>J198-'Passo 2'!J198</f>
        <v>-7.9990862064680535E-3</v>
      </c>
      <c r="R198" s="8">
        <f t="shared" si="13"/>
        <v>423.10349999999971</v>
      </c>
      <c r="S198" s="8">
        <f t="shared" si="12"/>
        <v>413.12099999999975</v>
      </c>
      <c r="T198" s="1">
        <f t="shared" si="14"/>
        <v>328.59892305825224</v>
      </c>
      <c r="U198" s="1">
        <f t="shared" si="15"/>
        <v>286.56907694174726</v>
      </c>
    </row>
    <row r="199" spans="1:21" x14ac:dyDescent="0.3">
      <c r="A199" t="s">
        <v>57</v>
      </c>
      <c r="B199" t="s">
        <v>152</v>
      </c>
      <c r="C199" t="s">
        <v>34</v>
      </c>
      <c r="D199" t="s">
        <v>35</v>
      </c>
      <c r="E199" s="2">
        <v>211.74</v>
      </c>
      <c r="F199" s="2">
        <v>0</v>
      </c>
      <c r="G199" s="2">
        <v>35.205999999999896</v>
      </c>
      <c r="H199" s="2">
        <v>-34.939166666666601</v>
      </c>
      <c r="I199" s="1">
        <v>0.99880986115046699</v>
      </c>
      <c r="J199" s="1">
        <v>0.99502928119391698</v>
      </c>
      <c r="K199" s="1">
        <v>0.90473009908098501</v>
      </c>
      <c r="L199" s="1">
        <v>0.58910904326339897</v>
      </c>
      <c r="P199" s="1">
        <f>I199-'Passo 2'!I199</f>
        <v>7.6414470577119697E-3</v>
      </c>
      <c r="Q199" s="1">
        <f>J199-'Passo 2'!J199</f>
        <v>6.3991215641824972E-2</v>
      </c>
      <c r="R199" s="8">
        <f t="shared" si="13"/>
        <v>211.48799999999989</v>
      </c>
      <c r="S199" s="8">
        <f t="shared" si="12"/>
        <v>210.6875</v>
      </c>
      <c r="T199" s="1">
        <f t="shared" si="14"/>
        <v>191.56755117940779</v>
      </c>
      <c r="U199" s="1">
        <f t="shared" si="15"/>
        <v>124.73794882059211</v>
      </c>
    </row>
    <row r="200" spans="1:21" x14ac:dyDescent="0.3">
      <c r="A200" t="s">
        <v>57</v>
      </c>
      <c r="B200" t="s">
        <v>153</v>
      </c>
      <c r="C200" t="s">
        <v>580</v>
      </c>
      <c r="D200" t="s">
        <v>581</v>
      </c>
      <c r="E200" s="2">
        <v>214.62</v>
      </c>
      <c r="F200" s="2">
        <v>0</v>
      </c>
      <c r="G200" s="2">
        <v>30.563333333333301</v>
      </c>
      <c r="H200" s="2">
        <v>-32.6235</v>
      </c>
      <c r="I200" s="1">
        <v>0.92722020314975295</v>
      </c>
      <c r="J200" s="1">
        <v>0.95601761252446105</v>
      </c>
      <c r="K200" s="1">
        <v>0.76718292494991502</v>
      </c>
      <c r="L200" s="1">
        <v>0.61605489072429898</v>
      </c>
      <c r="P200" s="1">
        <f>I200-'Passo 2'!I200</f>
        <v>0.10568679526605196</v>
      </c>
      <c r="Q200" s="1">
        <f>J200-'Passo 2'!J200</f>
        <v>1.0348522970831997E-2</v>
      </c>
      <c r="R200" s="8">
        <f t="shared" si="13"/>
        <v>198.99999999999997</v>
      </c>
      <c r="S200" s="8">
        <f t="shared" si="12"/>
        <v>205.18049999999982</v>
      </c>
      <c r="T200" s="1">
        <f t="shared" si="14"/>
        <v>164.65279935275078</v>
      </c>
      <c r="U200" s="1">
        <f t="shared" si="15"/>
        <v>132.21770064724905</v>
      </c>
    </row>
    <row r="201" spans="1:21" x14ac:dyDescent="0.3">
      <c r="A201" t="s">
        <v>57</v>
      </c>
      <c r="B201" t="s">
        <v>646</v>
      </c>
      <c r="C201" t="s">
        <v>580</v>
      </c>
      <c r="D201" t="s">
        <v>581</v>
      </c>
      <c r="E201" s="2">
        <v>170.654</v>
      </c>
      <c r="F201" s="2">
        <v>0</v>
      </c>
      <c r="G201" s="2">
        <v>28.3041666666666</v>
      </c>
      <c r="H201" s="2">
        <v>-27.795500000000001</v>
      </c>
      <c r="I201" s="1">
        <v>0.99757110879322997</v>
      </c>
      <c r="J201" s="1">
        <v>0.98862903887397902</v>
      </c>
      <c r="K201" s="1">
        <v>0.71435720345862996</v>
      </c>
      <c r="L201" s="1">
        <v>0.77184294420857902</v>
      </c>
      <c r="P201" s="1">
        <f>I201-'Passo 2'!I201</f>
        <v>1.2622030541328932E-2</v>
      </c>
      <c r="Q201" s="1">
        <f>J201-'Passo 2'!J201</f>
        <v>-8.9420699192509501E-3</v>
      </c>
      <c r="R201" s="8">
        <f t="shared" si="13"/>
        <v>170.23949999999985</v>
      </c>
      <c r="S201" s="8">
        <f t="shared" si="12"/>
        <v>168.71350000000001</v>
      </c>
      <c r="T201" s="1">
        <f t="shared" si="14"/>
        <v>121.90791419902904</v>
      </c>
      <c r="U201" s="1">
        <f t="shared" si="15"/>
        <v>131.71808580097084</v>
      </c>
    </row>
    <row r="202" spans="1:21" x14ac:dyDescent="0.3">
      <c r="A202" t="s">
        <v>57</v>
      </c>
      <c r="B202" t="s">
        <v>647</v>
      </c>
      <c r="C202" t="s">
        <v>580</v>
      </c>
      <c r="D202" t="s">
        <v>581</v>
      </c>
      <c r="E202" s="2">
        <v>345.053</v>
      </c>
      <c r="F202" s="2">
        <v>0</v>
      </c>
      <c r="G202" s="2">
        <v>54.967833333333303</v>
      </c>
      <c r="H202" s="2">
        <v>-55.902666666666597</v>
      </c>
      <c r="I202" s="1">
        <v>0.97790774170924399</v>
      </c>
      <c r="J202" s="1">
        <v>0.98603547860763396</v>
      </c>
      <c r="K202" s="1">
        <v>0.771663949833437</v>
      </c>
      <c r="L202" s="1">
        <v>0.69227927048344096</v>
      </c>
      <c r="P202" s="1">
        <f>I202-'Passo 2'!I202</f>
        <v>0.110504763036403</v>
      </c>
      <c r="Q202" s="1">
        <f>J202-'Passo 2'!J202</f>
        <v>3.6066923052399114E-3</v>
      </c>
      <c r="R202" s="8">
        <f t="shared" si="13"/>
        <v>337.42999999999978</v>
      </c>
      <c r="S202" s="8">
        <f t="shared" si="12"/>
        <v>340.23449999999991</v>
      </c>
      <c r="T202" s="1">
        <f t="shared" si="14"/>
        <v>266.26496088187696</v>
      </c>
      <c r="U202" s="1">
        <f t="shared" si="15"/>
        <v>238.87303911812276</v>
      </c>
    </row>
    <row r="203" spans="1:21" x14ac:dyDescent="0.3">
      <c r="A203" t="s">
        <v>57</v>
      </c>
      <c r="B203" t="s">
        <v>154</v>
      </c>
      <c r="C203" t="s">
        <v>580</v>
      </c>
      <c r="D203" t="s">
        <v>581</v>
      </c>
      <c r="E203" s="2">
        <v>158.02199999999999</v>
      </c>
      <c r="F203" s="2">
        <v>0</v>
      </c>
      <c r="G203" s="2">
        <v>20.6473333333333</v>
      </c>
      <c r="H203" s="2">
        <v>-22.298500000000001</v>
      </c>
      <c r="I203" s="1">
        <v>0.89198339471719101</v>
      </c>
      <c r="J203" s="1">
        <v>0.92333029578159997</v>
      </c>
      <c r="K203" s="1">
        <v>0.747468883270483</v>
      </c>
      <c r="L203" s="1">
        <v>0.56784480722830799</v>
      </c>
      <c r="P203" s="1">
        <f>I203-'Passo 2'!I203</f>
        <v>6.1412334991330031E-2</v>
      </c>
      <c r="Q203" s="1">
        <f>J203-'Passo 2'!J203</f>
        <v>7.8789662198935018E-2</v>
      </c>
      <c r="R203" s="8">
        <f t="shared" si="13"/>
        <v>140.95299999999995</v>
      </c>
      <c r="S203" s="8">
        <f t="shared" si="12"/>
        <v>145.90649999999999</v>
      </c>
      <c r="T203" s="1">
        <f t="shared" si="14"/>
        <v>118.11652787216826</v>
      </c>
      <c r="U203" s="1">
        <f t="shared" si="15"/>
        <v>89.731972127831682</v>
      </c>
    </row>
    <row r="204" spans="1:21" x14ac:dyDescent="0.3">
      <c r="A204" t="s">
        <v>57</v>
      </c>
      <c r="B204" t="s">
        <v>155</v>
      </c>
      <c r="C204" t="s">
        <v>580</v>
      </c>
      <c r="D204" t="s">
        <v>581</v>
      </c>
      <c r="E204" s="2">
        <v>84.757999999999996</v>
      </c>
      <c r="F204" s="2">
        <v>0</v>
      </c>
      <c r="G204" s="2">
        <v>10.759499999999999</v>
      </c>
      <c r="H204" s="2">
        <v>-12.177</v>
      </c>
      <c r="I204" s="1">
        <v>0.88083130795913001</v>
      </c>
      <c r="J204" s="1">
        <v>0.93100356308549004</v>
      </c>
      <c r="K204" s="1">
        <v>0.71965504292021598</v>
      </c>
      <c r="L204" s="1">
        <v>0.59217982812440395</v>
      </c>
      <c r="P204" s="1">
        <f>I204-'Passo 2'!I204</f>
        <v>2.8740649850161004E-2</v>
      </c>
      <c r="Q204" s="1">
        <f>J204-'Passo 2'!J204</f>
        <v>8.9661152929517041E-2</v>
      </c>
      <c r="R204" s="8">
        <f t="shared" si="13"/>
        <v>74.657499999999942</v>
      </c>
      <c r="S204" s="8">
        <f t="shared" si="12"/>
        <v>78.909999999999954</v>
      </c>
      <c r="T204" s="1">
        <f t="shared" si="14"/>
        <v>60.99652212783166</v>
      </c>
      <c r="U204" s="1">
        <f t="shared" si="15"/>
        <v>50.191977872168231</v>
      </c>
    </row>
    <row r="205" spans="1:21" x14ac:dyDescent="0.3">
      <c r="A205" t="s">
        <v>57</v>
      </c>
      <c r="B205" t="s">
        <v>648</v>
      </c>
      <c r="C205" t="s">
        <v>580</v>
      </c>
      <c r="D205" t="s">
        <v>581</v>
      </c>
      <c r="E205" s="2">
        <v>113.274</v>
      </c>
      <c r="F205" s="2">
        <v>0</v>
      </c>
      <c r="G205" s="2">
        <v>18.763999999999999</v>
      </c>
      <c r="H205" s="2">
        <v>-18.763999999999999</v>
      </c>
      <c r="I205" s="1">
        <v>0.99695428783304196</v>
      </c>
      <c r="J205" s="1">
        <v>0.99695428783304196</v>
      </c>
      <c r="K205" s="1">
        <v>0.83333879378770104</v>
      </c>
      <c r="L205" s="1">
        <v>0.660569781878382</v>
      </c>
      <c r="P205" s="1">
        <f>I205-'Passo 2'!I205</f>
        <v>6.2415029044620152E-3</v>
      </c>
      <c r="Q205" s="1">
        <f>J205-'Passo 2'!J205</f>
        <v>0</v>
      </c>
      <c r="R205" s="8">
        <f t="shared" si="13"/>
        <v>112.929</v>
      </c>
      <c r="S205" s="8">
        <f t="shared" si="12"/>
        <v>112.929</v>
      </c>
      <c r="T205" s="1">
        <f t="shared" si="14"/>
        <v>94.395618527508049</v>
      </c>
      <c r="U205" s="1">
        <f t="shared" si="15"/>
        <v>74.825381472491841</v>
      </c>
    </row>
    <row r="206" spans="1:21" x14ac:dyDescent="0.3">
      <c r="A206" t="s">
        <v>57</v>
      </c>
      <c r="B206" t="s">
        <v>649</v>
      </c>
      <c r="C206" t="s">
        <v>580</v>
      </c>
      <c r="D206" t="s">
        <v>581</v>
      </c>
      <c r="E206" s="2">
        <v>362.435</v>
      </c>
      <c r="F206" s="2">
        <v>8.7999999999999995E-2</v>
      </c>
      <c r="G206" s="2">
        <v>52.990333333333297</v>
      </c>
      <c r="H206" s="2">
        <v>-52.384500000000003</v>
      </c>
      <c r="I206" s="1">
        <v>0.93849793756121702</v>
      </c>
      <c r="J206" s="1">
        <v>0.93348324527156501</v>
      </c>
      <c r="K206" s="1">
        <v>0.76015865040362895</v>
      </c>
      <c r="L206" s="1">
        <v>0.61194393350796805</v>
      </c>
      <c r="P206" s="1">
        <f>I206-'Passo 2'!I206</f>
        <v>6.9863561742105063E-2</v>
      </c>
      <c r="Q206" s="1">
        <f>J206-'Passo 2'!J206</f>
        <v>3.161256501165699E-2</v>
      </c>
      <c r="R206" s="8">
        <f t="shared" si="13"/>
        <v>340.14449999999971</v>
      </c>
      <c r="S206" s="8">
        <f t="shared" si="12"/>
        <v>338.32699999999966</v>
      </c>
      <c r="T206" s="1">
        <f t="shared" si="14"/>
        <v>275.50810045903927</v>
      </c>
      <c r="U206" s="1">
        <f t="shared" si="15"/>
        <v>221.78989954096039</v>
      </c>
    </row>
    <row r="207" spans="1:21" x14ac:dyDescent="0.3">
      <c r="A207" t="s">
        <v>57</v>
      </c>
      <c r="B207" t="s">
        <v>156</v>
      </c>
      <c r="C207" t="s">
        <v>580</v>
      </c>
      <c r="D207" t="s">
        <v>581</v>
      </c>
      <c r="E207" s="2">
        <v>98.14</v>
      </c>
      <c r="F207" s="2">
        <v>0</v>
      </c>
      <c r="G207" s="2">
        <v>14.7298333333333</v>
      </c>
      <c r="H207" s="2">
        <v>-14.2029999999999</v>
      </c>
      <c r="I207" s="1">
        <v>0.95027002241695502</v>
      </c>
      <c r="J207" s="1">
        <v>0.93416547788872994</v>
      </c>
      <c r="K207" s="1">
        <v>0.71995352719152195</v>
      </c>
      <c r="L207" s="1">
        <v>0.66448197311416202</v>
      </c>
      <c r="P207" s="1">
        <f>I207-'Passo 2'!I207</f>
        <v>0.11612492357856097</v>
      </c>
      <c r="Q207" s="1">
        <f>J207-'Passo 2'!J207</f>
        <v>-6.2665579783980352E-3</v>
      </c>
      <c r="R207" s="8">
        <f t="shared" si="13"/>
        <v>93.25949999999996</v>
      </c>
      <c r="S207" s="8">
        <f t="shared" si="12"/>
        <v>91.678999999999959</v>
      </c>
      <c r="T207" s="1">
        <f t="shared" si="14"/>
        <v>70.656239158575971</v>
      </c>
      <c r="U207" s="1">
        <f t="shared" si="15"/>
        <v>65.212260841423856</v>
      </c>
    </row>
    <row r="208" spans="1:21" x14ac:dyDescent="0.3">
      <c r="A208" t="s">
        <v>57</v>
      </c>
      <c r="B208" t="s">
        <v>650</v>
      </c>
      <c r="C208" t="s">
        <v>580</v>
      </c>
      <c r="D208" t="s">
        <v>581</v>
      </c>
      <c r="E208" s="2">
        <v>0</v>
      </c>
      <c r="F208" s="2">
        <v>0</v>
      </c>
      <c r="G208" s="2">
        <v>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P208" s="1">
        <f>I208-'Passo 2'!I208</f>
        <v>0</v>
      </c>
      <c r="Q208" s="1">
        <f>J208-'Passo 2'!J208</f>
        <v>0</v>
      </c>
      <c r="R208" s="8">
        <f t="shared" si="13"/>
        <v>0</v>
      </c>
      <c r="S208" s="8">
        <f t="shared" si="12"/>
        <v>0</v>
      </c>
      <c r="T208" s="1">
        <f t="shared" si="14"/>
        <v>0</v>
      </c>
      <c r="U208" s="1">
        <f t="shared" si="15"/>
        <v>0</v>
      </c>
    </row>
    <row r="209" spans="1:21" x14ac:dyDescent="0.3">
      <c r="A209" t="s">
        <v>57</v>
      </c>
      <c r="B209" t="s">
        <v>157</v>
      </c>
      <c r="C209" t="s">
        <v>34</v>
      </c>
      <c r="D209" t="s">
        <v>35</v>
      </c>
      <c r="E209" s="2">
        <v>208.697</v>
      </c>
      <c r="F209" s="2">
        <v>0</v>
      </c>
      <c r="G209" s="2">
        <v>34.753833333333297</v>
      </c>
      <c r="H209" s="2">
        <v>-34.746333333333297</v>
      </c>
      <c r="I209" s="1">
        <v>0.99958312769229996</v>
      </c>
      <c r="J209" s="1">
        <v>0.99947531588858396</v>
      </c>
      <c r="K209" s="1">
        <v>0.87286938425139404</v>
      </c>
      <c r="L209" s="1">
        <v>0.62618905932948998</v>
      </c>
      <c r="P209" s="1">
        <f>I209-'Passo 2'!I209</f>
        <v>9.295773298130916E-3</v>
      </c>
      <c r="Q209" s="1">
        <f>J209-'Passo 2'!J209</f>
        <v>3.3354576251694912E-2</v>
      </c>
      <c r="R209" s="8">
        <f t="shared" si="13"/>
        <v>208.60999999999993</v>
      </c>
      <c r="S209" s="8">
        <f t="shared" si="12"/>
        <v>208.58749999999981</v>
      </c>
      <c r="T209" s="1">
        <f t="shared" si="14"/>
        <v>182.1652218851132</v>
      </c>
      <c r="U209" s="1">
        <f t="shared" si="15"/>
        <v>130.68377811488656</v>
      </c>
    </row>
    <row r="210" spans="1:21" x14ac:dyDescent="0.3">
      <c r="A210" t="s">
        <v>57</v>
      </c>
      <c r="B210" t="s">
        <v>158</v>
      </c>
      <c r="C210" t="s">
        <v>580</v>
      </c>
      <c r="D210" t="s">
        <v>581</v>
      </c>
      <c r="E210" s="2">
        <v>401.07400000000001</v>
      </c>
      <c r="F210" s="2">
        <v>0</v>
      </c>
      <c r="G210" s="2">
        <v>63.440166666666599</v>
      </c>
      <c r="H210" s="2">
        <v>-65.186166666666594</v>
      </c>
      <c r="I210" s="1">
        <v>0.97452714461670398</v>
      </c>
      <c r="J210" s="1">
        <v>0.98758707869370699</v>
      </c>
      <c r="K210" s="1">
        <v>0.81574275931179696</v>
      </c>
      <c r="L210" s="1">
        <v>0.64637146399861301</v>
      </c>
      <c r="P210" s="1">
        <f>I210-'Passo 2'!I210</f>
        <v>2.4535372524771004E-2</v>
      </c>
      <c r="Q210" s="1">
        <f>J210-'Passo 2'!J210</f>
        <v>-5.8966674479019598E-3</v>
      </c>
      <c r="R210" s="8">
        <f t="shared" si="13"/>
        <v>390.85749999999996</v>
      </c>
      <c r="S210" s="8">
        <f t="shared" si="12"/>
        <v>396.09549999999984</v>
      </c>
      <c r="T210" s="1">
        <f t="shared" si="14"/>
        <v>327.17321144821966</v>
      </c>
      <c r="U210" s="1">
        <f t="shared" si="15"/>
        <v>259.24278855177971</v>
      </c>
    </row>
    <row r="211" spans="1:21" x14ac:dyDescent="0.3">
      <c r="A211" t="s">
        <v>57</v>
      </c>
      <c r="B211" t="s">
        <v>159</v>
      </c>
      <c r="C211" t="s">
        <v>580</v>
      </c>
      <c r="D211" t="s">
        <v>581</v>
      </c>
      <c r="E211" s="2">
        <v>240.53100000000001</v>
      </c>
      <c r="F211" s="2">
        <v>0</v>
      </c>
      <c r="G211" s="2">
        <v>36.980499999999999</v>
      </c>
      <c r="H211" s="2">
        <v>-36.032999999999902</v>
      </c>
      <c r="I211" s="1">
        <v>0.96123576586801696</v>
      </c>
      <c r="J211" s="1">
        <v>0.94941816231587595</v>
      </c>
      <c r="K211" s="1">
        <v>0.69155560985921205</v>
      </c>
      <c r="L211" s="1">
        <v>0.71909831832467996</v>
      </c>
      <c r="P211" s="1">
        <f>I211-'Passo 2'!I211</f>
        <v>6.6552752036119989E-2</v>
      </c>
      <c r="Q211" s="1">
        <f>J211-'Passo 2'!J211</f>
        <v>4.4106580856521971E-2</v>
      </c>
      <c r="R211" s="8">
        <f t="shared" si="13"/>
        <v>231.20699999999999</v>
      </c>
      <c r="S211" s="8">
        <f t="shared" si="12"/>
        <v>228.36449999999996</v>
      </c>
      <c r="T211" s="1">
        <f t="shared" si="14"/>
        <v>166.34056239504613</v>
      </c>
      <c r="U211" s="1">
        <f t="shared" si="15"/>
        <v>172.96543760495359</v>
      </c>
    </row>
    <row r="212" spans="1:21" x14ac:dyDescent="0.3">
      <c r="A212" t="s">
        <v>57</v>
      </c>
      <c r="B212" t="s">
        <v>651</v>
      </c>
      <c r="C212" t="s">
        <v>580</v>
      </c>
      <c r="D212" t="s">
        <v>581</v>
      </c>
      <c r="E212" s="2">
        <v>230.49199999999999</v>
      </c>
      <c r="F212" s="2">
        <v>0</v>
      </c>
      <c r="G212" s="2">
        <v>35.876333333333299</v>
      </c>
      <c r="H212" s="2">
        <v>-38.091833333333298</v>
      </c>
      <c r="I212" s="1">
        <v>0.96695329989761003</v>
      </c>
      <c r="J212" s="1">
        <v>0.99578944171598105</v>
      </c>
      <c r="K212" s="1">
        <v>0.68771679015710996</v>
      </c>
      <c r="L212" s="1">
        <v>0.77502595145648101</v>
      </c>
      <c r="P212" s="1">
        <f>I212-'Passo 2'!I212</f>
        <v>9.500329729448298E-2</v>
      </c>
      <c r="Q212" s="1">
        <f>J212-'Passo 2'!J212</f>
        <v>4.9645974697603013E-2</v>
      </c>
      <c r="R212" s="8">
        <f t="shared" si="13"/>
        <v>222.87499999999991</v>
      </c>
      <c r="S212" s="8">
        <f t="shared" si="12"/>
        <v>229.52149999999989</v>
      </c>
      <c r="T212" s="1">
        <f t="shared" si="14"/>
        <v>158.51321839689257</v>
      </c>
      <c r="U212" s="1">
        <f t="shared" si="15"/>
        <v>178.63728160310723</v>
      </c>
    </row>
    <row r="213" spans="1:21" x14ac:dyDescent="0.3">
      <c r="A213" t="s">
        <v>57</v>
      </c>
      <c r="B213" t="s">
        <v>160</v>
      </c>
      <c r="C213" t="s">
        <v>580</v>
      </c>
      <c r="D213" t="s">
        <v>581</v>
      </c>
      <c r="E213" s="2">
        <v>536.93200000000002</v>
      </c>
      <c r="F213" s="2">
        <v>0</v>
      </c>
      <c r="G213" s="2">
        <v>86.902499999999904</v>
      </c>
      <c r="H213" s="2">
        <v>-88.982999999999905</v>
      </c>
      <c r="I213" s="1">
        <v>0.98555031177132202</v>
      </c>
      <c r="J213" s="1">
        <v>0.99717468878740601</v>
      </c>
      <c r="K213" s="1">
        <v>0.78805284665445596</v>
      </c>
      <c r="L213" s="1">
        <v>0.69467215390427295</v>
      </c>
      <c r="P213" s="1">
        <f>I213-'Passo 2'!I213</f>
        <v>1.1226747521100977E-2</v>
      </c>
      <c r="Q213" s="1">
        <f>J213-'Passo 2'!J213</f>
        <v>4.6355963138720035E-3</v>
      </c>
      <c r="R213" s="8">
        <f t="shared" si="13"/>
        <v>529.17349999999954</v>
      </c>
      <c r="S213" s="8">
        <f t="shared" si="12"/>
        <v>535.41499999999951</v>
      </c>
      <c r="T213" s="1">
        <f t="shared" si="14"/>
        <v>423.13079105987038</v>
      </c>
      <c r="U213" s="1">
        <f t="shared" si="15"/>
        <v>372.99170894012912</v>
      </c>
    </row>
    <row r="214" spans="1:21" x14ac:dyDescent="0.3">
      <c r="A214" t="s">
        <v>57</v>
      </c>
      <c r="B214" t="s">
        <v>652</v>
      </c>
      <c r="C214" t="s">
        <v>580</v>
      </c>
      <c r="D214" t="s">
        <v>581</v>
      </c>
      <c r="E214" s="2">
        <v>90.959000000000003</v>
      </c>
      <c r="F214" s="2">
        <v>0</v>
      </c>
      <c r="G214" s="2">
        <v>13.672666666666601</v>
      </c>
      <c r="H214" s="2">
        <v>-12.8035</v>
      </c>
      <c r="I214" s="1">
        <v>0.95095042821491005</v>
      </c>
      <c r="J214" s="1">
        <v>0.92228366626721903</v>
      </c>
      <c r="K214" s="1">
        <v>0.80036608655893204</v>
      </c>
      <c r="L214" s="1">
        <v>0.57286800792319703</v>
      </c>
      <c r="P214" s="1">
        <f>I214-'Passo 2'!I214</f>
        <v>1.3852395035131027E-3</v>
      </c>
      <c r="Q214" s="1">
        <f>J214-'Passo 2'!J214</f>
        <v>5.0407326377820416E-3</v>
      </c>
      <c r="R214" s="8">
        <f t="shared" si="13"/>
        <v>86.497500000000002</v>
      </c>
      <c r="S214" s="8">
        <f t="shared" si="12"/>
        <v>83.889999999999972</v>
      </c>
      <c r="T214" s="1">
        <f t="shared" si="14"/>
        <v>72.800498867313905</v>
      </c>
      <c r="U214" s="1">
        <f t="shared" si="15"/>
        <v>52.107501132686082</v>
      </c>
    </row>
    <row r="215" spans="1:21" x14ac:dyDescent="0.3">
      <c r="A215" t="s">
        <v>57</v>
      </c>
      <c r="B215" t="s">
        <v>653</v>
      </c>
      <c r="C215" t="s">
        <v>580</v>
      </c>
      <c r="D215" t="s">
        <v>581</v>
      </c>
      <c r="E215" s="2">
        <v>510.298</v>
      </c>
      <c r="F215" s="2">
        <v>0</v>
      </c>
      <c r="G215" s="2">
        <v>82.336666666666602</v>
      </c>
      <c r="H215" s="2">
        <v>-84.260833333333295</v>
      </c>
      <c r="I215" s="1">
        <v>0.98405049598469896</v>
      </c>
      <c r="J215" s="1">
        <v>0.99536251366848305</v>
      </c>
      <c r="K215" s="1">
        <v>0.73013966285413801</v>
      </c>
      <c r="L215" s="1">
        <v>0.749273346799044</v>
      </c>
      <c r="P215" s="1">
        <f>I215-'Passo 2'!I215</f>
        <v>7.8465915994183955E-2</v>
      </c>
      <c r="Q215" s="1">
        <f>J215-'Passo 2'!J215</f>
        <v>6.2702577709495055E-2</v>
      </c>
      <c r="R215" s="8">
        <f t="shared" si="13"/>
        <v>502.15899999999993</v>
      </c>
      <c r="S215" s="8">
        <f t="shared" si="12"/>
        <v>507.93149999999957</v>
      </c>
      <c r="T215" s="1">
        <f t="shared" si="14"/>
        <v>372.58880967514091</v>
      </c>
      <c r="U215" s="1">
        <f t="shared" si="15"/>
        <v>382.35269032485854</v>
      </c>
    </row>
    <row r="216" spans="1:21" x14ac:dyDescent="0.3">
      <c r="A216" t="s">
        <v>57</v>
      </c>
      <c r="B216" t="s">
        <v>161</v>
      </c>
      <c r="C216" t="s">
        <v>580</v>
      </c>
      <c r="D216" t="s">
        <v>581</v>
      </c>
      <c r="E216" s="2">
        <v>82.251000000000005</v>
      </c>
      <c r="F216" s="2">
        <v>0</v>
      </c>
      <c r="G216" s="2">
        <v>13.708500000000001</v>
      </c>
      <c r="H216" s="2">
        <v>-10.982666666666599</v>
      </c>
      <c r="I216" s="1">
        <v>1</v>
      </c>
      <c r="J216" s="1">
        <v>0.90057871636818998</v>
      </c>
      <c r="K216" s="1">
        <v>0.88563103855004699</v>
      </c>
      <c r="L216" s="1">
        <v>0.51494767781814199</v>
      </c>
      <c r="P216" s="1">
        <f>I216-'Passo 2'!I216</f>
        <v>3.2297479665901019E-2</v>
      </c>
      <c r="Q216" s="1">
        <f>J216-'Passo 2'!J216</f>
        <v>-5.9519033203243032E-2</v>
      </c>
      <c r="R216" s="8">
        <f t="shared" si="13"/>
        <v>82.251000000000005</v>
      </c>
      <c r="S216" s="8">
        <f t="shared" si="12"/>
        <v>74.073499999999996</v>
      </c>
      <c r="T216" s="1">
        <f t="shared" si="14"/>
        <v>72.844038551779917</v>
      </c>
      <c r="U216" s="1">
        <f t="shared" si="15"/>
        <v>42.354961448220003</v>
      </c>
    </row>
    <row r="217" spans="1:21" x14ac:dyDescent="0.3">
      <c r="A217" t="s">
        <v>57</v>
      </c>
      <c r="B217" t="s">
        <v>162</v>
      </c>
      <c r="C217" t="s">
        <v>580</v>
      </c>
      <c r="D217" t="s">
        <v>581</v>
      </c>
      <c r="E217" s="2">
        <v>241.01400000000001</v>
      </c>
      <c r="F217" s="2">
        <v>0</v>
      </c>
      <c r="G217" s="2">
        <v>35.684999999999903</v>
      </c>
      <c r="H217" s="2">
        <v>-37.898333333333298</v>
      </c>
      <c r="I217" s="1">
        <v>0.944185814931912</v>
      </c>
      <c r="J217" s="1">
        <v>0.97173608172139303</v>
      </c>
      <c r="K217" s="1">
        <v>0.74735929529318901</v>
      </c>
      <c r="L217" s="1">
        <v>0.66856260136011603</v>
      </c>
      <c r="P217" s="1">
        <f>I217-'Passo 2'!I217</f>
        <v>4.3238152140539055E-2</v>
      </c>
      <c r="Q217" s="1">
        <f>J217-'Passo 2'!J217</f>
        <v>1.2144522724821027E-2</v>
      </c>
      <c r="R217" s="8">
        <f t="shared" si="13"/>
        <v>227.56199999999984</v>
      </c>
      <c r="S217" s="8">
        <f t="shared" si="12"/>
        <v>234.20199999999983</v>
      </c>
      <c r="T217" s="1">
        <f t="shared" si="14"/>
        <v>180.12405319579267</v>
      </c>
      <c r="U217" s="1">
        <f t="shared" si="15"/>
        <v>161.13294680420702</v>
      </c>
    </row>
    <row r="218" spans="1:21" x14ac:dyDescent="0.3">
      <c r="A218" t="s">
        <v>57</v>
      </c>
      <c r="B218" t="s">
        <v>163</v>
      </c>
      <c r="C218" t="s">
        <v>580</v>
      </c>
      <c r="D218" t="s">
        <v>581</v>
      </c>
      <c r="E218" s="2">
        <v>224.31100000000001</v>
      </c>
      <c r="F218" s="2">
        <v>0</v>
      </c>
      <c r="G218" s="2">
        <v>34.250499999999903</v>
      </c>
      <c r="H218" s="2">
        <v>-34.060499999999998</v>
      </c>
      <c r="I218" s="1">
        <v>0.95807606403609202</v>
      </c>
      <c r="J218" s="1">
        <v>0.95553494924457505</v>
      </c>
      <c r="K218" s="1">
        <v>0.77822299790690197</v>
      </c>
      <c r="L218" s="1">
        <v>0.63538801537376599</v>
      </c>
      <c r="P218" s="1">
        <f>I218-'Passo 2'!I218</f>
        <v>9.7732612310586053E-2</v>
      </c>
      <c r="Q218" s="1">
        <f>J218-'Passo 2'!J218</f>
        <v>2.3431753235463093E-2</v>
      </c>
      <c r="R218" s="8">
        <f t="shared" si="13"/>
        <v>214.90699999999984</v>
      </c>
      <c r="S218" s="8">
        <f t="shared" si="12"/>
        <v>214.33699999999988</v>
      </c>
      <c r="T218" s="1">
        <f t="shared" si="14"/>
        <v>174.56397888349508</v>
      </c>
      <c r="U218" s="1">
        <f t="shared" si="15"/>
        <v>142.52452111650481</v>
      </c>
    </row>
    <row r="219" spans="1:21" x14ac:dyDescent="0.3">
      <c r="A219" t="s">
        <v>57</v>
      </c>
      <c r="B219" t="s">
        <v>164</v>
      </c>
      <c r="C219" t="s">
        <v>580</v>
      </c>
      <c r="D219" t="s">
        <v>581</v>
      </c>
      <c r="E219" s="2">
        <v>67.177000000000007</v>
      </c>
      <c r="F219" s="2">
        <v>0</v>
      </c>
      <c r="G219" s="2">
        <v>11.066666666666601</v>
      </c>
      <c r="H219" s="2">
        <v>-10.005333333333301</v>
      </c>
      <c r="I219" s="1">
        <v>0.99421677062089697</v>
      </c>
      <c r="J219" s="1">
        <v>0.94681959599267596</v>
      </c>
      <c r="K219" s="1">
        <v>0.87735022324012502</v>
      </c>
      <c r="L219" s="1">
        <v>0.56368614337344702</v>
      </c>
      <c r="P219" s="1">
        <f>I219-'Passo 2'!I219</f>
        <v>0.13670601545171801</v>
      </c>
      <c r="Q219" s="1">
        <f>J219-'Passo 2'!J219</f>
        <v>1.7922800958661944E-2</v>
      </c>
      <c r="R219" s="8">
        <f t="shared" si="13"/>
        <v>66.788499999999999</v>
      </c>
      <c r="S219" s="8">
        <f t="shared" si="12"/>
        <v>63.604500000000002</v>
      </c>
      <c r="T219" s="1">
        <f t="shared" si="14"/>
        <v>58.937755946601882</v>
      </c>
      <c r="U219" s="1">
        <f t="shared" si="15"/>
        <v>37.866744053398051</v>
      </c>
    </row>
    <row r="220" spans="1:21" x14ac:dyDescent="0.3">
      <c r="A220" t="s">
        <v>57</v>
      </c>
      <c r="B220" t="s">
        <v>165</v>
      </c>
      <c r="C220" t="s">
        <v>580</v>
      </c>
      <c r="D220" t="s">
        <v>581</v>
      </c>
      <c r="E220" s="2">
        <v>103.54300000000001</v>
      </c>
      <c r="F220" s="2">
        <v>0</v>
      </c>
      <c r="G220" s="2">
        <v>10.5338333333333</v>
      </c>
      <c r="H220" s="2">
        <v>-14.759</v>
      </c>
      <c r="I220" s="1">
        <v>0.80520170364003296</v>
      </c>
      <c r="J220" s="1">
        <v>0.92761944312990696</v>
      </c>
      <c r="K220" s="1">
        <v>0.71002907442390495</v>
      </c>
      <c r="L220" s="1">
        <v>0.52279207234603498</v>
      </c>
      <c r="P220" s="1">
        <f>I220-'Passo 2'!I220</f>
        <v>-2.2343374250312076E-2</v>
      </c>
      <c r="Q220" s="1">
        <f>J220-'Passo 2'!J220</f>
        <v>1.5476661869948005E-2</v>
      </c>
      <c r="R220" s="8">
        <f t="shared" si="13"/>
        <v>83.372999999999934</v>
      </c>
      <c r="S220" s="8">
        <f t="shared" si="12"/>
        <v>96.048499999999962</v>
      </c>
      <c r="T220" s="1">
        <f t="shared" si="14"/>
        <v>73.518540453074394</v>
      </c>
      <c r="U220" s="1">
        <f t="shared" si="15"/>
        <v>54.131459546925505</v>
      </c>
    </row>
    <row r="221" spans="1:21" x14ac:dyDescent="0.3">
      <c r="A221" t="s">
        <v>57</v>
      </c>
      <c r="B221" t="s">
        <v>166</v>
      </c>
      <c r="C221" t="s">
        <v>580</v>
      </c>
      <c r="D221" t="s">
        <v>581</v>
      </c>
      <c r="E221" s="2">
        <v>0</v>
      </c>
      <c r="F221" s="2">
        <v>0</v>
      </c>
      <c r="G221" s="2">
        <v>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P221" s="1">
        <f>I221-'Passo 2'!I221</f>
        <v>0</v>
      </c>
      <c r="Q221" s="1">
        <f>J221-'Passo 2'!J221</f>
        <v>0</v>
      </c>
      <c r="R221" s="8">
        <f t="shared" si="13"/>
        <v>0</v>
      </c>
      <c r="S221" s="8">
        <f t="shared" si="12"/>
        <v>0</v>
      </c>
      <c r="T221" s="1">
        <f t="shared" si="14"/>
        <v>0</v>
      </c>
      <c r="U221" s="1">
        <f t="shared" si="15"/>
        <v>0</v>
      </c>
    </row>
    <row r="222" spans="1:21" x14ac:dyDescent="0.3">
      <c r="A222" t="s">
        <v>57</v>
      </c>
      <c r="B222" t="s">
        <v>654</v>
      </c>
      <c r="C222" t="s">
        <v>580</v>
      </c>
      <c r="D222" t="s">
        <v>581</v>
      </c>
      <c r="E222" s="2">
        <v>103.39700000000001</v>
      </c>
      <c r="F222" s="2">
        <v>0</v>
      </c>
      <c r="G222" s="2">
        <v>16.203333333333301</v>
      </c>
      <c r="H222" s="2">
        <v>-16.9738333333333</v>
      </c>
      <c r="I222" s="1">
        <v>0.97012969428513396</v>
      </c>
      <c r="J222" s="1">
        <v>0.99248527520140795</v>
      </c>
      <c r="K222" s="1">
        <v>0.77671184474967203</v>
      </c>
      <c r="L222" s="1">
        <v>0.68590312473686899</v>
      </c>
      <c r="P222" s="1">
        <f>I222-'Passo 2'!I222</f>
        <v>-2.2423281139684059E-2</v>
      </c>
      <c r="Q222" s="1">
        <f>J222-'Passo 2'!J222</f>
        <v>2.2046094180682929E-2</v>
      </c>
      <c r="R222" s="8">
        <f t="shared" si="13"/>
        <v>100.3085</v>
      </c>
      <c r="S222" s="8">
        <f t="shared" si="12"/>
        <v>102.61999999999998</v>
      </c>
      <c r="T222" s="1">
        <f t="shared" si="14"/>
        <v>80.309674611581841</v>
      </c>
      <c r="U222" s="1">
        <f t="shared" si="15"/>
        <v>70.92032538841805</v>
      </c>
    </row>
    <row r="223" spans="1:21" x14ac:dyDescent="0.3">
      <c r="A223" t="s">
        <v>57</v>
      </c>
      <c r="B223" t="s">
        <v>167</v>
      </c>
      <c r="C223" t="s">
        <v>580</v>
      </c>
      <c r="D223" t="s">
        <v>581</v>
      </c>
      <c r="E223" s="2">
        <v>96.573999999999998</v>
      </c>
      <c r="F223" s="2">
        <v>0</v>
      </c>
      <c r="G223" s="2">
        <v>16.014333333333301</v>
      </c>
      <c r="H223" s="2">
        <v>-14.7935</v>
      </c>
      <c r="I223" s="1">
        <v>0.99747344005632899</v>
      </c>
      <c r="J223" s="1">
        <v>0.95954915401660801</v>
      </c>
      <c r="K223" s="1">
        <v>0.837901764031177</v>
      </c>
      <c r="L223" s="1">
        <v>0.61912083004176099</v>
      </c>
      <c r="P223" s="1">
        <f>I223-'Passo 2'!I223</f>
        <v>3.4175865139684958E-2</v>
      </c>
      <c r="Q223" s="1">
        <f>J223-'Passo 2'!J223</f>
        <v>-2.7491871518220412E-3</v>
      </c>
      <c r="R223" s="8">
        <f t="shared" si="13"/>
        <v>96.329999999999913</v>
      </c>
      <c r="S223" s="8">
        <f t="shared" si="12"/>
        <v>92.667499999999905</v>
      </c>
      <c r="T223" s="1">
        <f t="shared" si="14"/>
        <v>80.919524959546891</v>
      </c>
      <c r="U223" s="1">
        <f t="shared" si="15"/>
        <v>59.790975040453027</v>
      </c>
    </row>
    <row r="224" spans="1:21" x14ac:dyDescent="0.3">
      <c r="A224" t="s">
        <v>57</v>
      </c>
      <c r="B224" t="s">
        <v>168</v>
      </c>
      <c r="C224" t="s">
        <v>580</v>
      </c>
      <c r="D224" t="s">
        <v>581</v>
      </c>
      <c r="E224" s="2">
        <v>0</v>
      </c>
      <c r="F224" s="2">
        <v>0</v>
      </c>
      <c r="G224" s="2">
        <v>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P224" s="1">
        <f>I224-'Passo 2'!I224</f>
        <v>0</v>
      </c>
      <c r="Q224" s="1">
        <f>J224-'Passo 2'!J224</f>
        <v>0</v>
      </c>
      <c r="R224" s="8">
        <f t="shared" si="13"/>
        <v>0</v>
      </c>
      <c r="S224" s="8">
        <f t="shared" si="12"/>
        <v>0</v>
      </c>
      <c r="T224" s="1">
        <f t="shared" si="14"/>
        <v>0</v>
      </c>
      <c r="U224" s="1">
        <f t="shared" si="15"/>
        <v>0</v>
      </c>
    </row>
    <row r="225" spans="1:21" x14ac:dyDescent="0.3">
      <c r="A225" t="s">
        <v>57</v>
      </c>
      <c r="B225" t="s">
        <v>169</v>
      </c>
      <c r="C225" t="s">
        <v>580</v>
      </c>
      <c r="D225" t="s">
        <v>581</v>
      </c>
      <c r="E225" s="2">
        <v>88.206000000000003</v>
      </c>
      <c r="F225" s="2">
        <v>0</v>
      </c>
      <c r="G225" s="2">
        <v>14.5081666666666</v>
      </c>
      <c r="H225" s="2">
        <v>-14.4575</v>
      </c>
      <c r="I225" s="1">
        <v>0.99344148924109399</v>
      </c>
      <c r="J225" s="1">
        <v>0.99171825045915196</v>
      </c>
      <c r="K225" s="1">
        <v>0.83045294767760502</v>
      </c>
      <c r="L225" s="1">
        <v>0.65470679202264104</v>
      </c>
      <c r="P225" s="1">
        <f>I225-'Passo 2'!I225</f>
        <v>1.1790581139604961E-2</v>
      </c>
      <c r="Q225" s="1">
        <f>J225-'Passo 2'!J225</f>
        <v>4.2514114686098559E-4</v>
      </c>
      <c r="R225" s="8">
        <f t="shared" si="13"/>
        <v>87.627499999999941</v>
      </c>
      <c r="S225" s="8">
        <f t="shared" si="12"/>
        <v>87.475499999999954</v>
      </c>
      <c r="T225" s="1">
        <f t="shared" si="14"/>
        <v>73.250932702850832</v>
      </c>
      <c r="U225" s="1">
        <f t="shared" si="15"/>
        <v>57.749067297149075</v>
      </c>
    </row>
    <row r="226" spans="1:21" x14ac:dyDescent="0.3">
      <c r="A226" t="s">
        <v>57</v>
      </c>
      <c r="B226" t="s">
        <v>655</v>
      </c>
      <c r="C226" t="s">
        <v>580</v>
      </c>
      <c r="D226" t="s">
        <v>581</v>
      </c>
      <c r="E226" s="2">
        <v>141.893</v>
      </c>
      <c r="F226" s="2">
        <v>0</v>
      </c>
      <c r="G226" s="2">
        <v>20.2908333333333</v>
      </c>
      <c r="H226" s="2">
        <v>-19.681999999999999</v>
      </c>
      <c r="I226" s="1">
        <v>0.92900284016829504</v>
      </c>
      <c r="J226" s="1">
        <v>0.91613046450494395</v>
      </c>
      <c r="K226" s="1">
        <v>0.75924415685669699</v>
      </c>
      <c r="L226" s="1">
        <v>0.585889147816542</v>
      </c>
      <c r="P226" s="1">
        <f>I226-'Passo 2'!I226</f>
        <v>2.2037732657706033E-2</v>
      </c>
      <c r="Q226" s="1">
        <f>J226-'Passo 2'!J226</f>
        <v>1.58253049833329E-2</v>
      </c>
      <c r="R226" s="8">
        <f t="shared" si="13"/>
        <v>131.81899999999987</v>
      </c>
      <c r="S226" s="8">
        <f t="shared" si="12"/>
        <v>129.99250000000001</v>
      </c>
      <c r="T226" s="1">
        <f t="shared" si="14"/>
        <v>107.7314311488673</v>
      </c>
      <c r="U226" s="1">
        <f t="shared" si="15"/>
        <v>83.133568851132594</v>
      </c>
    </row>
    <row r="227" spans="1:21" x14ac:dyDescent="0.3">
      <c r="A227" t="s">
        <v>57</v>
      </c>
      <c r="B227" t="s">
        <v>656</v>
      </c>
      <c r="C227" t="s">
        <v>580</v>
      </c>
      <c r="D227" t="s">
        <v>581</v>
      </c>
      <c r="E227" s="2">
        <v>62.942</v>
      </c>
      <c r="F227" s="2">
        <v>0</v>
      </c>
      <c r="G227" s="2">
        <v>8.3955000000000002</v>
      </c>
      <c r="H227" s="2">
        <v>-8.4678333333333295</v>
      </c>
      <c r="I227" s="1">
        <v>0.90015411013313795</v>
      </c>
      <c r="J227" s="1">
        <v>0.90360172857551302</v>
      </c>
      <c r="K227" s="1">
        <v>0.72716847168796395</v>
      </c>
      <c r="L227" s="1">
        <v>0.57658736702068802</v>
      </c>
      <c r="P227" s="1">
        <f>I227-'Passo 2'!I227</f>
        <v>-9.7947316577170485E-3</v>
      </c>
      <c r="Q227" s="1">
        <f>J227-'Passo 2'!J227</f>
        <v>6.2581424168281052E-2</v>
      </c>
      <c r="R227" s="8">
        <f t="shared" si="13"/>
        <v>56.65749999999997</v>
      </c>
      <c r="S227" s="8">
        <f t="shared" si="12"/>
        <v>56.874499999999941</v>
      </c>
      <c r="T227" s="1">
        <f t="shared" si="14"/>
        <v>45.769437944983828</v>
      </c>
      <c r="U227" s="1">
        <f t="shared" si="15"/>
        <v>36.291562055016144</v>
      </c>
    </row>
    <row r="228" spans="1:21" x14ac:dyDescent="0.3">
      <c r="A228" t="s">
        <v>57</v>
      </c>
      <c r="B228" t="s">
        <v>657</v>
      </c>
      <c r="C228" t="s">
        <v>580</v>
      </c>
      <c r="D228" t="s">
        <v>581</v>
      </c>
      <c r="E228" s="2">
        <v>121.328</v>
      </c>
      <c r="F228" s="2">
        <v>0</v>
      </c>
      <c r="G228" s="2">
        <v>18.489999999999998</v>
      </c>
      <c r="H228" s="2">
        <v>-17.733999999999899</v>
      </c>
      <c r="I228" s="1">
        <v>0.95719042595278903</v>
      </c>
      <c r="J228" s="1">
        <v>0.93849729658446501</v>
      </c>
      <c r="K228" s="1">
        <v>0.808564867902547</v>
      </c>
      <c r="L228" s="1">
        <v>0.58712285463470704</v>
      </c>
      <c r="P228" s="1">
        <f>I228-'Passo 2'!I228</f>
        <v>4.0217427139655038E-2</v>
      </c>
      <c r="Q228" s="1">
        <f>J228-'Passo 2'!J228</f>
        <v>4.9551628643017986E-2</v>
      </c>
      <c r="R228" s="8">
        <f t="shared" si="13"/>
        <v>116.13399999999999</v>
      </c>
      <c r="S228" s="8">
        <f t="shared" si="12"/>
        <v>113.86599999999997</v>
      </c>
      <c r="T228" s="1">
        <f t="shared" si="14"/>
        <v>98.101558292880227</v>
      </c>
      <c r="U228" s="1">
        <f t="shared" si="15"/>
        <v>71.234441707119743</v>
      </c>
    </row>
    <row r="229" spans="1:21" x14ac:dyDescent="0.3">
      <c r="A229" t="s">
        <v>57</v>
      </c>
      <c r="B229" t="s">
        <v>658</v>
      </c>
      <c r="C229" t="s">
        <v>34</v>
      </c>
      <c r="D229" t="s">
        <v>35</v>
      </c>
      <c r="E229" s="2">
        <v>220.27</v>
      </c>
      <c r="F229" s="2">
        <v>0</v>
      </c>
      <c r="G229" s="2">
        <v>36.711666666666602</v>
      </c>
      <c r="H229" s="2">
        <v>-36.360833333333296</v>
      </c>
      <c r="I229" s="1">
        <v>0.999999999999999</v>
      </c>
      <c r="J229" s="1">
        <v>0.99522177327824901</v>
      </c>
      <c r="K229" s="1">
        <v>0.90543560687996905</v>
      </c>
      <c r="L229" s="1">
        <v>0.58978616639827897</v>
      </c>
      <c r="P229" s="1">
        <f>I229-'Passo 2'!I229</f>
        <v>1.1106823443954972E-2</v>
      </c>
      <c r="Q229" s="1">
        <f>J229-'Passo 2'!J229</f>
        <v>3.1150406319517043E-2</v>
      </c>
      <c r="R229" s="8">
        <f t="shared" si="13"/>
        <v>220.26999999999978</v>
      </c>
      <c r="S229" s="8">
        <f t="shared" si="12"/>
        <v>219.21749999999992</v>
      </c>
      <c r="T229" s="1">
        <f t="shared" si="14"/>
        <v>199.44030112745079</v>
      </c>
      <c r="U229" s="1">
        <f t="shared" si="15"/>
        <v>129.91219887254891</v>
      </c>
    </row>
    <row r="230" spans="1:21" x14ac:dyDescent="0.3">
      <c r="A230" t="s">
        <v>57</v>
      </c>
      <c r="B230" t="s">
        <v>170</v>
      </c>
      <c r="C230" t="s">
        <v>34</v>
      </c>
      <c r="D230" t="s">
        <v>35</v>
      </c>
      <c r="E230" s="2">
        <v>262.267</v>
      </c>
      <c r="F230" s="2">
        <v>0</v>
      </c>
      <c r="G230" s="2">
        <v>43.709000000000003</v>
      </c>
      <c r="H230" s="2">
        <v>-43.710499999999897</v>
      </c>
      <c r="I230" s="1">
        <v>0.99997521609657303</v>
      </c>
      <c r="J230" s="1">
        <v>0.99999237418356102</v>
      </c>
      <c r="K230" s="1">
        <v>0.89983925414431298</v>
      </c>
      <c r="L230" s="1">
        <v>0.60012833613581995</v>
      </c>
      <c r="P230" s="1">
        <f>I230-'Passo 2'!I230</f>
        <v>0.13969351843731803</v>
      </c>
      <c r="Q230" s="1">
        <f>J230-'Passo 2'!J230</f>
        <v>0.10749541497786697</v>
      </c>
      <c r="R230" s="8">
        <f t="shared" si="13"/>
        <v>262.26049999999992</v>
      </c>
      <c r="S230" s="8">
        <f t="shared" si="12"/>
        <v>262.26499999999999</v>
      </c>
      <c r="T230" s="1">
        <f t="shared" si="14"/>
        <v>235.99814166666653</v>
      </c>
      <c r="U230" s="1">
        <f t="shared" si="15"/>
        <v>157.3938583333331</v>
      </c>
    </row>
    <row r="231" spans="1:21" x14ac:dyDescent="0.3">
      <c r="A231" t="s">
        <v>57</v>
      </c>
      <c r="B231" t="s">
        <v>171</v>
      </c>
      <c r="C231" t="s">
        <v>580</v>
      </c>
      <c r="D231" t="s">
        <v>581</v>
      </c>
      <c r="E231" s="2">
        <v>492.46</v>
      </c>
      <c r="F231" s="2">
        <v>0</v>
      </c>
      <c r="G231" s="2">
        <v>75.849333333333306</v>
      </c>
      <c r="H231" s="2">
        <v>-76.864000000000004</v>
      </c>
      <c r="I231" s="1">
        <v>0.96206392397352003</v>
      </c>
      <c r="J231" s="1">
        <v>0.968245136660845</v>
      </c>
      <c r="K231" s="1">
        <v>0.71792337823307495</v>
      </c>
      <c r="L231" s="1">
        <v>0.71238568240129096</v>
      </c>
      <c r="P231" s="1">
        <f>I231-'Passo 2'!I231</f>
        <v>9.5357998619177042E-2</v>
      </c>
      <c r="Q231" s="1">
        <f>J231-'Passo 2'!J231</f>
        <v>3.6917719205621036E-2</v>
      </c>
      <c r="R231" s="8">
        <f t="shared" si="13"/>
        <v>473.77799999999968</v>
      </c>
      <c r="S231" s="8">
        <f t="shared" si="12"/>
        <v>476.82199999999972</v>
      </c>
      <c r="T231" s="1">
        <f t="shared" si="14"/>
        <v>353.54854684466005</v>
      </c>
      <c r="U231" s="1">
        <f t="shared" si="15"/>
        <v>350.82145315533973</v>
      </c>
    </row>
    <row r="232" spans="1:21" x14ac:dyDescent="0.3">
      <c r="A232" t="s">
        <v>57</v>
      </c>
      <c r="B232" t="s">
        <v>659</v>
      </c>
      <c r="C232" t="s">
        <v>580</v>
      </c>
      <c r="D232" t="s">
        <v>581</v>
      </c>
      <c r="E232" s="2">
        <v>518.95600000000002</v>
      </c>
      <c r="F232" s="2">
        <v>0</v>
      </c>
      <c r="G232" s="2">
        <v>66.852166666666605</v>
      </c>
      <c r="H232" s="2">
        <v>-72.755333333333297</v>
      </c>
      <c r="I232" s="1">
        <v>0.88646147264893305</v>
      </c>
      <c r="J232" s="1">
        <v>0.92058671640755596</v>
      </c>
      <c r="K232" s="1">
        <v>0.64708710986615803</v>
      </c>
      <c r="L232" s="1">
        <v>0.65996107919033098</v>
      </c>
      <c r="P232" s="1">
        <f>I232-'Passo 2'!I232</f>
        <v>7.114283291839707E-2</v>
      </c>
      <c r="Q232" s="1">
        <f>J232-'Passo 2'!J232</f>
        <v>7.3750953838089939E-2</v>
      </c>
      <c r="R232" s="8">
        <f t="shared" si="13"/>
        <v>460.0344999999997</v>
      </c>
      <c r="S232" s="8">
        <f t="shared" si="12"/>
        <v>477.74399999999963</v>
      </c>
      <c r="T232" s="1">
        <f t="shared" si="14"/>
        <v>335.8097381877019</v>
      </c>
      <c r="U232" s="1">
        <f t="shared" si="15"/>
        <v>342.49076181229742</v>
      </c>
    </row>
    <row r="233" spans="1:21" x14ac:dyDescent="0.3">
      <c r="A233" t="s">
        <v>57</v>
      </c>
      <c r="B233" t="s">
        <v>172</v>
      </c>
      <c r="C233" t="s">
        <v>580</v>
      </c>
      <c r="D233" t="s">
        <v>581</v>
      </c>
      <c r="E233" s="2">
        <v>170.59299999999999</v>
      </c>
      <c r="F233" s="2">
        <v>0</v>
      </c>
      <c r="G233" s="2">
        <v>24.095833333333299</v>
      </c>
      <c r="H233" s="2">
        <v>-25.137999999999899</v>
      </c>
      <c r="I233" s="1">
        <v>0.92374247477915195</v>
      </c>
      <c r="J233" s="1">
        <v>0.94206972150088197</v>
      </c>
      <c r="K233" s="1">
        <v>0.80863660559301198</v>
      </c>
      <c r="L233" s="1">
        <v>0.55717559068702205</v>
      </c>
      <c r="P233" s="1">
        <f>I233-'Passo 2'!I233</f>
        <v>0.10786491825573097</v>
      </c>
      <c r="Q233" s="1">
        <f>J233-'Passo 2'!J233</f>
        <v>0.12510478155610194</v>
      </c>
      <c r="R233" s="8">
        <f t="shared" si="13"/>
        <v>157.58399999999986</v>
      </c>
      <c r="S233" s="8">
        <f t="shared" si="12"/>
        <v>160.71049999999994</v>
      </c>
      <c r="T233" s="1">
        <f t="shared" si="14"/>
        <v>137.94774445792868</v>
      </c>
      <c r="U233" s="1">
        <f t="shared" si="15"/>
        <v>95.050255542071142</v>
      </c>
    </row>
    <row r="234" spans="1:21" x14ac:dyDescent="0.3">
      <c r="A234" t="s">
        <v>57</v>
      </c>
      <c r="B234" t="s">
        <v>660</v>
      </c>
      <c r="C234" t="s">
        <v>580</v>
      </c>
      <c r="D234" t="s">
        <v>581</v>
      </c>
      <c r="E234" s="2">
        <v>486.43</v>
      </c>
      <c r="F234" s="2">
        <v>0</v>
      </c>
      <c r="G234" s="2">
        <v>77.089500000000001</v>
      </c>
      <c r="H234" s="2">
        <v>-77.089500000000001</v>
      </c>
      <c r="I234" s="1">
        <v>0.97544045391937095</v>
      </c>
      <c r="J234" s="1">
        <v>0.97544045391937095</v>
      </c>
      <c r="K234" s="1">
        <v>0.80734799389076495</v>
      </c>
      <c r="L234" s="1">
        <v>0.64353291394797796</v>
      </c>
      <c r="P234" s="1">
        <f>I234-'Passo 2'!I234</f>
        <v>1.5387620006989122E-3</v>
      </c>
      <c r="Q234" s="1">
        <f>J234-'Passo 2'!J234</f>
        <v>3.6875809468987941E-2</v>
      </c>
      <c r="R234" s="8">
        <f t="shared" si="13"/>
        <v>474.48349999999959</v>
      </c>
      <c r="S234" s="8">
        <f t="shared" si="12"/>
        <v>474.48349999999959</v>
      </c>
      <c r="T234" s="1">
        <f t="shared" si="14"/>
        <v>392.71828466828481</v>
      </c>
      <c r="U234" s="1">
        <f t="shared" si="15"/>
        <v>313.03371533171492</v>
      </c>
    </row>
    <row r="235" spans="1:21" x14ac:dyDescent="0.3">
      <c r="A235" t="s">
        <v>57</v>
      </c>
      <c r="B235" t="s">
        <v>173</v>
      </c>
      <c r="C235" t="s">
        <v>34</v>
      </c>
      <c r="D235" t="s">
        <v>35</v>
      </c>
      <c r="E235" s="2">
        <v>236.86199999999999</v>
      </c>
      <c r="F235" s="2">
        <v>0</v>
      </c>
      <c r="G235" s="2">
        <v>39.369333333333302</v>
      </c>
      <c r="H235" s="2">
        <v>-39.320666666666597</v>
      </c>
      <c r="I235" s="1">
        <v>0.99863633676993302</v>
      </c>
      <c r="J235" s="1">
        <v>0.99801994410247297</v>
      </c>
      <c r="K235" s="1">
        <v>0.880886533426672</v>
      </c>
      <c r="L235" s="1">
        <v>0.61576974744573398</v>
      </c>
      <c r="P235" s="1">
        <f>I235-'Passo 2'!I235</f>
        <v>6.1187526914405987E-2</v>
      </c>
      <c r="Q235" s="1">
        <f>J235-'Passo 2'!J235</f>
        <v>7.3259957274699916E-2</v>
      </c>
      <c r="R235" s="8">
        <f t="shared" si="13"/>
        <v>236.53899999999987</v>
      </c>
      <c r="S235" s="8">
        <f t="shared" si="12"/>
        <v>236.39299999999994</v>
      </c>
      <c r="T235" s="1">
        <f t="shared" si="14"/>
        <v>208.64854608050837</v>
      </c>
      <c r="U235" s="1">
        <f t="shared" si="15"/>
        <v>145.85245391949144</v>
      </c>
    </row>
    <row r="236" spans="1:21" x14ac:dyDescent="0.3">
      <c r="A236" t="s">
        <v>57</v>
      </c>
      <c r="B236" t="s">
        <v>174</v>
      </c>
      <c r="C236" t="s">
        <v>580</v>
      </c>
      <c r="D236" t="s">
        <v>581</v>
      </c>
      <c r="E236" s="2">
        <v>151.864</v>
      </c>
      <c r="F236" s="2">
        <v>0</v>
      </c>
      <c r="G236" s="2">
        <v>21.258500000000002</v>
      </c>
      <c r="H236" s="2">
        <v>-21.1413333333333</v>
      </c>
      <c r="I236" s="1">
        <v>0.91995140388768903</v>
      </c>
      <c r="J236" s="1">
        <v>0.91763683295580201</v>
      </c>
      <c r="K236" s="1">
        <v>0.671651548867092</v>
      </c>
      <c r="L236" s="1">
        <v>0.66593668797639904</v>
      </c>
      <c r="P236" s="1">
        <f>I236-'Passo 2'!I236</f>
        <v>-1.3492335247325959E-2</v>
      </c>
      <c r="Q236" s="1">
        <f>J236-'Passo 2'!J236</f>
        <v>1.1753937733761988E-2</v>
      </c>
      <c r="R236" s="8">
        <f t="shared" si="13"/>
        <v>139.70750000000001</v>
      </c>
      <c r="S236" s="8">
        <f t="shared" si="12"/>
        <v>139.35599999999991</v>
      </c>
      <c r="T236" s="1">
        <f t="shared" si="14"/>
        <v>101.99969081715206</v>
      </c>
      <c r="U236" s="1">
        <f t="shared" si="15"/>
        <v>101.13180918284787</v>
      </c>
    </row>
    <row r="237" spans="1:21" x14ac:dyDescent="0.3">
      <c r="A237" t="s">
        <v>57</v>
      </c>
      <c r="B237" t="s">
        <v>661</v>
      </c>
      <c r="C237" t="s">
        <v>580</v>
      </c>
      <c r="D237" t="s">
        <v>581</v>
      </c>
      <c r="E237" s="2">
        <v>138.91800000000001</v>
      </c>
      <c r="F237" s="2">
        <v>0</v>
      </c>
      <c r="G237" s="2">
        <v>22.1993333333333</v>
      </c>
      <c r="H237" s="2">
        <v>-22.298666666666598</v>
      </c>
      <c r="I237" s="1">
        <v>0.97940511668754204</v>
      </c>
      <c r="J237" s="1">
        <v>0.98155026706402304</v>
      </c>
      <c r="K237" s="1">
        <v>0.76076488115663699</v>
      </c>
      <c r="L237" s="1">
        <v>0.70019050259492799</v>
      </c>
      <c r="P237" s="1">
        <f>I237-'Passo 2'!I237</f>
        <v>3.1604975597115059E-2</v>
      </c>
      <c r="Q237" s="1">
        <f>J237-'Passo 2'!J237</f>
        <v>2.6922357073960734E-3</v>
      </c>
      <c r="R237" s="8">
        <f t="shared" si="13"/>
        <v>136.05699999999996</v>
      </c>
      <c r="S237" s="8">
        <f t="shared" si="12"/>
        <v>136.35499999999996</v>
      </c>
      <c r="T237" s="1">
        <f t="shared" si="14"/>
        <v>105.6839357605177</v>
      </c>
      <c r="U237" s="1">
        <f t="shared" si="15"/>
        <v>97.269064239482205</v>
      </c>
    </row>
    <row r="238" spans="1:21" x14ac:dyDescent="0.3">
      <c r="A238" t="s">
        <v>57</v>
      </c>
      <c r="B238" t="s">
        <v>175</v>
      </c>
      <c r="C238" t="s">
        <v>580</v>
      </c>
      <c r="D238" t="s">
        <v>581</v>
      </c>
      <c r="E238" s="2">
        <v>337.05200000000002</v>
      </c>
      <c r="F238" s="2">
        <v>0</v>
      </c>
      <c r="G238" s="2">
        <v>45.004166666666599</v>
      </c>
      <c r="H238" s="2">
        <v>-46.914666666666598</v>
      </c>
      <c r="I238" s="1">
        <v>0.90056875496955902</v>
      </c>
      <c r="J238" s="1">
        <v>0.917573549481978</v>
      </c>
      <c r="K238" s="1">
        <v>0.73405703484067597</v>
      </c>
      <c r="L238" s="1">
        <v>0.58408526961086105</v>
      </c>
      <c r="P238" s="1">
        <f>I238-'Passo 2'!I238</f>
        <v>4.5544901083512057E-2</v>
      </c>
      <c r="Q238" s="1">
        <f>J238-'Passo 2'!J238</f>
        <v>3.0553149068985985E-2</v>
      </c>
      <c r="R238" s="8">
        <f t="shared" si="13"/>
        <v>303.53849999999983</v>
      </c>
      <c r="S238" s="8">
        <f t="shared" si="12"/>
        <v>309.26999999999964</v>
      </c>
      <c r="T238" s="1">
        <f t="shared" si="14"/>
        <v>247.41539170711954</v>
      </c>
      <c r="U238" s="1">
        <f t="shared" si="15"/>
        <v>196.86710829287995</v>
      </c>
    </row>
    <row r="239" spans="1:21" x14ac:dyDescent="0.3">
      <c r="A239" t="s">
        <v>57</v>
      </c>
      <c r="B239" t="s">
        <v>662</v>
      </c>
      <c r="C239" t="s">
        <v>580</v>
      </c>
      <c r="D239" t="s">
        <v>581</v>
      </c>
      <c r="E239" s="2">
        <v>166.38</v>
      </c>
      <c r="F239" s="2">
        <v>0</v>
      </c>
      <c r="G239" s="2">
        <v>27.125833333333301</v>
      </c>
      <c r="H239" s="2">
        <v>-26.939833333333301</v>
      </c>
      <c r="I239" s="1">
        <v>0.989106262771967</v>
      </c>
      <c r="J239" s="1">
        <v>0.98575249429017897</v>
      </c>
      <c r="K239" s="1">
        <v>0.81466291001104396</v>
      </c>
      <c r="L239" s="1">
        <v>0.66019584705110201</v>
      </c>
      <c r="P239" s="1">
        <f>I239-'Passo 2'!I239</f>
        <v>0</v>
      </c>
      <c r="Q239" s="1">
        <f>J239-'Passo 2'!J239</f>
        <v>-3.3537684817880331E-3</v>
      </c>
      <c r="R239" s="8">
        <f t="shared" si="13"/>
        <v>164.56749999999985</v>
      </c>
      <c r="S239" s="8">
        <f t="shared" si="12"/>
        <v>164.00949999999997</v>
      </c>
      <c r="T239" s="1">
        <f t="shared" si="14"/>
        <v>135.5436149676375</v>
      </c>
      <c r="U239" s="1">
        <f t="shared" si="15"/>
        <v>109.84338503236235</v>
      </c>
    </row>
    <row r="240" spans="1:21" x14ac:dyDescent="0.3">
      <c r="A240" t="s">
        <v>57</v>
      </c>
      <c r="B240" t="s">
        <v>176</v>
      </c>
      <c r="C240" t="s">
        <v>580</v>
      </c>
      <c r="D240" t="s">
        <v>581</v>
      </c>
      <c r="E240" s="2">
        <v>113.23</v>
      </c>
      <c r="F240" s="2">
        <v>0</v>
      </c>
      <c r="G240" s="2">
        <v>17.528833333333299</v>
      </c>
      <c r="H240" s="2">
        <v>-18.225000000000001</v>
      </c>
      <c r="I240" s="1">
        <v>0.96442197297535903</v>
      </c>
      <c r="J240" s="1">
        <v>0.98286673143159897</v>
      </c>
      <c r="K240" s="1">
        <v>0.73796550438478004</v>
      </c>
      <c r="L240" s="1">
        <v>0.70932320002217797</v>
      </c>
      <c r="P240" s="1">
        <f>I240-'Passo 2'!I240</f>
        <v>6.4161441314139034E-2</v>
      </c>
      <c r="Q240" s="1">
        <f>J240-'Passo 2'!J240</f>
        <v>9.242250287025966E-3</v>
      </c>
      <c r="R240" s="8">
        <f t="shared" si="13"/>
        <v>109.20149999999991</v>
      </c>
      <c r="S240" s="8">
        <f t="shared" si="12"/>
        <v>111.28999999999995</v>
      </c>
      <c r="T240" s="1">
        <f t="shared" si="14"/>
        <v>83.559834061488644</v>
      </c>
      <c r="U240" s="1">
        <f t="shared" si="15"/>
        <v>80.316665938511221</v>
      </c>
    </row>
    <row r="241" spans="1:21" x14ac:dyDescent="0.3">
      <c r="A241" t="s">
        <v>57</v>
      </c>
      <c r="B241" t="s">
        <v>663</v>
      </c>
      <c r="C241" t="s">
        <v>580</v>
      </c>
      <c r="D241" t="s">
        <v>581</v>
      </c>
      <c r="E241" s="2">
        <v>361.27100000000002</v>
      </c>
      <c r="F241" s="2">
        <v>0</v>
      </c>
      <c r="G241" s="2">
        <v>53.842333333333301</v>
      </c>
      <c r="H241" s="2">
        <v>-58.957500000000003</v>
      </c>
      <c r="I241" s="1">
        <v>0.94710757298537596</v>
      </c>
      <c r="J241" s="1">
        <v>0.98958399650124096</v>
      </c>
      <c r="K241" s="1">
        <v>0.75560263788296</v>
      </c>
      <c r="L241" s="1">
        <v>0.68108893160365702</v>
      </c>
      <c r="P241" s="1">
        <f>I241-'Passo 2'!I241</f>
        <v>-2.6163184977482046E-2</v>
      </c>
      <c r="Q241" s="1">
        <f>J241-'Passo 2'!J241</f>
        <v>1.4970756025254994E-2</v>
      </c>
      <c r="R241" s="8">
        <f t="shared" si="13"/>
        <v>342.1624999999998</v>
      </c>
      <c r="S241" s="8">
        <f t="shared" si="12"/>
        <v>357.50799999999981</v>
      </c>
      <c r="T241" s="1">
        <f t="shared" si="14"/>
        <v>272.97732059061485</v>
      </c>
      <c r="U241" s="1">
        <f t="shared" si="15"/>
        <v>246.05767940938478</v>
      </c>
    </row>
    <row r="242" spans="1:21" x14ac:dyDescent="0.3">
      <c r="A242" t="s">
        <v>57</v>
      </c>
      <c r="B242" t="s">
        <v>177</v>
      </c>
      <c r="C242" t="s">
        <v>580</v>
      </c>
      <c r="D242" t="s">
        <v>581</v>
      </c>
      <c r="E242" s="2">
        <v>88.072999999999993</v>
      </c>
      <c r="F242" s="2">
        <v>0</v>
      </c>
      <c r="G242" s="2">
        <v>13.0973333333333</v>
      </c>
      <c r="H242" s="2">
        <v>-13.635999999999999</v>
      </c>
      <c r="I242" s="1">
        <v>0.94612991495691001</v>
      </c>
      <c r="J242" s="1">
        <v>0.96447833047585496</v>
      </c>
      <c r="K242" s="1">
        <v>0.73269831426982202</v>
      </c>
      <c r="L242" s="1">
        <v>0.67790993116294296</v>
      </c>
      <c r="P242" s="1">
        <f>I242-'Passo 2'!I242</f>
        <v>3.826371305621501E-2</v>
      </c>
      <c r="Q242" s="1">
        <f>J242-'Passo 2'!J242</f>
        <v>-8.1580052910650291E-3</v>
      </c>
      <c r="R242" s="8">
        <f t="shared" si="13"/>
        <v>83.328499999999934</v>
      </c>
      <c r="S242" s="8">
        <f t="shared" si="12"/>
        <v>84.944499999999962</v>
      </c>
      <c r="T242" s="1">
        <f t="shared" si="14"/>
        <v>64.530938632686031</v>
      </c>
      <c r="U242" s="1">
        <f t="shared" si="15"/>
        <v>59.705561367313869</v>
      </c>
    </row>
    <row r="243" spans="1:21" x14ac:dyDescent="0.3">
      <c r="A243" t="s">
        <v>57</v>
      </c>
      <c r="B243" t="s">
        <v>178</v>
      </c>
      <c r="C243" t="s">
        <v>580</v>
      </c>
      <c r="D243" t="s">
        <v>581</v>
      </c>
      <c r="E243" s="2">
        <v>101.38200000000001</v>
      </c>
      <c r="F243" s="2">
        <v>0</v>
      </c>
      <c r="G243" s="2">
        <v>13.4553333333333</v>
      </c>
      <c r="H243" s="2">
        <v>-15.0788333333333</v>
      </c>
      <c r="I243" s="1">
        <v>0.89815746384959805</v>
      </c>
      <c r="J243" s="1">
        <v>0.94619853622931005</v>
      </c>
      <c r="K243" s="1">
        <v>0.66812437749460996</v>
      </c>
      <c r="L243" s="1">
        <v>0.67623162258429903</v>
      </c>
      <c r="P243" s="1">
        <f>I243-'Passo 2'!I243</f>
        <v>8.6800418220200903E-4</v>
      </c>
      <c r="Q243" s="1">
        <f>J243-'Passo 2'!J243</f>
        <v>2.5611055216902101E-2</v>
      </c>
      <c r="R243" s="8">
        <f t="shared" si="13"/>
        <v>91.05699999999996</v>
      </c>
      <c r="S243" s="8">
        <f t="shared" si="12"/>
        <v>95.92749999999991</v>
      </c>
      <c r="T243" s="1">
        <f t="shared" si="14"/>
        <v>67.73578563915855</v>
      </c>
      <c r="U243" s="1">
        <f t="shared" si="15"/>
        <v>68.557714360841402</v>
      </c>
    </row>
    <row r="244" spans="1:21" x14ac:dyDescent="0.3">
      <c r="A244" t="s">
        <v>57</v>
      </c>
      <c r="B244" t="s">
        <v>664</v>
      </c>
      <c r="C244" t="s">
        <v>580</v>
      </c>
      <c r="D244" t="s">
        <v>581</v>
      </c>
      <c r="E244" s="2">
        <v>747.36099999999999</v>
      </c>
      <c r="F244" s="2">
        <v>0</v>
      </c>
      <c r="G244" s="2">
        <v>120.0645</v>
      </c>
      <c r="H244" s="2">
        <v>-121.147666666666</v>
      </c>
      <c r="I244" s="1">
        <v>0.98195383489371202</v>
      </c>
      <c r="J244" s="1">
        <v>0.98630180060238604</v>
      </c>
      <c r="K244" s="1">
        <v>0.79867677357413702</v>
      </c>
      <c r="L244" s="1">
        <v>0.66957886192196103</v>
      </c>
      <c r="P244" s="1">
        <f>I244-'Passo 2'!I244</f>
        <v>3.0318681333385E-2</v>
      </c>
      <c r="Q244" s="1">
        <f>J244-'Passo 2'!J244</f>
        <v>1.9131316726455072E-2</v>
      </c>
      <c r="R244" s="8">
        <f t="shared" si="13"/>
        <v>733.87399999999946</v>
      </c>
      <c r="S244" s="8">
        <f t="shared" si="12"/>
        <v>737.12349999999981</v>
      </c>
      <c r="T244" s="1">
        <f t="shared" si="14"/>
        <v>596.89987217514056</v>
      </c>
      <c r="U244" s="1">
        <f t="shared" si="15"/>
        <v>500.41712782485871</v>
      </c>
    </row>
    <row r="245" spans="1:21" x14ac:dyDescent="0.3">
      <c r="A245" t="s">
        <v>57</v>
      </c>
      <c r="B245" t="s">
        <v>179</v>
      </c>
      <c r="C245" t="s">
        <v>580</v>
      </c>
      <c r="D245" t="s">
        <v>581</v>
      </c>
      <c r="E245" s="2">
        <v>115.074</v>
      </c>
      <c r="F245" s="2">
        <v>0</v>
      </c>
      <c r="G245" s="2">
        <v>18.255500000000001</v>
      </c>
      <c r="H245" s="2">
        <v>-16.438500000000001</v>
      </c>
      <c r="I245" s="1">
        <v>0.97592418791386404</v>
      </c>
      <c r="J245" s="1">
        <v>0.92855466916940399</v>
      </c>
      <c r="K245" s="1">
        <v>0.85599826069427198</v>
      </c>
      <c r="L245" s="1">
        <v>0.54848059638899604</v>
      </c>
      <c r="P245" s="1">
        <f>I245-'Passo 2'!I245</f>
        <v>5.3200549211812054E-2</v>
      </c>
      <c r="Q245" s="1">
        <f>J245-'Passo 2'!J245</f>
        <v>0.11817613014234396</v>
      </c>
      <c r="R245" s="8">
        <f t="shared" si="13"/>
        <v>112.30349999999999</v>
      </c>
      <c r="S245" s="8">
        <f t="shared" si="12"/>
        <v>106.85249999999999</v>
      </c>
      <c r="T245" s="1">
        <f t="shared" si="14"/>
        <v>98.503143851132648</v>
      </c>
      <c r="U245" s="1">
        <f t="shared" si="15"/>
        <v>63.11585614886733</v>
      </c>
    </row>
    <row r="246" spans="1:21" x14ac:dyDescent="0.3">
      <c r="A246" t="s">
        <v>57</v>
      </c>
      <c r="B246" t="s">
        <v>180</v>
      </c>
      <c r="C246" t="s">
        <v>580</v>
      </c>
      <c r="D246" t="s">
        <v>581</v>
      </c>
      <c r="E246" s="2">
        <v>327.334</v>
      </c>
      <c r="F246" s="2">
        <v>0</v>
      </c>
      <c r="G246" s="2">
        <v>49.304166666666603</v>
      </c>
      <c r="H246" s="2">
        <v>-53.218166666666598</v>
      </c>
      <c r="I246" s="1">
        <v>0.95187026095669802</v>
      </c>
      <c r="J246" s="1">
        <v>0.98774187832611304</v>
      </c>
      <c r="K246" s="1">
        <v>0.80048838967326097</v>
      </c>
      <c r="L246" s="1">
        <v>0.63912374960954998</v>
      </c>
      <c r="P246" s="1">
        <f>I246-'Passo 2'!I246</f>
        <v>7.1786004509156065E-2</v>
      </c>
      <c r="Q246" s="1">
        <f>J246-'Passo 2'!J246</f>
        <v>0.10989845234531104</v>
      </c>
      <c r="R246" s="8">
        <f t="shared" si="13"/>
        <v>311.57949999999977</v>
      </c>
      <c r="S246" s="8">
        <f t="shared" si="12"/>
        <v>323.3214999999999</v>
      </c>
      <c r="T246" s="1">
        <f t="shared" si="14"/>
        <v>262.02706654530721</v>
      </c>
      <c r="U246" s="1">
        <f t="shared" si="15"/>
        <v>209.20693345469243</v>
      </c>
    </row>
    <row r="247" spans="1:21" x14ac:dyDescent="0.3">
      <c r="A247" t="s">
        <v>57</v>
      </c>
      <c r="B247" t="s">
        <v>181</v>
      </c>
      <c r="C247" t="s">
        <v>580</v>
      </c>
      <c r="D247" t="s">
        <v>581</v>
      </c>
      <c r="E247" s="2">
        <v>265.05799999999999</v>
      </c>
      <c r="F247" s="2">
        <v>0</v>
      </c>
      <c r="G247" s="2">
        <v>43.675333333333299</v>
      </c>
      <c r="H247" s="2">
        <v>-42.223499999999902</v>
      </c>
      <c r="I247" s="1">
        <v>0.99432954296795395</v>
      </c>
      <c r="J247" s="1">
        <v>0.97789729040436402</v>
      </c>
      <c r="K247" s="1">
        <v>0.81820011455146802</v>
      </c>
      <c r="L247" s="1">
        <v>0.65402671882084895</v>
      </c>
      <c r="P247" s="1">
        <f>I247-'Passo 2'!I247</f>
        <v>1.3066951384225978E-2</v>
      </c>
      <c r="Q247" s="1">
        <f>J247-'Passo 2'!J247</f>
        <v>3.0344302001826029E-2</v>
      </c>
      <c r="R247" s="8">
        <f t="shared" si="13"/>
        <v>263.55499999999995</v>
      </c>
      <c r="S247" s="8">
        <f t="shared" si="12"/>
        <v>259.19949999999989</v>
      </c>
      <c r="T247" s="1">
        <f t="shared" si="14"/>
        <v>216.87048596278299</v>
      </c>
      <c r="U247" s="1">
        <f t="shared" si="15"/>
        <v>173.35501403721656</v>
      </c>
    </row>
    <row r="248" spans="1:21" x14ac:dyDescent="0.3">
      <c r="A248" t="s">
        <v>57</v>
      </c>
      <c r="B248" t="s">
        <v>182</v>
      </c>
      <c r="C248" t="s">
        <v>34</v>
      </c>
      <c r="D248" t="s">
        <v>35</v>
      </c>
      <c r="E248" s="2">
        <v>428.94900000000001</v>
      </c>
      <c r="F248" s="2">
        <v>0</v>
      </c>
      <c r="G248" s="2">
        <v>71.459333333333305</v>
      </c>
      <c r="H248" s="2">
        <v>-71.491500000000002</v>
      </c>
      <c r="I248" s="1">
        <v>0.99977503153055403</v>
      </c>
      <c r="J248" s="1">
        <v>1</v>
      </c>
      <c r="K248" s="1">
        <v>0.86892631682641797</v>
      </c>
      <c r="L248" s="1">
        <v>0.63084871470413595</v>
      </c>
      <c r="P248" s="1">
        <f>I248-'Passo 2'!I248</f>
        <v>1.5220923699554079E-2</v>
      </c>
      <c r="Q248" s="1">
        <f>J248-'Passo 2'!J248</f>
        <v>2.2144823743616038E-2</v>
      </c>
      <c r="R248" s="8">
        <f t="shared" si="13"/>
        <v>428.85249999999962</v>
      </c>
      <c r="S248" s="8">
        <f t="shared" si="12"/>
        <v>428.94900000000001</v>
      </c>
      <c r="T248" s="1">
        <f t="shared" si="14"/>
        <v>372.72507467637519</v>
      </c>
      <c r="U248" s="1">
        <f t="shared" si="15"/>
        <v>270.60192532362441</v>
      </c>
    </row>
    <row r="249" spans="1:21" x14ac:dyDescent="0.3">
      <c r="A249" t="s">
        <v>57</v>
      </c>
      <c r="B249" t="s">
        <v>183</v>
      </c>
      <c r="C249" t="s">
        <v>580</v>
      </c>
      <c r="D249" t="s">
        <v>581</v>
      </c>
      <c r="E249" s="2">
        <v>208.72399999999999</v>
      </c>
      <c r="F249" s="2">
        <v>0</v>
      </c>
      <c r="G249" s="2">
        <v>31.611000000000001</v>
      </c>
      <c r="H249" s="2">
        <v>-33.545999999999999</v>
      </c>
      <c r="I249" s="1">
        <v>0.95434640961269401</v>
      </c>
      <c r="J249" s="1">
        <v>0.98215825683677904</v>
      </c>
      <c r="K249" s="1">
        <v>0.79836760747023805</v>
      </c>
      <c r="L249" s="1">
        <v>0.63813705897923501</v>
      </c>
      <c r="P249" s="1">
        <f>I249-'Passo 2'!I249</f>
        <v>-1.2082942067035973E-2</v>
      </c>
      <c r="Q249" s="1">
        <f>J249-'Passo 2'!J249</f>
        <v>5.9123531553630038E-2</v>
      </c>
      <c r="R249" s="8">
        <f t="shared" si="13"/>
        <v>199.19499999999994</v>
      </c>
      <c r="S249" s="8">
        <f t="shared" si="12"/>
        <v>204.99999999999986</v>
      </c>
      <c r="T249" s="1">
        <f t="shared" si="14"/>
        <v>166.63848050161795</v>
      </c>
      <c r="U249" s="1">
        <f t="shared" si="15"/>
        <v>133.19451949838185</v>
      </c>
    </row>
    <row r="250" spans="1:21" x14ac:dyDescent="0.3">
      <c r="A250" t="s">
        <v>57</v>
      </c>
      <c r="B250" t="s">
        <v>184</v>
      </c>
      <c r="C250" t="s">
        <v>580</v>
      </c>
      <c r="D250" t="s">
        <v>581</v>
      </c>
      <c r="E250" s="2">
        <v>202.363</v>
      </c>
      <c r="F250" s="2">
        <v>0</v>
      </c>
      <c r="G250" s="2">
        <v>33.2618333333333</v>
      </c>
      <c r="H250" s="2">
        <v>-33.085333333333303</v>
      </c>
      <c r="I250" s="1">
        <v>0.99310150571003597</v>
      </c>
      <c r="J250" s="1">
        <v>0.99048492066237404</v>
      </c>
      <c r="K250" s="1">
        <v>0.820680269213098</v>
      </c>
      <c r="L250" s="1">
        <v>0.662906157159311</v>
      </c>
      <c r="P250" s="1">
        <f>I250-'Passo 2'!I250</f>
        <v>1.6243087916269938E-2</v>
      </c>
      <c r="Q250" s="1">
        <f>J250-'Passo 2'!J250</f>
        <v>2.4969979689963062E-2</v>
      </c>
      <c r="R250" s="8">
        <f t="shared" si="13"/>
        <v>200.96700000000001</v>
      </c>
      <c r="S250" s="8">
        <f t="shared" si="12"/>
        <v>200.4375</v>
      </c>
      <c r="T250" s="1">
        <f t="shared" si="14"/>
        <v>166.07532131877016</v>
      </c>
      <c r="U250" s="1">
        <f t="shared" si="15"/>
        <v>134.14767868122965</v>
      </c>
    </row>
    <row r="251" spans="1:21" x14ac:dyDescent="0.3">
      <c r="A251" t="s">
        <v>57</v>
      </c>
      <c r="B251" t="s">
        <v>665</v>
      </c>
      <c r="C251" t="s">
        <v>580</v>
      </c>
      <c r="D251" t="s">
        <v>581</v>
      </c>
      <c r="E251" s="2">
        <v>458.762</v>
      </c>
      <c r="F251" s="2">
        <v>0</v>
      </c>
      <c r="G251" s="2">
        <v>67.539500000000004</v>
      </c>
      <c r="H251" s="2">
        <v>-67.239500000000007</v>
      </c>
      <c r="I251" s="1">
        <v>0.94166365130503404</v>
      </c>
      <c r="J251" s="1">
        <v>0.93970184976087801</v>
      </c>
      <c r="K251" s="1">
        <v>0.73315059312434905</v>
      </c>
      <c r="L251" s="1">
        <v>0.648214907941563</v>
      </c>
      <c r="P251" s="1">
        <f>I251-'Passo 2'!I251</f>
        <v>-1.3754408604024992E-2</v>
      </c>
      <c r="Q251" s="1">
        <f>J251-'Passo 2'!J251</f>
        <v>6.0865982797181029E-2</v>
      </c>
      <c r="R251" s="8">
        <f t="shared" si="13"/>
        <v>431.99950000000001</v>
      </c>
      <c r="S251" s="8">
        <f t="shared" si="12"/>
        <v>431.09949999999992</v>
      </c>
      <c r="T251" s="1">
        <f t="shared" si="14"/>
        <v>336.34163240291264</v>
      </c>
      <c r="U251" s="1">
        <f t="shared" si="15"/>
        <v>297.37636759708732</v>
      </c>
    </row>
    <row r="252" spans="1:21" x14ac:dyDescent="0.3">
      <c r="A252" t="s">
        <v>57</v>
      </c>
      <c r="B252" t="s">
        <v>185</v>
      </c>
      <c r="C252" t="s">
        <v>580</v>
      </c>
      <c r="D252" t="s">
        <v>581</v>
      </c>
      <c r="E252" s="2">
        <v>0</v>
      </c>
      <c r="F252" s="2">
        <v>0</v>
      </c>
      <c r="G252" s="2">
        <v>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P252" s="1">
        <f>I252-'Passo 2'!I252</f>
        <v>0</v>
      </c>
      <c r="Q252" s="1">
        <f>J252-'Passo 2'!J252</f>
        <v>0</v>
      </c>
      <c r="R252" s="8">
        <f t="shared" si="13"/>
        <v>0</v>
      </c>
      <c r="S252" s="8">
        <f t="shared" si="12"/>
        <v>0</v>
      </c>
      <c r="T252" s="1">
        <f t="shared" si="14"/>
        <v>0</v>
      </c>
      <c r="U252" s="1">
        <f t="shared" si="15"/>
        <v>0</v>
      </c>
    </row>
    <row r="253" spans="1:21" x14ac:dyDescent="0.3">
      <c r="A253" t="s">
        <v>57</v>
      </c>
      <c r="B253" t="s">
        <v>186</v>
      </c>
      <c r="C253" t="s">
        <v>580</v>
      </c>
      <c r="D253" t="s">
        <v>581</v>
      </c>
      <c r="E253" s="2">
        <v>192.79599999999999</v>
      </c>
      <c r="F253" s="2">
        <v>0</v>
      </c>
      <c r="G253" s="2">
        <v>30.912666666666599</v>
      </c>
      <c r="H253" s="2">
        <v>-31.796666666666599</v>
      </c>
      <c r="I253" s="1">
        <v>0.98101620365567699</v>
      </c>
      <c r="J253" s="1">
        <v>0.99477167576090797</v>
      </c>
      <c r="K253" s="1">
        <v>0.83612739178309403</v>
      </c>
      <c r="L253" s="1">
        <v>0.63966048763349004</v>
      </c>
      <c r="P253" s="1">
        <f>I253-'Passo 2'!I253</f>
        <v>-1.5332268304321994E-2</v>
      </c>
      <c r="Q253" s="1">
        <f>J253-'Passo 2'!J253</f>
        <v>8.5172928898940015E-2</v>
      </c>
      <c r="R253" s="8">
        <f t="shared" si="13"/>
        <v>189.13599999999988</v>
      </c>
      <c r="S253" s="8">
        <f t="shared" si="12"/>
        <v>191.78800000000001</v>
      </c>
      <c r="T253" s="1">
        <f t="shared" si="14"/>
        <v>161.20201662621338</v>
      </c>
      <c r="U253" s="1">
        <f t="shared" si="15"/>
        <v>123.32398337378633</v>
      </c>
    </row>
    <row r="254" spans="1:21" x14ac:dyDescent="0.3">
      <c r="A254" t="s">
        <v>57</v>
      </c>
      <c r="B254" t="s">
        <v>666</v>
      </c>
      <c r="C254" t="s">
        <v>34</v>
      </c>
      <c r="D254" t="s">
        <v>35</v>
      </c>
      <c r="E254" s="2">
        <v>92.438000000000002</v>
      </c>
      <c r="F254" s="2">
        <v>0</v>
      </c>
      <c r="G254" s="2">
        <v>15.386333333333299</v>
      </c>
      <c r="H254" s="2">
        <v>-15.391500000000001</v>
      </c>
      <c r="I254" s="1">
        <v>0.99935091628983697</v>
      </c>
      <c r="J254" s="1">
        <v>0.99951859624829598</v>
      </c>
      <c r="K254" s="1">
        <v>0.894178049525857</v>
      </c>
      <c r="L254" s="1">
        <v>0.60469146301227605</v>
      </c>
      <c r="P254" s="1">
        <f>I254-'Passo 2'!I254</f>
        <v>2.8748999329279989E-2</v>
      </c>
      <c r="Q254" s="1">
        <f>J254-'Passo 2'!J254</f>
        <v>5.7925312101083981E-2</v>
      </c>
      <c r="R254" s="8">
        <f t="shared" si="13"/>
        <v>92.377999999999957</v>
      </c>
      <c r="S254" s="8">
        <f t="shared" si="12"/>
        <v>92.393499999999989</v>
      </c>
      <c r="T254" s="1">
        <f t="shared" si="14"/>
        <v>82.656030542071179</v>
      </c>
      <c r="U254" s="1">
        <f t="shared" si="15"/>
        <v>55.896469457928774</v>
      </c>
    </row>
    <row r="255" spans="1:21" x14ac:dyDescent="0.3">
      <c r="A255" t="s">
        <v>57</v>
      </c>
      <c r="B255" t="s">
        <v>187</v>
      </c>
      <c r="C255" t="s">
        <v>34</v>
      </c>
      <c r="D255" t="s">
        <v>35</v>
      </c>
      <c r="E255" s="2">
        <v>120.995</v>
      </c>
      <c r="F255" s="2">
        <v>0</v>
      </c>
      <c r="G255" s="2">
        <v>18.8288333333333</v>
      </c>
      <c r="H255" s="2">
        <v>-20.1658333333333</v>
      </c>
      <c r="I255" s="1">
        <v>0.96684986982933097</v>
      </c>
      <c r="J255" s="1">
        <v>1</v>
      </c>
      <c r="K255" s="1">
        <v>0.85928735790781796</v>
      </c>
      <c r="L255" s="1">
        <v>0.607562511921513</v>
      </c>
      <c r="P255" s="1">
        <f>I255-'Passo 2'!I255</f>
        <v>4.5291127732550951E-2</v>
      </c>
      <c r="Q255" s="1">
        <f>J255-'Passo 2'!J255</f>
        <v>2.1786024215877053E-2</v>
      </c>
      <c r="R255" s="8">
        <f t="shared" si="13"/>
        <v>116.98399999999991</v>
      </c>
      <c r="S255" s="8">
        <f t="shared" si="12"/>
        <v>120.995</v>
      </c>
      <c r="T255" s="1">
        <f t="shared" si="14"/>
        <v>103.96947387005643</v>
      </c>
      <c r="U255" s="1">
        <f t="shared" si="15"/>
        <v>73.512026129943465</v>
      </c>
    </row>
    <row r="256" spans="1:21" x14ac:dyDescent="0.3">
      <c r="A256" t="s">
        <v>57</v>
      </c>
      <c r="B256" t="s">
        <v>188</v>
      </c>
      <c r="C256" t="s">
        <v>34</v>
      </c>
      <c r="D256" t="s">
        <v>35</v>
      </c>
      <c r="E256" s="2">
        <v>69.325999999999993</v>
      </c>
      <c r="F256" s="2">
        <v>0</v>
      </c>
      <c r="G256" s="2">
        <v>11.548166666666599</v>
      </c>
      <c r="H256" s="2">
        <v>-11.5471666666666</v>
      </c>
      <c r="I256" s="1">
        <v>0.99973314485185905</v>
      </c>
      <c r="J256" s="1">
        <v>0.99968987104405205</v>
      </c>
      <c r="K256" s="1">
        <v>0.89156763873550104</v>
      </c>
      <c r="L256" s="1">
        <v>0.60785537716041105</v>
      </c>
      <c r="P256" s="1">
        <f>I256-'Passo 2'!I256</f>
        <v>4.3627210570349018E-2</v>
      </c>
      <c r="Q256" s="1">
        <f>J256-'Passo 2'!J256</f>
        <v>3.3991576032080029E-2</v>
      </c>
      <c r="R256" s="8">
        <f t="shared" si="13"/>
        <v>69.307499999999976</v>
      </c>
      <c r="S256" s="8">
        <f t="shared" si="12"/>
        <v>69.304499999999948</v>
      </c>
      <c r="T256" s="1">
        <f t="shared" si="14"/>
        <v>61.808818122977343</v>
      </c>
      <c r="U256" s="1">
        <f t="shared" si="15"/>
        <v>42.140181877022655</v>
      </c>
    </row>
    <row r="257" spans="1:21" x14ac:dyDescent="0.3">
      <c r="A257" t="s">
        <v>57</v>
      </c>
      <c r="B257" t="s">
        <v>667</v>
      </c>
      <c r="C257" t="s">
        <v>34</v>
      </c>
      <c r="D257" t="s">
        <v>35</v>
      </c>
      <c r="E257" s="2">
        <v>406.47500000000002</v>
      </c>
      <c r="F257" s="2">
        <v>0</v>
      </c>
      <c r="G257" s="2">
        <v>67.526166666666597</v>
      </c>
      <c r="H257" s="2">
        <v>-67.745833333333294</v>
      </c>
      <c r="I257" s="1">
        <v>0.998378744080201</v>
      </c>
      <c r="J257" s="1">
        <v>1</v>
      </c>
      <c r="K257" s="1">
        <v>0.88114839010746504</v>
      </c>
      <c r="L257" s="1">
        <v>0.61723035397273596</v>
      </c>
      <c r="P257" s="1">
        <f>I257-'Passo 2'!I257</f>
        <v>5.1749800110709732E-3</v>
      </c>
      <c r="Q257" s="1">
        <f>J257-'Passo 2'!J257</f>
        <v>7.4506427209549697E-3</v>
      </c>
      <c r="R257" s="8">
        <f t="shared" si="13"/>
        <v>405.81599999999975</v>
      </c>
      <c r="S257" s="8">
        <f t="shared" si="12"/>
        <v>406.47500000000002</v>
      </c>
      <c r="T257" s="1">
        <f t="shared" si="14"/>
        <v>358.1647918689319</v>
      </c>
      <c r="U257" s="1">
        <f t="shared" si="15"/>
        <v>250.88870813106786</v>
      </c>
    </row>
    <row r="258" spans="1:21" x14ac:dyDescent="0.3">
      <c r="A258" t="s">
        <v>57</v>
      </c>
      <c r="B258" t="s">
        <v>668</v>
      </c>
      <c r="C258" t="s">
        <v>580</v>
      </c>
      <c r="D258" t="s">
        <v>581</v>
      </c>
      <c r="E258" s="2">
        <v>178.10599999999999</v>
      </c>
      <c r="F258" s="2">
        <v>0</v>
      </c>
      <c r="G258" s="2">
        <v>28.186999999999902</v>
      </c>
      <c r="H258" s="2">
        <v>-28.949666666666602</v>
      </c>
      <c r="I258" s="1">
        <v>0.97477906415280702</v>
      </c>
      <c r="J258" s="1">
        <v>0.98762534670364799</v>
      </c>
      <c r="K258" s="1">
        <v>0.756520512020458</v>
      </c>
      <c r="L258" s="1">
        <v>0.705883898835997</v>
      </c>
      <c r="P258" s="1">
        <f>I258-'Passo 2'!I258</f>
        <v>3.7828596453796992E-2</v>
      </c>
      <c r="Q258" s="1">
        <f>J258-'Passo 2'!J258</f>
        <v>1.0895197242091981E-2</v>
      </c>
      <c r="R258" s="8">
        <f t="shared" si="13"/>
        <v>173.61399999999983</v>
      </c>
      <c r="S258" s="8">
        <f t="shared" ref="S258:S321" si="16">J258*E258</f>
        <v>175.90199999999993</v>
      </c>
      <c r="T258" s="1">
        <f t="shared" si="14"/>
        <v>134.74084231391569</v>
      </c>
      <c r="U258" s="1">
        <f t="shared" si="15"/>
        <v>125.72215768608407</v>
      </c>
    </row>
    <row r="259" spans="1:21" x14ac:dyDescent="0.3">
      <c r="A259" t="s">
        <v>57</v>
      </c>
      <c r="B259" t="s">
        <v>669</v>
      </c>
      <c r="C259" t="s">
        <v>34</v>
      </c>
      <c r="D259" t="s">
        <v>35</v>
      </c>
      <c r="E259" s="2">
        <v>201.982</v>
      </c>
      <c r="F259" s="2">
        <v>0</v>
      </c>
      <c r="G259" s="2">
        <v>33.6636666666666</v>
      </c>
      <c r="H259" s="2">
        <v>-33.560666666666599</v>
      </c>
      <c r="I259" s="1">
        <v>0.999999999999999</v>
      </c>
      <c r="J259" s="1">
        <v>0.99847016070738903</v>
      </c>
      <c r="K259" s="1">
        <v>0.87827963714540302</v>
      </c>
      <c r="L259" s="1">
        <v>0.62019052356198601</v>
      </c>
      <c r="P259" s="1">
        <f>I259-'Passo 2'!I259</f>
        <v>1.5758829994751977E-2</v>
      </c>
      <c r="Q259" s="1">
        <f>J259-'Passo 2'!J259</f>
        <v>6.8223901139705001E-2</v>
      </c>
      <c r="R259" s="8">
        <f t="shared" ref="R259:R322" si="17">I259*E259</f>
        <v>201.9819999999998</v>
      </c>
      <c r="S259" s="8">
        <f t="shared" si="16"/>
        <v>201.67299999999986</v>
      </c>
      <c r="T259" s="1">
        <f t="shared" ref="T259:T322" si="18">K259*E259</f>
        <v>177.3966776699028</v>
      </c>
      <c r="U259" s="1">
        <f t="shared" ref="U259:U322" si="19">L259*E259</f>
        <v>125.26732233009706</v>
      </c>
    </row>
    <row r="260" spans="1:21" x14ac:dyDescent="0.3">
      <c r="A260" t="s">
        <v>57</v>
      </c>
      <c r="B260" t="s">
        <v>670</v>
      </c>
      <c r="C260" t="s">
        <v>580</v>
      </c>
      <c r="D260" t="s">
        <v>581</v>
      </c>
      <c r="E260" s="2">
        <v>224.316</v>
      </c>
      <c r="F260" s="2">
        <v>0</v>
      </c>
      <c r="G260" s="2">
        <v>35.307833333333299</v>
      </c>
      <c r="H260" s="2">
        <v>-34.3705</v>
      </c>
      <c r="I260" s="1">
        <v>0.97220661923358098</v>
      </c>
      <c r="J260" s="1">
        <v>0.95967073235970601</v>
      </c>
      <c r="K260" s="1">
        <v>0.75807031080345399</v>
      </c>
      <c r="L260" s="1">
        <v>0.673807040789833</v>
      </c>
      <c r="P260" s="1">
        <f>I260-'Passo 2'!I260</f>
        <v>2.6542912676760011E-2</v>
      </c>
      <c r="Q260" s="1">
        <f>J260-'Passo 2'!J260</f>
        <v>4.3650475222454022E-2</v>
      </c>
      <c r="R260" s="8">
        <f t="shared" si="17"/>
        <v>218.08149999999995</v>
      </c>
      <c r="S260" s="8">
        <f t="shared" si="16"/>
        <v>215.26949999999982</v>
      </c>
      <c r="T260" s="1">
        <f t="shared" si="18"/>
        <v>170.0472998381876</v>
      </c>
      <c r="U260" s="1">
        <f t="shared" si="19"/>
        <v>151.14570016181219</v>
      </c>
    </row>
    <row r="261" spans="1:21" x14ac:dyDescent="0.3">
      <c r="A261" t="s">
        <v>57</v>
      </c>
      <c r="B261" t="s">
        <v>671</v>
      </c>
      <c r="C261" t="s">
        <v>34</v>
      </c>
      <c r="D261" t="s">
        <v>35</v>
      </c>
      <c r="E261" s="2">
        <v>447.43400000000003</v>
      </c>
      <c r="F261" s="2">
        <v>0</v>
      </c>
      <c r="G261" s="2">
        <v>73.652500000000003</v>
      </c>
      <c r="H261" s="2">
        <v>-74.572333333333304</v>
      </c>
      <c r="I261" s="1">
        <v>0.99383260994917599</v>
      </c>
      <c r="J261" s="1">
        <v>0.999999999999999</v>
      </c>
      <c r="K261" s="1">
        <v>0.88558519468793095</v>
      </c>
      <c r="L261" s="1">
        <v>0.60824741526124504</v>
      </c>
      <c r="P261" s="1">
        <f>I261-'Passo 2'!I261</f>
        <v>5.6951416298268942E-2</v>
      </c>
      <c r="Q261" s="1">
        <f>J261-'Passo 2'!J261</f>
        <v>9.3730024986924954E-2</v>
      </c>
      <c r="R261" s="8">
        <f t="shared" si="17"/>
        <v>444.67449999999963</v>
      </c>
      <c r="S261" s="8">
        <f t="shared" si="16"/>
        <v>447.43399999999957</v>
      </c>
      <c r="T261" s="1">
        <f t="shared" si="18"/>
        <v>396.24092599999972</v>
      </c>
      <c r="U261" s="1">
        <f t="shared" si="19"/>
        <v>272.15057399999995</v>
      </c>
    </row>
    <row r="262" spans="1:21" x14ac:dyDescent="0.3">
      <c r="A262" t="s">
        <v>57</v>
      </c>
      <c r="B262" t="s">
        <v>672</v>
      </c>
      <c r="C262" t="s">
        <v>34</v>
      </c>
      <c r="D262" t="s">
        <v>35</v>
      </c>
      <c r="E262" s="2">
        <v>162.64500000000001</v>
      </c>
      <c r="F262" s="2">
        <v>0</v>
      </c>
      <c r="G262" s="2">
        <v>26.999833333333299</v>
      </c>
      <c r="H262" s="2">
        <v>-27.107500000000002</v>
      </c>
      <c r="I262" s="1">
        <v>0.99801407974422796</v>
      </c>
      <c r="J262" s="1">
        <v>1</v>
      </c>
      <c r="K262" s="1">
        <v>0.98702518368225201</v>
      </c>
      <c r="L262" s="1">
        <v>0.51098889606197495</v>
      </c>
      <c r="P262" s="1">
        <f>I262-'Passo 2'!I262</f>
        <v>3.8697777367886932E-2</v>
      </c>
      <c r="Q262" s="1">
        <f>J262-'Passo 2'!J262</f>
        <v>9.8115527682991033E-2</v>
      </c>
      <c r="R262" s="8">
        <f t="shared" si="17"/>
        <v>162.32199999999997</v>
      </c>
      <c r="S262" s="8">
        <f t="shared" si="16"/>
        <v>162.64500000000001</v>
      </c>
      <c r="T262" s="1">
        <f t="shared" si="18"/>
        <v>160.53471099999987</v>
      </c>
      <c r="U262" s="1">
        <f t="shared" si="19"/>
        <v>83.109788999999921</v>
      </c>
    </row>
    <row r="263" spans="1:21" x14ac:dyDescent="0.3">
      <c r="A263" t="s">
        <v>57</v>
      </c>
      <c r="B263" t="s">
        <v>673</v>
      </c>
      <c r="C263" t="s">
        <v>580</v>
      </c>
      <c r="D263" t="s">
        <v>581</v>
      </c>
      <c r="E263" s="2">
        <v>57.652999999999999</v>
      </c>
      <c r="F263" s="2">
        <v>0</v>
      </c>
      <c r="G263" s="2">
        <v>8.2675000000000001</v>
      </c>
      <c r="H263" s="2">
        <v>-8.8883333333333301</v>
      </c>
      <c r="I263" s="1">
        <v>0.93020311172011805</v>
      </c>
      <c r="J263" s="1">
        <v>0.96250845576119204</v>
      </c>
      <c r="K263" s="1">
        <v>0.72917800556807399</v>
      </c>
      <c r="L263" s="1">
        <v>0.66353356191323598</v>
      </c>
      <c r="P263" s="1">
        <f>I263-'Passo 2'!I263</f>
        <v>3.9278094808596009E-2</v>
      </c>
      <c r="Q263" s="1">
        <f>J263-'Passo 2'!J263</f>
        <v>3.5280037465526992E-2</v>
      </c>
      <c r="R263" s="8">
        <f t="shared" si="17"/>
        <v>53.628999999999962</v>
      </c>
      <c r="S263" s="8">
        <f t="shared" si="16"/>
        <v>55.491500000000002</v>
      </c>
      <c r="T263" s="1">
        <f t="shared" si="18"/>
        <v>42.039299555016171</v>
      </c>
      <c r="U263" s="1">
        <f t="shared" si="19"/>
        <v>38.25470044498379</v>
      </c>
    </row>
    <row r="264" spans="1:21" x14ac:dyDescent="0.3">
      <c r="A264" t="s">
        <v>57</v>
      </c>
      <c r="B264" t="s">
        <v>674</v>
      </c>
      <c r="C264" t="s">
        <v>34</v>
      </c>
      <c r="D264" t="s">
        <v>35</v>
      </c>
      <c r="E264" s="2">
        <v>52.744</v>
      </c>
      <c r="F264" s="2">
        <v>0</v>
      </c>
      <c r="G264" s="2">
        <v>8.7825000000000006</v>
      </c>
      <c r="H264" s="2">
        <v>-8.6786666666666594</v>
      </c>
      <c r="I264" s="1">
        <v>0.99953549218868498</v>
      </c>
      <c r="J264" s="1">
        <v>0.99362960715910797</v>
      </c>
      <c r="K264" s="1">
        <v>0.90102357384045095</v>
      </c>
      <c r="L264" s="1">
        <v>0.592141525507341</v>
      </c>
      <c r="P264" s="1">
        <f>I264-'Passo 2'!I264</f>
        <v>4.4393675109965947E-2</v>
      </c>
      <c r="Q264" s="1">
        <f>J264-'Passo 2'!J264</f>
        <v>3.8829061125435937E-2</v>
      </c>
      <c r="R264" s="8">
        <f t="shared" si="17"/>
        <v>52.719500000000004</v>
      </c>
      <c r="S264" s="8">
        <f t="shared" si="16"/>
        <v>52.407999999999994</v>
      </c>
      <c r="T264" s="1">
        <f t="shared" si="18"/>
        <v>47.523587378640748</v>
      </c>
      <c r="U264" s="1">
        <f t="shared" si="19"/>
        <v>31.231912621359193</v>
      </c>
    </row>
    <row r="265" spans="1:21" x14ac:dyDescent="0.3">
      <c r="A265" t="s">
        <v>57</v>
      </c>
      <c r="B265" t="s">
        <v>675</v>
      </c>
      <c r="C265" t="s">
        <v>580</v>
      </c>
      <c r="D265" t="s">
        <v>581</v>
      </c>
      <c r="E265" s="2">
        <v>744.97699999999998</v>
      </c>
      <c r="F265" s="2">
        <v>0</v>
      </c>
      <c r="G265" s="2">
        <v>118.676499999999</v>
      </c>
      <c r="H265" s="2">
        <v>-123.758</v>
      </c>
      <c r="I265" s="1">
        <v>0.97790670047531603</v>
      </c>
      <c r="J265" s="1">
        <v>0.99836974832780001</v>
      </c>
      <c r="K265" s="1">
        <v>0.77882843996100304</v>
      </c>
      <c r="L265" s="1">
        <v>0.697448008842113</v>
      </c>
      <c r="P265" s="1">
        <f>I265-'Passo 2'!I265</f>
        <v>1.1470152769816999E-2</v>
      </c>
      <c r="Q265" s="1">
        <f>J265-'Passo 2'!J265</f>
        <v>-1.5530680812969599E-3</v>
      </c>
      <c r="R265" s="8">
        <f t="shared" si="17"/>
        <v>728.51799999999946</v>
      </c>
      <c r="S265" s="8">
        <f t="shared" si="16"/>
        <v>743.76249999999948</v>
      </c>
      <c r="T265" s="1">
        <f t="shared" si="18"/>
        <v>580.20927471682819</v>
      </c>
      <c r="U265" s="1">
        <f t="shared" si="19"/>
        <v>519.58272528317082</v>
      </c>
    </row>
    <row r="266" spans="1:21" x14ac:dyDescent="0.3">
      <c r="A266" t="s">
        <v>57</v>
      </c>
      <c r="B266" t="s">
        <v>189</v>
      </c>
      <c r="C266" t="s">
        <v>580</v>
      </c>
      <c r="D266" t="s">
        <v>581</v>
      </c>
      <c r="E266" s="2">
        <v>0</v>
      </c>
      <c r="F266" s="2">
        <v>0</v>
      </c>
      <c r="G266" s="2">
        <v>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P266" s="1">
        <f>I266-'Passo 2'!I266</f>
        <v>0</v>
      </c>
      <c r="Q266" s="1">
        <f>J266-'Passo 2'!J266</f>
        <v>0</v>
      </c>
      <c r="R266" s="8">
        <f t="shared" si="17"/>
        <v>0</v>
      </c>
      <c r="S266" s="8">
        <f t="shared" si="16"/>
        <v>0</v>
      </c>
      <c r="T266" s="1">
        <f t="shared" si="18"/>
        <v>0</v>
      </c>
      <c r="U266" s="1">
        <f t="shared" si="19"/>
        <v>0</v>
      </c>
    </row>
    <row r="267" spans="1:21" x14ac:dyDescent="0.3">
      <c r="A267" t="s">
        <v>57</v>
      </c>
      <c r="B267" t="s">
        <v>676</v>
      </c>
      <c r="C267" t="s">
        <v>580</v>
      </c>
      <c r="D267" t="s">
        <v>581</v>
      </c>
      <c r="E267" s="2">
        <v>75.55</v>
      </c>
      <c r="F267" s="2">
        <v>0</v>
      </c>
      <c r="G267" s="2">
        <v>12.2165</v>
      </c>
      <c r="H267" s="2">
        <v>-12.553666666666601</v>
      </c>
      <c r="I267" s="1">
        <v>0.985102581072137</v>
      </c>
      <c r="J267" s="1">
        <v>0.99849106551952305</v>
      </c>
      <c r="K267" s="1">
        <v>0.75564166661312104</v>
      </c>
      <c r="L267" s="1">
        <v>0.727951979978539</v>
      </c>
      <c r="P267" s="1">
        <f>I267-'Passo 2'!I267</f>
        <v>0</v>
      </c>
      <c r="Q267" s="1">
        <f>J267-'Passo 2'!J267</f>
        <v>2.5737921906022088E-2</v>
      </c>
      <c r="R267" s="8">
        <f t="shared" si="17"/>
        <v>74.424499999999952</v>
      </c>
      <c r="S267" s="8">
        <f t="shared" si="16"/>
        <v>75.435999999999964</v>
      </c>
      <c r="T267" s="1">
        <f t="shared" si="18"/>
        <v>57.088727912621295</v>
      </c>
      <c r="U267" s="1">
        <f t="shared" si="19"/>
        <v>54.996772087378616</v>
      </c>
    </row>
    <row r="268" spans="1:21" x14ac:dyDescent="0.3">
      <c r="A268" t="s">
        <v>57</v>
      </c>
      <c r="B268" t="s">
        <v>190</v>
      </c>
      <c r="C268" t="s">
        <v>34</v>
      </c>
      <c r="D268" t="s">
        <v>35</v>
      </c>
      <c r="E268" s="2">
        <v>8.4489999999999998</v>
      </c>
      <c r="F268" s="2">
        <v>0</v>
      </c>
      <c r="G268" s="2">
        <v>1.4081666666666599</v>
      </c>
      <c r="H268" s="2">
        <v>-1.4081666666666599</v>
      </c>
      <c r="I268" s="1">
        <v>1</v>
      </c>
      <c r="J268" s="1">
        <v>1</v>
      </c>
      <c r="K268" s="1">
        <v>0.92762764479509796</v>
      </c>
      <c r="L268" s="1">
        <v>0.57237235520490104</v>
      </c>
      <c r="P268" s="1">
        <f>I268-'Passo 2'!I268</f>
        <v>6.1427387856551996E-2</v>
      </c>
      <c r="Q268" s="1">
        <f>J268-'Passo 2'!J268</f>
        <v>0.10450940939756204</v>
      </c>
      <c r="R268" s="8">
        <f t="shared" si="17"/>
        <v>8.4489999999999998</v>
      </c>
      <c r="S268" s="8">
        <f t="shared" si="16"/>
        <v>8.4489999999999998</v>
      </c>
      <c r="T268" s="1">
        <f t="shared" si="18"/>
        <v>7.8375259708737826</v>
      </c>
      <c r="U268" s="1">
        <f t="shared" si="19"/>
        <v>4.8359740291262092</v>
      </c>
    </row>
    <row r="269" spans="1:21" x14ac:dyDescent="0.3">
      <c r="A269" t="s">
        <v>57</v>
      </c>
      <c r="B269" t="s">
        <v>191</v>
      </c>
      <c r="C269" t="s">
        <v>580</v>
      </c>
      <c r="D269" t="s">
        <v>581</v>
      </c>
      <c r="E269" s="2">
        <v>92.025999999999996</v>
      </c>
      <c r="F269" s="2">
        <v>0</v>
      </c>
      <c r="G269" s="2">
        <v>14.986833333333299</v>
      </c>
      <c r="H269" s="2">
        <v>-14.1521666666666</v>
      </c>
      <c r="I269" s="1">
        <v>0.98856301480016495</v>
      </c>
      <c r="J269" s="1">
        <v>0.961353313194097</v>
      </c>
      <c r="K269" s="1">
        <v>0.81926009750515805</v>
      </c>
      <c r="L269" s="1">
        <v>0.63065623048910402</v>
      </c>
      <c r="P269" s="1">
        <f>I269-'Passo 2'!I269</f>
        <v>7.4190989502966986E-2</v>
      </c>
      <c r="Q269" s="1">
        <f>J269-'Passo 2'!J269</f>
        <v>6.247147545259002E-2</v>
      </c>
      <c r="R269" s="8">
        <f t="shared" si="17"/>
        <v>90.973499999999973</v>
      </c>
      <c r="S269" s="8">
        <f t="shared" si="16"/>
        <v>88.469499999999968</v>
      </c>
      <c r="T269" s="1">
        <f t="shared" si="18"/>
        <v>75.393229733009676</v>
      </c>
      <c r="U269" s="1">
        <f t="shared" si="19"/>
        <v>58.036770266990281</v>
      </c>
    </row>
    <row r="270" spans="1:21" x14ac:dyDescent="0.3">
      <c r="A270" t="s">
        <v>57</v>
      </c>
      <c r="B270" t="s">
        <v>192</v>
      </c>
      <c r="C270" t="s">
        <v>580</v>
      </c>
      <c r="D270" t="s">
        <v>581</v>
      </c>
      <c r="E270" s="2">
        <v>44.215000000000003</v>
      </c>
      <c r="F270" s="2">
        <v>0</v>
      </c>
      <c r="G270" s="2">
        <v>7.2483333333333304</v>
      </c>
      <c r="H270" s="2">
        <v>-6.8358333333333299</v>
      </c>
      <c r="I270" s="1">
        <v>0.99180142485581801</v>
      </c>
      <c r="J270" s="1">
        <v>0.96381318557050699</v>
      </c>
      <c r="K270" s="1">
        <v>0.86094520631344795</v>
      </c>
      <c r="L270" s="1">
        <v>0.59466940411287705</v>
      </c>
      <c r="P270" s="1">
        <f>I270-'Passo 2'!I270</f>
        <v>6.2015153228543007E-2</v>
      </c>
      <c r="Q270" s="1">
        <f>J270-'Passo 2'!J270</f>
        <v>7.0756530589165978E-2</v>
      </c>
      <c r="R270" s="8">
        <f t="shared" si="17"/>
        <v>43.852499999999999</v>
      </c>
      <c r="S270" s="8">
        <f t="shared" si="16"/>
        <v>42.614999999999966</v>
      </c>
      <c r="T270" s="1">
        <f t="shared" si="18"/>
        <v>38.066692297149103</v>
      </c>
      <c r="U270" s="1">
        <f t="shared" si="19"/>
        <v>26.293307702850861</v>
      </c>
    </row>
    <row r="271" spans="1:21" x14ac:dyDescent="0.3">
      <c r="A271" t="s">
        <v>57</v>
      </c>
      <c r="B271" t="s">
        <v>193</v>
      </c>
      <c r="C271" t="s">
        <v>580</v>
      </c>
      <c r="D271" t="s">
        <v>581</v>
      </c>
      <c r="E271" s="2">
        <v>54.32</v>
      </c>
      <c r="F271" s="2">
        <v>0</v>
      </c>
      <c r="G271" s="2">
        <v>9.0413333333333306</v>
      </c>
      <c r="H271" s="2">
        <v>-8.5751666666666608</v>
      </c>
      <c r="I271" s="1">
        <v>0.99933726067746598</v>
      </c>
      <c r="J271" s="1">
        <v>0.97359167893961696</v>
      </c>
      <c r="K271" s="1">
        <v>0.84718912944268798</v>
      </c>
      <c r="L271" s="1">
        <v>0.62573981017439395</v>
      </c>
      <c r="P271" s="1">
        <f>I271-'Passo 2'!I271</f>
        <v>5.7418998527244969E-2</v>
      </c>
      <c r="Q271" s="1">
        <f>J271-'Passo 2'!J271</f>
        <v>8.3670839469809355E-3</v>
      </c>
      <c r="R271" s="8">
        <f t="shared" si="17"/>
        <v>54.283999999999949</v>
      </c>
      <c r="S271" s="8">
        <f t="shared" si="16"/>
        <v>52.885499999999993</v>
      </c>
      <c r="T271" s="1">
        <f t="shared" si="18"/>
        <v>46.019313511326814</v>
      </c>
      <c r="U271" s="1">
        <f t="shared" si="19"/>
        <v>33.990186488673082</v>
      </c>
    </row>
    <row r="272" spans="1:21" x14ac:dyDescent="0.3">
      <c r="A272" t="s">
        <v>57</v>
      </c>
      <c r="B272" t="s">
        <v>194</v>
      </c>
      <c r="C272" t="s">
        <v>580</v>
      </c>
      <c r="D272" t="s">
        <v>581</v>
      </c>
      <c r="E272" s="2">
        <v>176.02</v>
      </c>
      <c r="F272" s="2">
        <v>0</v>
      </c>
      <c r="G272" s="2">
        <v>29.255499999999898</v>
      </c>
      <c r="H272" s="2">
        <v>-29.187000000000001</v>
      </c>
      <c r="I272" s="1">
        <v>0.99861663447335502</v>
      </c>
      <c r="J272" s="1">
        <v>0.99744915350528296</v>
      </c>
      <c r="K272" s="1">
        <v>0.83409310191655905</v>
      </c>
      <c r="L272" s="1">
        <v>0.66197268606207904</v>
      </c>
      <c r="P272" s="1">
        <f>I272-'Passo 2'!I272</f>
        <v>2.580672650835103E-2</v>
      </c>
      <c r="Q272" s="1">
        <f>J272-'Passo 2'!J272</f>
        <v>3.303601863424932E-3</v>
      </c>
      <c r="R272" s="8">
        <f t="shared" si="17"/>
        <v>175.77649999999997</v>
      </c>
      <c r="S272" s="8">
        <f t="shared" si="16"/>
        <v>175.57099999999991</v>
      </c>
      <c r="T272" s="1">
        <f t="shared" si="18"/>
        <v>146.81706779935274</v>
      </c>
      <c r="U272" s="1">
        <f t="shared" si="19"/>
        <v>116.52043220064716</v>
      </c>
    </row>
    <row r="273" spans="1:21" x14ac:dyDescent="0.3">
      <c r="A273" t="s">
        <v>57</v>
      </c>
      <c r="B273" t="s">
        <v>677</v>
      </c>
      <c r="C273" t="s">
        <v>580</v>
      </c>
      <c r="D273" t="s">
        <v>581</v>
      </c>
      <c r="E273" s="2">
        <v>54.759</v>
      </c>
      <c r="F273" s="2">
        <v>0</v>
      </c>
      <c r="G273" s="2">
        <v>8.6986666666666608</v>
      </c>
      <c r="H273" s="2">
        <v>-8.6418333333333308</v>
      </c>
      <c r="I273" s="1">
        <v>0.97656093062327598</v>
      </c>
      <c r="J273" s="1">
        <v>0.97344728720392903</v>
      </c>
      <c r="K273" s="1">
        <v>0.816778680734073</v>
      </c>
      <c r="L273" s="1">
        <v>0.63322953709313201</v>
      </c>
      <c r="P273" s="1">
        <f>I273-'Passo 2'!I273</f>
        <v>3.9792545517632005E-2</v>
      </c>
      <c r="Q273" s="1">
        <f>J273-'Passo 2'!J273</f>
        <v>8.8012929381470983E-2</v>
      </c>
      <c r="R273" s="8">
        <f t="shared" si="17"/>
        <v>53.475499999999968</v>
      </c>
      <c r="S273" s="8">
        <f t="shared" si="16"/>
        <v>53.30499999999995</v>
      </c>
      <c r="T273" s="1">
        <f t="shared" si="18"/>
        <v>44.725983778317101</v>
      </c>
      <c r="U273" s="1">
        <f t="shared" si="19"/>
        <v>34.675016221682817</v>
      </c>
    </row>
    <row r="274" spans="1:21" x14ac:dyDescent="0.3">
      <c r="A274" t="s">
        <v>57</v>
      </c>
      <c r="B274" t="s">
        <v>195</v>
      </c>
      <c r="C274" t="s">
        <v>580</v>
      </c>
      <c r="D274" t="s">
        <v>581</v>
      </c>
      <c r="E274" s="2">
        <v>91.158000000000001</v>
      </c>
      <c r="F274" s="2">
        <v>0</v>
      </c>
      <c r="G274" s="2">
        <v>11.9731666666666</v>
      </c>
      <c r="H274" s="2">
        <v>-14.025499999999999</v>
      </c>
      <c r="I274" s="1">
        <v>0.89403563044384404</v>
      </c>
      <c r="J274" s="1">
        <v>0.96157770025669698</v>
      </c>
      <c r="K274" s="1">
        <v>0.73066387152687895</v>
      </c>
      <c r="L274" s="1">
        <v>0.62494945917366196</v>
      </c>
      <c r="P274" s="1">
        <f>I274-'Passo 2'!I274</f>
        <v>8.6602382676231993E-2</v>
      </c>
      <c r="Q274" s="1">
        <f>J274-'Passo 2'!J274</f>
        <v>8.2735470282366941E-2</v>
      </c>
      <c r="R274" s="8">
        <f t="shared" si="17"/>
        <v>81.498499999999936</v>
      </c>
      <c r="S274" s="8">
        <f t="shared" si="16"/>
        <v>87.655499999999989</v>
      </c>
      <c r="T274" s="1">
        <f t="shared" si="18"/>
        <v>66.605857200647236</v>
      </c>
      <c r="U274" s="1">
        <f t="shared" si="19"/>
        <v>56.969142799352674</v>
      </c>
    </row>
    <row r="275" spans="1:21" x14ac:dyDescent="0.3">
      <c r="A275" t="s">
        <v>57</v>
      </c>
      <c r="B275" t="s">
        <v>678</v>
      </c>
      <c r="C275" t="s">
        <v>580</v>
      </c>
      <c r="D275" t="s">
        <v>581</v>
      </c>
      <c r="E275" s="2">
        <v>195.477</v>
      </c>
      <c r="F275" s="2">
        <v>0</v>
      </c>
      <c r="G275" s="2">
        <v>31.714666666666599</v>
      </c>
      <c r="H275" s="2">
        <v>-29.852166666666601</v>
      </c>
      <c r="I275" s="1">
        <v>0.986727338766197</v>
      </c>
      <c r="J275" s="1">
        <v>0.95814341329158903</v>
      </c>
      <c r="K275" s="1">
        <v>0.82841255643629796</v>
      </c>
      <c r="L275" s="1">
        <v>0.61645819562148796</v>
      </c>
      <c r="P275" s="1">
        <f>I275-'Passo 2'!I275</f>
        <v>-6.8396793484659657E-3</v>
      </c>
      <c r="Q275" s="1">
        <f>J275-'Passo 2'!J275</f>
        <v>0.107061188784358</v>
      </c>
      <c r="R275" s="8">
        <f t="shared" si="17"/>
        <v>192.88249999999991</v>
      </c>
      <c r="S275" s="8">
        <f t="shared" si="16"/>
        <v>187.29499999999996</v>
      </c>
      <c r="T275" s="1">
        <f t="shared" si="18"/>
        <v>161.93560129449821</v>
      </c>
      <c r="U275" s="1">
        <f t="shared" si="19"/>
        <v>120.50339870550161</v>
      </c>
    </row>
    <row r="276" spans="1:21" x14ac:dyDescent="0.3">
      <c r="A276" t="s">
        <v>57</v>
      </c>
      <c r="B276" t="s">
        <v>196</v>
      </c>
      <c r="C276" t="s">
        <v>580</v>
      </c>
      <c r="D276" t="s">
        <v>581</v>
      </c>
      <c r="E276" s="2">
        <v>305.57100000000003</v>
      </c>
      <c r="F276" s="2">
        <v>0</v>
      </c>
      <c r="G276" s="2">
        <v>48.106499999999997</v>
      </c>
      <c r="H276" s="2">
        <v>-47.891833333333302</v>
      </c>
      <c r="I276" s="1">
        <v>0.97229449129662104</v>
      </c>
      <c r="J276" s="1">
        <v>0.97018696145903804</v>
      </c>
      <c r="K276" s="1">
        <v>0.78659497195864603</v>
      </c>
      <c r="L276" s="1">
        <v>0.65588648079701395</v>
      </c>
      <c r="P276" s="1">
        <f>I276-'Passo 2'!I276</f>
        <v>3.279270611412699E-2</v>
      </c>
      <c r="Q276" s="1">
        <f>J276-'Passo 2'!J276</f>
        <v>3.590818500446602E-2</v>
      </c>
      <c r="R276" s="8">
        <f t="shared" si="17"/>
        <v>297.10499999999979</v>
      </c>
      <c r="S276" s="8">
        <f t="shared" si="16"/>
        <v>296.46099999999973</v>
      </c>
      <c r="T276" s="1">
        <f t="shared" si="18"/>
        <v>240.36061217637544</v>
      </c>
      <c r="U276" s="1">
        <f t="shared" si="19"/>
        <v>200.41988782362438</v>
      </c>
    </row>
    <row r="277" spans="1:21" x14ac:dyDescent="0.3">
      <c r="A277" t="s">
        <v>57</v>
      </c>
      <c r="B277" t="s">
        <v>197</v>
      </c>
      <c r="C277" t="s">
        <v>580</v>
      </c>
      <c r="D277" t="s">
        <v>581</v>
      </c>
      <c r="E277" s="2">
        <v>197.376</v>
      </c>
      <c r="F277" s="2">
        <v>0</v>
      </c>
      <c r="G277" s="2">
        <v>31.7075</v>
      </c>
      <c r="H277" s="2">
        <v>-29.928333333333299</v>
      </c>
      <c r="I277" s="1">
        <v>0.98193549367704203</v>
      </c>
      <c r="J277" s="1">
        <v>0.95489319876783396</v>
      </c>
      <c r="K277" s="1">
        <v>0.72756979408826805</v>
      </c>
      <c r="L277" s="1">
        <v>0.70925889835660805</v>
      </c>
      <c r="P277" s="1">
        <f>I277-'Passo 2'!I277</f>
        <v>6.0982591601815073E-2</v>
      </c>
      <c r="Q277" s="1">
        <f>J277-'Passo 2'!J277</f>
        <v>-3.0239238813228986E-2</v>
      </c>
      <c r="R277" s="8">
        <f t="shared" si="17"/>
        <v>193.81049999999985</v>
      </c>
      <c r="S277" s="8">
        <f t="shared" si="16"/>
        <v>188.47300000000001</v>
      </c>
      <c r="T277" s="1">
        <f t="shared" si="18"/>
        <v>143.604815677966</v>
      </c>
      <c r="U277" s="1">
        <f t="shared" si="19"/>
        <v>139.99068432203387</v>
      </c>
    </row>
    <row r="278" spans="1:21" x14ac:dyDescent="0.3">
      <c r="A278" t="s">
        <v>57</v>
      </c>
      <c r="B278" t="s">
        <v>198</v>
      </c>
      <c r="C278" t="s">
        <v>580</v>
      </c>
      <c r="D278" t="s">
        <v>581</v>
      </c>
      <c r="E278" s="2">
        <v>340.28300000000002</v>
      </c>
      <c r="F278" s="2">
        <v>0</v>
      </c>
      <c r="G278" s="2">
        <v>54.396500000000003</v>
      </c>
      <c r="H278" s="2">
        <v>-55.677166666666601</v>
      </c>
      <c r="I278" s="1">
        <v>0.97956994619184601</v>
      </c>
      <c r="J278" s="1">
        <v>0.99086054842586901</v>
      </c>
      <c r="K278" s="1">
        <v>0.72090856982481</v>
      </c>
      <c r="L278" s="1">
        <v>0.74952192479290503</v>
      </c>
      <c r="P278" s="1">
        <f>I278-'Passo 2'!I278</f>
        <v>5.2926534678487958E-2</v>
      </c>
      <c r="Q278" s="1">
        <f>J278-'Passo 2'!J278</f>
        <v>1.3112615088029966E-2</v>
      </c>
      <c r="R278" s="8">
        <f t="shared" si="17"/>
        <v>333.33099999999996</v>
      </c>
      <c r="S278" s="8">
        <f t="shared" si="16"/>
        <v>337.173</v>
      </c>
      <c r="T278" s="1">
        <f t="shared" si="18"/>
        <v>245.31293086569582</v>
      </c>
      <c r="U278" s="1">
        <f t="shared" si="19"/>
        <v>255.04956913430411</v>
      </c>
    </row>
    <row r="279" spans="1:21" x14ac:dyDescent="0.3">
      <c r="A279" t="s">
        <v>57</v>
      </c>
      <c r="B279" t="s">
        <v>679</v>
      </c>
      <c r="C279" t="s">
        <v>580</v>
      </c>
      <c r="D279" t="s">
        <v>581</v>
      </c>
      <c r="E279" s="2">
        <v>229.24299999999999</v>
      </c>
      <c r="F279" s="2">
        <v>0</v>
      </c>
      <c r="G279" s="2">
        <v>36.041499999999999</v>
      </c>
      <c r="H279" s="2">
        <v>-36.959499999999998</v>
      </c>
      <c r="I279" s="1">
        <v>0.97165889470998001</v>
      </c>
      <c r="J279" s="1">
        <v>0.98367234768346201</v>
      </c>
      <c r="K279" s="1">
        <v>0.81596976464129001</v>
      </c>
      <c r="L279" s="1">
        <v>0.63936147775215102</v>
      </c>
      <c r="P279" s="1">
        <f>I279-'Passo 2'!I279</f>
        <v>4.1126664718225014E-2</v>
      </c>
      <c r="Q279" s="1">
        <f>J279-'Passo 2'!J279</f>
        <v>0</v>
      </c>
      <c r="R279" s="8">
        <f t="shared" si="17"/>
        <v>222.74599999999995</v>
      </c>
      <c r="S279" s="8">
        <f t="shared" si="16"/>
        <v>225.49999999999989</v>
      </c>
      <c r="T279" s="1">
        <f t="shared" si="18"/>
        <v>187.05535675566324</v>
      </c>
      <c r="U279" s="1">
        <f t="shared" si="19"/>
        <v>146.56914324433635</v>
      </c>
    </row>
    <row r="280" spans="1:21" x14ac:dyDescent="0.3">
      <c r="A280" t="s">
        <v>57</v>
      </c>
      <c r="B280" t="s">
        <v>199</v>
      </c>
      <c r="C280" t="s">
        <v>580</v>
      </c>
      <c r="D280" t="s">
        <v>581</v>
      </c>
      <c r="E280" s="2">
        <v>279.64</v>
      </c>
      <c r="F280" s="2">
        <v>0</v>
      </c>
      <c r="G280" s="2">
        <v>43.491</v>
      </c>
      <c r="H280" s="2">
        <v>-43.495666666666601</v>
      </c>
      <c r="I280" s="1">
        <v>0.96657488199113095</v>
      </c>
      <c r="J280" s="1">
        <v>0.96662494635960505</v>
      </c>
      <c r="K280" s="1">
        <v>0.74751640920322704</v>
      </c>
      <c r="L280" s="1">
        <v>0.68568341914750797</v>
      </c>
      <c r="P280" s="1">
        <f>I280-'Passo 2'!I280</f>
        <v>9.0133743384349652E-3</v>
      </c>
      <c r="Q280" s="1">
        <f>J280-'Passo 2'!J280</f>
        <v>9.0634387069090661E-3</v>
      </c>
      <c r="R280" s="8">
        <f t="shared" si="17"/>
        <v>270.29299999999984</v>
      </c>
      <c r="S280" s="8">
        <f t="shared" si="16"/>
        <v>270.30699999999996</v>
      </c>
      <c r="T280" s="1">
        <f t="shared" si="18"/>
        <v>209.03548866959039</v>
      </c>
      <c r="U280" s="1">
        <f t="shared" si="19"/>
        <v>191.74451133040913</v>
      </c>
    </row>
    <row r="281" spans="1:21" x14ac:dyDescent="0.3">
      <c r="A281" t="s">
        <v>57</v>
      </c>
      <c r="B281" t="s">
        <v>200</v>
      </c>
      <c r="C281" t="s">
        <v>580</v>
      </c>
      <c r="D281" t="s">
        <v>581</v>
      </c>
      <c r="E281" s="2">
        <v>81.787000000000006</v>
      </c>
      <c r="F281" s="2">
        <v>0</v>
      </c>
      <c r="G281" s="2">
        <v>12.996833333333299</v>
      </c>
      <c r="H281" s="2">
        <v>-13.053666666666601</v>
      </c>
      <c r="I281" s="1">
        <v>0.97673224351058197</v>
      </c>
      <c r="J281" s="1">
        <v>0.97881692689547195</v>
      </c>
      <c r="K281" s="1">
        <v>0.88493884181539295</v>
      </c>
      <c r="L281" s="1">
        <v>0.57061032859066096</v>
      </c>
      <c r="P281" s="1">
        <f>I281-'Passo 2'!I281</f>
        <v>0.20258109479501596</v>
      </c>
      <c r="Q281" s="1">
        <f>J281-'Passo 2'!J281</f>
        <v>8.7623950016505914E-2</v>
      </c>
      <c r="R281" s="8">
        <f t="shared" si="17"/>
        <v>79.883999999999972</v>
      </c>
      <c r="S281" s="8">
        <f t="shared" si="16"/>
        <v>80.054499999999976</v>
      </c>
      <c r="T281" s="1">
        <f t="shared" si="18"/>
        <v>72.376493055555542</v>
      </c>
      <c r="U281" s="1">
        <f t="shared" si="19"/>
        <v>46.668506944444388</v>
      </c>
    </row>
    <row r="282" spans="1:21" x14ac:dyDescent="0.3">
      <c r="A282" t="s">
        <v>57</v>
      </c>
      <c r="B282" t="s">
        <v>201</v>
      </c>
      <c r="C282" t="s">
        <v>580</v>
      </c>
      <c r="D282" t="s">
        <v>581</v>
      </c>
      <c r="E282" s="2">
        <v>134.25700000000001</v>
      </c>
      <c r="F282" s="2">
        <v>0</v>
      </c>
      <c r="G282" s="2">
        <v>21.704666666666601</v>
      </c>
      <c r="H282" s="2">
        <v>-20.356166666666599</v>
      </c>
      <c r="I282" s="1">
        <v>0.98499519578122496</v>
      </c>
      <c r="J282" s="1">
        <v>0.95486268872386504</v>
      </c>
      <c r="K282" s="1">
        <v>0.90885189723192505</v>
      </c>
      <c r="L282" s="1">
        <v>0.53100598727316495</v>
      </c>
      <c r="P282" s="1">
        <f>I282-'Passo 2'!I282</f>
        <v>0.24527212733786696</v>
      </c>
      <c r="Q282" s="1">
        <f>J282-'Passo 2'!J282</f>
        <v>7.6755774373030716E-3</v>
      </c>
      <c r="R282" s="8">
        <f t="shared" si="17"/>
        <v>132.24249999999992</v>
      </c>
      <c r="S282" s="8">
        <f t="shared" si="16"/>
        <v>128.19699999999995</v>
      </c>
      <c r="T282" s="1">
        <f t="shared" si="18"/>
        <v>122.01972916666656</v>
      </c>
      <c r="U282" s="1">
        <f t="shared" si="19"/>
        <v>71.291270833333314</v>
      </c>
    </row>
    <row r="283" spans="1:21" x14ac:dyDescent="0.3">
      <c r="A283" t="s">
        <v>57</v>
      </c>
      <c r="B283" t="s">
        <v>680</v>
      </c>
      <c r="C283" t="s">
        <v>580</v>
      </c>
      <c r="D283" t="s">
        <v>581</v>
      </c>
      <c r="E283" s="2">
        <v>421.27499999999998</v>
      </c>
      <c r="F283" s="2">
        <v>0</v>
      </c>
      <c r="G283" s="2">
        <v>66.439499999999995</v>
      </c>
      <c r="H283" s="2">
        <v>-68.540666666666596</v>
      </c>
      <c r="I283" s="1">
        <v>0.97313156489229102</v>
      </c>
      <c r="J283" s="1">
        <v>0.98809447510533499</v>
      </c>
      <c r="K283" s="1">
        <v>0.81867241791225898</v>
      </c>
      <c r="L283" s="1">
        <v>0.64255362208536704</v>
      </c>
      <c r="P283" s="1">
        <f>I283-'Passo 2'!I283</f>
        <v>1.0580974422882972E-2</v>
      </c>
      <c r="Q283" s="1">
        <f>J283-'Passo 2'!J283</f>
        <v>-1.0681858643402098E-4</v>
      </c>
      <c r="R283" s="8">
        <f t="shared" si="17"/>
        <v>409.9559999999999</v>
      </c>
      <c r="S283" s="8">
        <f t="shared" si="16"/>
        <v>416.2595</v>
      </c>
      <c r="T283" s="1">
        <f t="shared" si="18"/>
        <v>344.88622285598689</v>
      </c>
      <c r="U283" s="1">
        <f t="shared" si="19"/>
        <v>270.69177714401297</v>
      </c>
    </row>
    <row r="284" spans="1:21" x14ac:dyDescent="0.3">
      <c r="A284" t="s">
        <v>57</v>
      </c>
      <c r="B284" t="s">
        <v>681</v>
      </c>
      <c r="C284" t="s">
        <v>580</v>
      </c>
      <c r="D284" t="s">
        <v>581</v>
      </c>
      <c r="E284" s="2">
        <v>206.589</v>
      </c>
      <c r="F284" s="2">
        <v>0</v>
      </c>
      <c r="G284" s="2">
        <v>33.015666666666597</v>
      </c>
      <c r="H284" s="2">
        <v>-30.978499999999901</v>
      </c>
      <c r="I284" s="1">
        <v>0.97943985400965194</v>
      </c>
      <c r="J284" s="1">
        <v>0.94985696237456896</v>
      </c>
      <c r="K284" s="1">
        <v>0.71363765872228302</v>
      </c>
      <c r="L284" s="1">
        <v>0.71565915766193799</v>
      </c>
      <c r="P284" s="1">
        <f>I284-'Passo 2'!I284</f>
        <v>6.7278509504378969E-2</v>
      </c>
      <c r="Q284" s="1">
        <f>J284-'Passo 2'!J284</f>
        <v>3.821839497746693E-2</v>
      </c>
      <c r="R284" s="8">
        <f t="shared" si="17"/>
        <v>202.3415</v>
      </c>
      <c r="S284" s="8">
        <f t="shared" si="16"/>
        <v>196.22999999999982</v>
      </c>
      <c r="T284" s="1">
        <f t="shared" si="18"/>
        <v>147.42969027777772</v>
      </c>
      <c r="U284" s="1">
        <f t="shared" si="19"/>
        <v>147.84730972222212</v>
      </c>
    </row>
    <row r="285" spans="1:21" x14ac:dyDescent="0.3">
      <c r="A285" t="s">
        <v>57</v>
      </c>
      <c r="B285" t="s">
        <v>682</v>
      </c>
      <c r="C285" t="s">
        <v>580</v>
      </c>
      <c r="D285" t="s">
        <v>581</v>
      </c>
      <c r="E285" s="2">
        <v>201.52799999999999</v>
      </c>
      <c r="F285" s="2">
        <v>0</v>
      </c>
      <c r="G285" s="2">
        <v>31.178333333333299</v>
      </c>
      <c r="H285" s="2">
        <v>-31.248999999999999</v>
      </c>
      <c r="I285" s="1">
        <v>0.96412905402723104</v>
      </c>
      <c r="J285" s="1">
        <v>0.96518101702989101</v>
      </c>
      <c r="K285" s="1">
        <v>0.71756695512947699</v>
      </c>
      <c r="L285" s="1">
        <v>0.71174311592764605</v>
      </c>
      <c r="P285" s="1">
        <f>I285-'Passo 2'!I285</f>
        <v>3.3241038466118034E-2</v>
      </c>
      <c r="Q285" s="1">
        <f>J285-'Passo 2'!J285</f>
        <v>8.7382398475640555E-3</v>
      </c>
      <c r="R285" s="8">
        <f t="shared" si="17"/>
        <v>194.29899999999981</v>
      </c>
      <c r="S285" s="8">
        <f t="shared" si="16"/>
        <v>194.51099999999985</v>
      </c>
      <c r="T285" s="1">
        <f t="shared" si="18"/>
        <v>144.60983333333323</v>
      </c>
      <c r="U285" s="1">
        <f t="shared" si="19"/>
        <v>143.43616666666665</v>
      </c>
    </row>
    <row r="286" spans="1:21" x14ac:dyDescent="0.3">
      <c r="A286" t="s">
        <v>57</v>
      </c>
      <c r="B286" t="s">
        <v>683</v>
      </c>
      <c r="C286" t="s">
        <v>580</v>
      </c>
      <c r="D286" t="s">
        <v>581</v>
      </c>
      <c r="E286" s="2">
        <v>126.01300000000001</v>
      </c>
      <c r="F286" s="2">
        <v>0</v>
      </c>
      <c r="G286" s="2">
        <v>18.6591666666666</v>
      </c>
      <c r="H286" s="2">
        <v>-20.997</v>
      </c>
      <c r="I286" s="1">
        <v>0.94422004078944199</v>
      </c>
      <c r="J286" s="1">
        <v>0.99987699681778797</v>
      </c>
      <c r="K286" s="1">
        <v>0.84579279713281996</v>
      </c>
      <c r="L286" s="1">
        <v>0.598304240474411</v>
      </c>
      <c r="P286" s="1">
        <f>I286-'Passo 2'!I286</f>
        <v>0.10639775261282602</v>
      </c>
      <c r="Q286" s="1">
        <f>J286-'Passo 2'!J286</f>
        <v>7.4143143961336921E-2</v>
      </c>
      <c r="R286" s="8">
        <f t="shared" si="17"/>
        <v>118.98399999999995</v>
      </c>
      <c r="S286" s="8">
        <f t="shared" si="16"/>
        <v>125.99749999999992</v>
      </c>
      <c r="T286" s="1">
        <f t="shared" si="18"/>
        <v>106.58088774509805</v>
      </c>
      <c r="U286" s="1">
        <f t="shared" si="19"/>
        <v>75.394112254901955</v>
      </c>
    </row>
    <row r="287" spans="1:21" x14ac:dyDescent="0.3">
      <c r="A287" t="s">
        <v>57</v>
      </c>
      <c r="B287" t="s">
        <v>684</v>
      </c>
      <c r="C287" t="s">
        <v>580</v>
      </c>
      <c r="D287" t="s">
        <v>581</v>
      </c>
      <c r="E287" s="2">
        <v>928.697</v>
      </c>
      <c r="F287" s="2">
        <v>0</v>
      </c>
      <c r="G287" s="2">
        <v>133.239</v>
      </c>
      <c r="H287" s="2">
        <v>-153.086833333333</v>
      </c>
      <c r="I287" s="1">
        <v>0.93040625736919502</v>
      </c>
      <c r="J287" s="1">
        <v>0.99452135626582105</v>
      </c>
      <c r="K287" s="1">
        <v>0.73986879517309401</v>
      </c>
      <c r="L287" s="1">
        <v>0.68505881846192296</v>
      </c>
      <c r="P287" s="1">
        <f>I287-'Passo 2'!I287</f>
        <v>0.10619448539189802</v>
      </c>
      <c r="Q287" s="1">
        <f>J287-'Passo 2'!J287</f>
        <v>2.0572910217218077E-2</v>
      </c>
      <c r="R287" s="8">
        <f t="shared" si="17"/>
        <v>864.06549999999936</v>
      </c>
      <c r="S287" s="8">
        <f t="shared" si="16"/>
        <v>923.60899999999924</v>
      </c>
      <c r="T287" s="1">
        <f t="shared" si="18"/>
        <v>687.11393047086688</v>
      </c>
      <c r="U287" s="1">
        <f t="shared" si="19"/>
        <v>636.21206952913246</v>
      </c>
    </row>
    <row r="288" spans="1:21" x14ac:dyDescent="0.3">
      <c r="A288" t="s">
        <v>57</v>
      </c>
      <c r="B288" t="s">
        <v>685</v>
      </c>
      <c r="C288" t="s">
        <v>580</v>
      </c>
      <c r="D288" t="s">
        <v>581</v>
      </c>
      <c r="E288" s="2">
        <v>441.81099999999998</v>
      </c>
      <c r="F288" s="2">
        <v>0</v>
      </c>
      <c r="G288" s="2">
        <v>56.7796666666666</v>
      </c>
      <c r="H288" s="2">
        <v>-69.705500000000001</v>
      </c>
      <c r="I288" s="1">
        <v>0.88554721362754596</v>
      </c>
      <c r="J288" s="1">
        <v>0.97331664444751198</v>
      </c>
      <c r="K288" s="1">
        <v>0.71007214203344704</v>
      </c>
      <c r="L288" s="1">
        <v>0.64879171604161201</v>
      </c>
      <c r="P288" s="1">
        <f>I288-'Passo 2'!I288</f>
        <v>5.111801200060595E-2</v>
      </c>
      <c r="Q288" s="1">
        <f>J288-'Passo 2'!J288</f>
        <v>1.7707798130874974E-2</v>
      </c>
      <c r="R288" s="8">
        <f t="shared" si="17"/>
        <v>391.24449999999968</v>
      </c>
      <c r="S288" s="8">
        <f t="shared" si="16"/>
        <v>430.02199999999971</v>
      </c>
      <c r="T288" s="1">
        <f t="shared" si="18"/>
        <v>313.71768314393927</v>
      </c>
      <c r="U288" s="1">
        <f t="shared" si="19"/>
        <v>286.64331685606061</v>
      </c>
    </row>
    <row r="289" spans="1:21" x14ac:dyDescent="0.3">
      <c r="A289" t="s">
        <v>57</v>
      </c>
      <c r="B289" t="s">
        <v>686</v>
      </c>
      <c r="C289" t="s">
        <v>580</v>
      </c>
      <c r="D289" t="s">
        <v>581</v>
      </c>
      <c r="E289" s="2">
        <v>93.929000000000002</v>
      </c>
      <c r="F289" s="2">
        <v>0</v>
      </c>
      <c r="G289" s="2">
        <v>11.621499999999999</v>
      </c>
      <c r="H289" s="2">
        <v>-14.1151666666666</v>
      </c>
      <c r="I289" s="1">
        <v>0.87117929499941404</v>
      </c>
      <c r="J289" s="1">
        <v>0.95082455897539597</v>
      </c>
      <c r="K289" s="1">
        <v>0.73131804915644405</v>
      </c>
      <c r="L289" s="1">
        <v>0.59068580481836597</v>
      </c>
      <c r="P289" s="1">
        <f>I289-'Passo 2'!I289</f>
        <v>-1.3483588668036006E-2</v>
      </c>
      <c r="Q289" s="1">
        <f>J289-'Passo 2'!J289</f>
        <v>2.9309371972446985E-2</v>
      </c>
      <c r="R289" s="8">
        <f t="shared" si="17"/>
        <v>81.828999999999965</v>
      </c>
      <c r="S289" s="8">
        <f t="shared" si="16"/>
        <v>89.309999999999974</v>
      </c>
      <c r="T289" s="1">
        <f t="shared" si="18"/>
        <v>68.69197303921564</v>
      </c>
      <c r="U289" s="1">
        <f t="shared" si="19"/>
        <v>55.482526960784298</v>
      </c>
    </row>
    <row r="290" spans="1:21" x14ac:dyDescent="0.3">
      <c r="A290" t="s">
        <v>57</v>
      </c>
      <c r="B290" t="s">
        <v>687</v>
      </c>
      <c r="C290" t="s">
        <v>580</v>
      </c>
      <c r="D290" t="s">
        <v>581</v>
      </c>
      <c r="E290" s="2">
        <v>521.41399999999999</v>
      </c>
      <c r="F290" s="2">
        <v>0</v>
      </c>
      <c r="G290" s="2">
        <v>78.865833333333299</v>
      </c>
      <c r="H290" s="2">
        <v>-79.575000000000003</v>
      </c>
      <c r="I290" s="1">
        <v>0.95376131059004898</v>
      </c>
      <c r="J290" s="1">
        <v>0.95784156159980305</v>
      </c>
      <c r="K290" s="1">
        <v>0.73974809664453101</v>
      </c>
      <c r="L290" s="1">
        <v>0.67185477554532103</v>
      </c>
      <c r="P290" s="1">
        <f>I290-'Passo 2'!I290</f>
        <v>9.4004955754927955E-2</v>
      </c>
      <c r="Q290" s="1">
        <f>J290-'Passo 2'!J290</f>
        <v>-1.0070692386471958E-2</v>
      </c>
      <c r="R290" s="8">
        <f t="shared" si="17"/>
        <v>497.30449999999979</v>
      </c>
      <c r="S290" s="8">
        <f t="shared" si="16"/>
        <v>499.43199999999968</v>
      </c>
      <c r="T290" s="1">
        <f t="shared" si="18"/>
        <v>385.71501406381145</v>
      </c>
      <c r="U290" s="1">
        <f t="shared" si="19"/>
        <v>350.31448593618802</v>
      </c>
    </row>
    <row r="291" spans="1:21" x14ac:dyDescent="0.3">
      <c r="A291" t="s">
        <v>57</v>
      </c>
      <c r="B291" t="s">
        <v>202</v>
      </c>
      <c r="C291" t="s">
        <v>34</v>
      </c>
      <c r="D291" t="s">
        <v>35</v>
      </c>
      <c r="E291" s="2">
        <v>235.80699999999999</v>
      </c>
      <c r="F291" s="2">
        <v>0</v>
      </c>
      <c r="G291" s="2">
        <v>39.301166666666603</v>
      </c>
      <c r="H291" s="2">
        <v>-39.023333333333298</v>
      </c>
      <c r="I291" s="1">
        <v>1</v>
      </c>
      <c r="J291" s="1">
        <v>0.99646532969759105</v>
      </c>
      <c r="K291" s="1">
        <v>0.89602546314947695</v>
      </c>
      <c r="L291" s="1">
        <v>0.60043986654811399</v>
      </c>
      <c r="P291" s="1">
        <f>I291-'Passo 2'!I291</f>
        <v>7.0979657092453019E-2</v>
      </c>
      <c r="Q291" s="1">
        <f>J291-'Passo 2'!J291</f>
        <v>0.12052017115692104</v>
      </c>
      <c r="R291" s="8">
        <f t="shared" si="17"/>
        <v>235.80699999999999</v>
      </c>
      <c r="S291" s="8">
        <f t="shared" si="16"/>
        <v>234.97349999999983</v>
      </c>
      <c r="T291" s="1">
        <f t="shared" si="18"/>
        <v>211.2890763888887</v>
      </c>
      <c r="U291" s="1">
        <f t="shared" si="19"/>
        <v>141.58792361111111</v>
      </c>
    </row>
    <row r="292" spans="1:21" x14ac:dyDescent="0.3">
      <c r="A292" t="s">
        <v>57</v>
      </c>
      <c r="B292" t="s">
        <v>203</v>
      </c>
      <c r="C292" t="s">
        <v>576</v>
      </c>
      <c r="D292" t="s">
        <v>589</v>
      </c>
      <c r="E292" s="2">
        <v>0</v>
      </c>
      <c r="F292" s="2">
        <v>0</v>
      </c>
      <c r="G292" s="2">
        <v>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P292" s="1">
        <f>I292-'Passo 2'!I292</f>
        <v>0</v>
      </c>
      <c r="Q292" s="1">
        <f>J292-'Passo 2'!J292</f>
        <v>0</v>
      </c>
      <c r="R292" s="8">
        <f t="shared" si="17"/>
        <v>0</v>
      </c>
      <c r="S292" s="8">
        <f t="shared" si="16"/>
        <v>0</v>
      </c>
      <c r="T292" s="1">
        <f t="shared" si="18"/>
        <v>0</v>
      </c>
      <c r="U292" s="1">
        <f t="shared" si="19"/>
        <v>0</v>
      </c>
    </row>
    <row r="293" spans="1:21" x14ac:dyDescent="0.3">
      <c r="A293" t="s">
        <v>57</v>
      </c>
      <c r="B293" t="s">
        <v>204</v>
      </c>
      <c r="C293" t="s">
        <v>576</v>
      </c>
      <c r="D293" t="s">
        <v>583</v>
      </c>
      <c r="E293" s="2">
        <v>0</v>
      </c>
      <c r="F293" s="2">
        <v>0</v>
      </c>
      <c r="G293" s="2">
        <v>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P293" s="1">
        <f>I293-'Passo 2'!I293</f>
        <v>0</v>
      </c>
      <c r="Q293" s="1">
        <f>J293-'Passo 2'!J293</f>
        <v>0</v>
      </c>
      <c r="R293" s="8">
        <f t="shared" si="17"/>
        <v>0</v>
      </c>
      <c r="S293" s="8">
        <f t="shared" si="16"/>
        <v>0</v>
      </c>
      <c r="T293" s="1">
        <f t="shared" si="18"/>
        <v>0</v>
      </c>
      <c r="U293" s="1">
        <f t="shared" si="19"/>
        <v>0</v>
      </c>
    </row>
    <row r="294" spans="1:21" x14ac:dyDescent="0.3">
      <c r="A294" t="s">
        <v>57</v>
      </c>
      <c r="B294" t="s">
        <v>205</v>
      </c>
      <c r="C294" t="s">
        <v>576</v>
      </c>
      <c r="D294" t="s">
        <v>14</v>
      </c>
      <c r="E294" s="2">
        <v>12.102</v>
      </c>
      <c r="F294" s="2">
        <v>0</v>
      </c>
      <c r="G294" s="2">
        <v>1.9649999999999901</v>
      </c>
      <c r="H294" s="2">
        <v>-1.6156666666666599</v>
      </c>
      <c r="I294" s="1">
        <v>0.98710956866633603</v>
      </c>
      <c r="J294" s="1">
        <v>0.90051231201454296</v>
      </c>
      <c r="K294" s="1">
        <v>0.87733458229108596</v>
      </c>
      <c r="L294" s="1">
        <v>0.51028729838979203</v>
      </c>
      <c r="P294" s="1">
        <f>I294-'Passo 2'!I294</f>
        <v>0.13010246240290901</v>
      </c>
      <c r="Q294" s="1">
        <f>J294-'Passo 2'!J294</f>
        <v>1.0080978350685998E-2</v>
      </c>
      <c r="R294" s="8">
        <f t="shared" si="17"/>
        <v>11.946</v>
      </c>
      <c r="S294" s="8">
        <f t="shared" si="16"/>
        <v>10.898</v>
      </c>
      <c r="T294" s="1">
        <f t="shared" si="18"/>
        <v>10.617503114886723</v>
      </c>
      <c r="U294" s="1">
        <f t="shared" si="19"/>
        <v>6.1754968851132634</v>
      </c>
    </row>
    <row r="295" spans="1:21" x14ac:dyDescent="0.3">
      <c r="A295" t="s">
        <v>57</v>
      </c>
      <c r="B295" t="s">
        <v>206</v>
      </c>
      <c r="C295" t="s">
        <v>34</v>
      </c>
      <c r="D295" t="s">
        <v>35</v>
      </c>
      <c r="E295" s="2">
        <v>20.954000000000001</v>
      </c>
      <c r="F295" s="2">
        <v>0</v>
      </c>
      <c r="G295" s="2">
        <v>3.4923333333333302</v>
      </c>
      <c r="H295" s="2">
        <v>-3.4449999999999998</v>
      </c>
      <c r="I295" s="1">
        <v>1</v>
      </c>
      <c r="J295" s="1">
        <v>0.99322325093060904</v>
      </c>
      <c r="K295" s="1">
        <v>0.99592433827156601</v>
      </c>
      <c r="L295" s="1">
        <v>0.49729891265904302</v>
      </c>
      <c r="P295" s="1">
        <f>I295-'Passo 2'!I295</f>
        <v>1.4961343896154E-2</v>
      </c>
      <c r="Q295" s="1">
        <f>J295-'Passo 2'!J295</f>
        <v>2.1642645795552085E-2</v>
      </c>
      <c r="R295" s="8">
        <f t="shared" si="17"/>
        <v>20.954000000000001</v>
      </c>
      <c r="S295" s="8">
        <f t="shared" si="16"/>
        <v>20.811999999999983</v>
      </c>
      <c r="T295" s="1">
        <f t="shared" si="18"/>
        <v>20.868598584142394</v>
      </c>
      <c r="U295" s="1">
        <f t="shared" si="19"/>
        <v>10.420401415857588</v>
      </c>
    </row>
    <row r="296" spans="1:21" x14ac:dyDescent="0.3">
      <c r="A296" t="s">
        <v>57</v>
      </c>
      <c r="B296" t="s">
        <v>207</v>
      </c>
      <c r="C296" t="s">
        <v>576</v>
      </c>
      <c r="D296" t="s">
        <v>577</v>
      </c>
      <c r="E296" s="2">
        <v>0</v>
      </c>
      <c r="F296" s="2">
        <v>0</v>
      </c>
      <c r="G296" s="2">
        <v>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P296" s="1">
        <f>I296-'Passo 2'!I296</f>
        <v>0</v>
      </c>
      <c r="Q296" s="1">
        <f>J296-'Passo 2'!J296</f>
        <v>0</v>
      </c>
      <c r="R296" s="8">
        <f t="shared" si="17"/>
        <v>0</v>
      </c>
      <c r="S296" s="8">
        <f t="shared" si="16"/>
        <v>0</v>
      </c>
      <c r="T296" s="1">
        <f t="shared" si="18"/>
        <v>0</v>
      </c>
      <c r="U296" s="1">
        <f t="shared" si="19"/>
        <v>0</v>
      </c>
    </row>
    <row r="297" spans="1:21" x14ac:dyDescent="0.3">
      <c r="A297" t="s">
        <v>57</v>
      </c>
      <c r="B297" t="s">
        <v>208</v>
      </c>
      <c r="C297" t="s">
        <v>580</v>
      </c>
      <c r="D297" t="s">
        <v>581</v>
      </c>
      <c r="E297" s="2">
        <v>6.3579999999999997</v>
      </c>
      <c r="F297" s="2">
        <v>0.13</v>
      </c>
      <c r="G297" s="2">
        <v>0.77766666666666595</v>
      </c>
      <c r="H297" s="2">
        <v>-1.038</v>
      </c>
      <c r="I297" s="1">
        <v>0.85671594841145005</v>
      </c>
      <c r="J297" s="1">
        <v>0.97955331865366402</v>
      </c>
      <c r="K297" s="1">
        <v>0.64214703260983497</v>
      </c>
      <c r="L297" s="1">
        <v>0.70434557512844698</v>
      </c>
      <c r="P297" s="1">
        <f>I297-'Passo 2'!I297</f>
        <v>9.0437244416483042E-2</v>
      </c>
      <c r="Q297" s="1">
        <f>J297-'Passo 2'!J297</f>
        <v>0.12000629128656803</v>
      </c>
      <c r="R297" s="8">
        <f t="shared" si="17"/>
        <v>5.4469999999999992</v>
      </c>
      <c r="S297" s="8">
        <f t="shared" si="16"/>
        <v>6.2279999999999953</v>
      </c>
      <c r="T297" s="1">
        <f t="shared" si="18"/>
        <v>4.0827708333333304</v>
      </c>
      <c r="U297" s="1">
        <f t="shared" si="19"/>
        <v>4.478229166666666</v>
      </c>
    </row>
    <row r="298" spans="1:21" x14ac:dyDescent="0.3">
      <c r="A298" t="s">
        <v>57</v>
      </c>
      <c r="B298" t="s">
        <v>209</v>
      </c>
      <c r="C298" t="s">
        <v>576</v>
      </c>
      <c r="D298" t="s">
        <v>583</v>
      </c>
      <c r="E298" s="2">
        <v>141.65700000000001</v>
      </c>
      <c r="F298" s="2">
        <v>0</v>
      </c>
      <c r="G298" s="2">
        <v>23.609500000000001</v>
      </c>
      <c r="H298" s="2">
        <v>-23.609500000000001</v>
      </c>
      <c r="I298" s="1">
        <v>1</v>
      </c>
      <c r="J298" s="1">
        <v>1</v>
      </c>
      <c r="K298" s="1">
        <v>0.98985739672287798</v>
      </c>
      <c r="L298" s="1">
        <v>0.51014260327712102</v>
      </c>
      <c r="P298" s="1">
        <f>I298-'Passo 2'!I298</f>
        <v>6.6180986467311964E-2</v>
      </c>
      <c r="Q298" s="1">
        <f>J298-'Passo 2'!J298</f>
        <v>1.051836478253898E-2</v>
      </c>
      <c r="R298" s="8">
        <f t="shared" si="17"/>
        <v>141.65700000000001</v>
      </c>
      <c r="S298" s="8">
        <f t="shared" si="16"/>
        <v>141.65700000000001</v>
      </c>
      <c r="T298" s="1">
        <f t="shared" si="18"/>
        <v>140.22022924757275</v>
      </c>
      <c r="U298" s="1">
        <f t="shared" si="19"/>
        <v>72.265270752427142</v>
      </c>
    </row>
    <row r="299" spans="1:21" x14ac:dyDescent="0.3">
      <c r="A299" t="s">
        <v>57</v>
      </c>
      <c r="B299" t="s">
        <v>210</v>
      </c>
      <c r="C299" t="s">
        <v>576</v>
      </c>
      <c r="D299" t="s">
        <v>583</v>
      </c>
      <c r="E299" s="2">
        <v>140.23400000000001</v>
      </c>
      <c r="F299" s="2">
        <v>0</v>
      </c>
      <c r="G299" s="2">
        <v>23.372333333333302</v>
      </c>
      <c r="H299" s="2">
        <v>-23.372333333333302</v>
      </c>
      <c r="I299" s="1">
        <v>1</v>
      </c>
      <c r="J299" s="1">
        <v>1</v>
      </c>
      <c r="K299" s="1">
        <v>0.98992678003335399</v>
      </c>
      <c r="L299" s="1">
        <v>0.51007321996664501</v>
      </c>
      <c r="P299" s="1">
        <f>I299-'Passo 2'!I299</f>
        <v>9.3094399361068003E-2</v>
      </c>
      <c r="Q299" s="1">
        <f>J299-'Passo 2'!J299</f>
        <v>1.1930059757263023E-2</v>
      </c>
      <c r="R299" s="8">
        <f t="shared" si="17"/>
        <v>140.23400000000001</v>
      </c>
      <c r="S299" s="8">
        <f t="shared" si="16"/>
        <v>140.23400000000001</v>
      </c>
      <c r="T299" s="1">
        <f t="shared" si="18"/>
        <v>138.82139207119738</v>
      </c>
      <c r="U299" s="1">
        <f t="shared" si="19"/>
        <v>71.529607928802506</v>
      </c>
    </row>
    <row r="300" spans="1:21" x14ac:dyDescent="0.3">
      <c r="A300" t="s">
        <v>57</v>
      </c>
      <c r="B300" t="s">
        <v>211</v>
      </c>
      <c r="C300" t="s">
        <v>580</v>
      </c>
      <c r="D300" t="s">
        <v>581</v>
      </c>
      <c r="E300" s="2">
        <v>15.388999999999999</v>
      </c>
      <c r="F300" s="2">
        <v>8.9999999999999993E-3</v>
      </c>
      <c r="G300" s="2">
        <v>2.2836666666666599</v>
      </c>
      <c r="H300" s="2">
        <v>-2.5633333333333299</v>
      </c>
      <c r="I300" s="1">
        <v>0.94489570472415296</v>
      </c>
      <c r="J300" s="1">
        <v>0.99941516667749597</v>
      </c>
      <c r="K300" s="1">
        <v>0.71966447895682994</v>
      </c>
      <c r="L300" s="1">
        <v>0.724938809106071</v>
      </c>
      <c r="P300" s="1">
        <f>I300-'Passo 2'!I300</f>
        <v>1.7122620053284909E-2</v>
      </c>
      <c r="Q300" s="1">
        <f>J300-'Passo 2'!J300</f>
        <v>0.18253297810124092</v>
      </c>
      <c r="R300" s="8">
        <f t="shared" si="17"/>
        <v>14.54099999999999</v>
      </c>
      <c r="S300" s="8">
        <f t="shared" si="16"/>
        <v>15.379999999999985</v>
      </c>
      <c r="T300" s="1">
        <f t="shared" si="18"/>
        <v>11.074916666666656</v>
      </c>
      <c r="U300" s="1">
        <f t="shared" si="19"/>
        <v>11.156083333333326</v>
      </c>
    </row>
    <row r="301" spans="1:21" x14ac:dyDescent="0.3">
      <c r="A301" t="s">
        <v>57</v>
      </c>
      <c r="B301" t="s">
        <v>212</v>
      </c>
      <c r="C301" t="s">
        <v>576</v>
      </c>
      <c r="D301" t="s">
        <v>583</v>
      </c>
      <c r="E301" s="2">
        <v>0</v>
      </c>
      <c r="F301" s="2">
        <v>0</v>
      </c>
      <c r="G301" s="2">
        <v>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P301" s="1">
        <f>I301-'Passo 2'!I301</f>
        <v>0</v>
      </c>
      <c r="Q301" s="1">
        <f>J301-'Passo 2'!J301</f>
        <v>0</v>
      </c>
      <c r="R301" s="8">
        <f t="shared" si="17"/>
        <v>0</v>
      </c>
      <c r="S301" s="8">
        <f t="shared" si="16"/>
        <v>0</v>
      </c>
      <c r="T301" s="1">
        <f t="shared" si="18"/>
        <v>0</v>
      </c>
      <c r="U301" s="1">
        <f t="shared" si="19"/>
        <v>0</v>
      </c>
    </row>
    <row r="302" spans="1:21" x14ac:dyDescent="0.3">
      <c r="A302" t="s">
        <v>57</v>
      </c>
      <c r="B302" t="s">
        <v>213</v>
      </c>
      <c r="C302" t="s">
        <v>580</v>
      </c>
      <c r="D302" t="s">
        <v>581</v>
      </c>
      <c r="E302" s="2">
        <v>72.585999999999999</v>
      </c>
      <c r="F302" s="2">
        <v>0</v>
      </c>
      <c r="G302" s="2">
        <v>8.06</v>
      </c>
      <c r="H302" s="2">
        <v>-11.5718333333333</v>
      </c>
      <c r="I302" s="1">
        <v>0.83312208965916201</v>
      </c>
      <c r="J302" s="1">
        <v>0.97826715895627203</v>
      </c>
      <c r="K302" s="1">
        <v>0.73447988089031202</v>
      </c>
      <c r="L302" s="1">
        <v>0.57690936772512302</v>
      </c>
      <c r="P302" s="1">
        <f>I302-'Passo 2'!I302</f>
        <v>-4.929325214228697E-2</v>
      </c>
      <c r="Q302" s="1">
        <f>J302-'Passo 2'!J302</f>
        <v>8.0766263466784061E-2</v>
      </c>
      <c r="R302" s="8">
        <f t="shared" si="17"/>
        <v>60.472999999999935</v>
      </c>
      <c r="S302" s="8">
        <f t="shared" si="16"/>
        <v>71.008499999999955</v>
      </c>
      <c r="T302" s="1">
        <f t="shared" si="18"/>
        <v>53.312956634304186</v>
      </c>
      <c r="U302" s="1">
        <f t="shared" si="19"/>
        <v>41.875543365695776</v>
      </c>
    </row>
    <row r="303" spans="1:21" x14ac:dyDescent="0.3">
      <c r="A303" t="s">
        <v>57</v>
      </c>
      <c r="B303" t="s">
        <v>214</v>
      </c>
      <c r="C303" t="s">
        <v>576</v>
      </c>
      <c r="D303" t="s">
        <v>589</v>
      </c>
      <c r="E303" s="2">
        <v>0</v>
      </c>
      <c r="F303" s="2">
        <v>0</v>
      </c>
      <c r="G303" s="2">
        <v>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P303" s="1">
        <f>I303-'Passo 2'!I303</f>
        <v>0</v>
      </c>
      <c r="Q303" s="1">
        <f>J303-'Passo 2'!J303</f>
        <v>0</v>
      </c>
      <c r="R303" s="8">
        <f t="shared" si="17"/>
        <v>0</v>
      </c>
      <c r="S303" s="8">
        <f t="shared" si="16"/>
        <v>0</v>
      </c>
      <c r="T303" s="1">
        <f t="shared" si="18"/>
        <v>0</v>
      </c>
      <c r="U303" s="1">
        <f t="shared" si="19"/>
        <v>0</v>
      </c>
    </row>
    <row r="304" spans="1:21" x14ac:dyDescent="0.3">
      <c r="A304" t="s">
        <v>57</v>
      </c>
      <c r="B304" t="s">
        <v>215</v>
      </c>
      <c r="C304" t="s">
        <v>574</v>
      </c>
      <c r="D304" t="s">
        <v>575</v>
      </c>
      <c r="E304" s="2">
        <v>447.077</v>
      </c>
      <c r="F304" s="2">
        <v>0</v>
      </c>
      <c r="G304" s="2">
        <v>74.503833333333304</v>
      </c>
      <c r="H304" s="2">
        <v>-74.469166666666595</v>
      </c>
      <c r="I304" s="1">
        <v>0.99993960771858004</v>
      </c>
      <c r="J304" s="1">
        <v>0.99970698559755899</v>
      </c>
      <c r="K304" s="1">
        <v>0.85806072783752496</v>
      </c>
      <c r="L304" s="1">
        <v>0.64158586547861396</v>
      </c>
      <c r="P304" s="1">
        <f>I304-'Passo 2'!I304</f>
        <v>0.11768442572532201</v>
      </c>
      <c r="Q304" s="1">
        <f>J304-'Passo 2'!J304</f>
        <v>0.16530038449752504</v>
      </c>
      <c r="R304" s="8">
        <f t="shared" si="17"/>
        <v>447.04999999999961</v>
      </c>
      <c r="S304" s="8">
        <f t="shared" si="16"/>
        <v>446.94599999999986</v>
      </c>
      <c r="T304" s="1">
        <f t="shared" si="18"/>
        <v>383.61921601941714</v>
      </c>
      <c r="U304" s="1">
        <f t="shared" si="19"/>
        <v>286.83828398058228</v>
      </c>
    </row>
    <row r="305" spans="1:21" x14ac:dyDescent="0.3">
      <c r="A305" t="s">
        <v>57</v>
      </c>
      <c r="B305" t="s">
        <v>216</v>
      </c>
      <c r="C305" t="s">
        <v>576</v>
      </c>
      <c r="D305" t="s">
        <v>589</v>
      </c>
      <c r="E305" s="2">
        <v>0</v>
      </c>
      <c r="F305" s="2">
        <v>0</v>
      </c>
      <c r="G305" s="2">
        <v>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P305" s="1">
        <f>I305-'Passo 2'!I305</f>
        <v>0</v>
      </c>
      <c r="Q305" s="1">
        <f>J305-'Passo 2'!J305</f>
        <v>0</v>
      </c>
      <c r="R305" s="8">
        <f t="shared" si="17"/>
        <v>0</v>
      </c>
      <c r="S305" s="8">
        <f t="shared" si="16"/>
        <v>0</v>
      </c>
      <c r="T305" s="1">
        <f t="shared" si="18"/>
        <v>0</v>
      </c>
      <c r="U305" s="1">
        <f t="shared" si="19"/>
        <v>0</v>
      </c>
    </row>
    <row r="306" spans="1:21" x14ac:dyDescent="0.3">
      <c r="A306" t="s">
        <v>57</v>
      </c>
      <c r="B306" t="s">
        <v>217</v>
      </c>
      <c r="C306" t="s">
        <v>574</v>
      </c>
      <c r="D306" t="s">
        <v>575</v>
      </c>
      <c r="E306" s="2">
        <v>1471.1690000000001</v>
      </c>
      <c r="F306" s="2">
        <v>129.047</v>
      </c>
      <c r="G306" s="2">
        <v>215.457666666666</v>
      </c>
      <c r="H306" s="2">
        <v>-213.92683333333301</v>
      </c>
      <c r="I306" s="1">
        <v>0.89550146856003598</v>
      </c>
      <c r="J306" s="1">
        <v>0.89237980136884298</v>
      </c>
      <c r="K306" s="1">
        <v>0.76499196326868701</v>
      </c>
      <c r="L306" s="1">
        <v>0.56674796599844501</v>
      </c>
      <c r="P306" s="1">
        <f>I306-'Passo 2'!I306</f>
        <v>6.3647344390753036E-2</v>
      </c>
      <c r="Q306" s="1">
        <f>J306-'Passo 2'!J306</f>
        <v>3.0933903582797018E-2</v>
      </c>
      <c r="R306" s="8">
        <f t="shared" si="17"/>
        <v>1317.4339999999997</v>
      </c>
      <c r="S306" s="8">
        <f t="shared" si="16"/>
        <v>1312.8414999999995</v>
      </c>
      <c r="T306" s="1">
        <f t="shared" si="18"/>
        <v>1125.4324616100312</v>
      </c>
      <c r="U306" s="1">
        <f t="shared" si="19"/>
        <v>833.78203838996637</v>
      </c>
    </row>
    <row r="307" spans="1:21" x14ac:dyDescent="0.3">
      <c r="A307" t="s">
        <v>57</v>
      </c>
      <c r="B307" t="s">
        <v>218</v>
      </c>
      <c r="C307" t="s">
        <v>580</v>
      </c>
      <c r="D307" t="s">
        <v>581</v>
      </c>
      <c r="E307" s="2">
        <v>23.498000000000001</v>
      </c>
      <c r="F307" s="2">
        <v>0</v>
      </c>
      <c r="G307" s="2">
        <v>3.7566666666666602</v>
      </c>
      <c r="H307" s="2">
        <v>-3.6931666666666598</v>
      </c>
      <c r="I307" s="1">
        <v>0.97961528640735296</v>
      </c>
      <c r="J307" s="1">
        <v>0.97150821346497496</v>
      </c>
      <c r="K307" s="1">
        <v>0.77488978095223104</v>
      </c>
      <c r="L307" s="1">
        <v>0.67623371892009798</v>
      </c>
      <c r="P307" s="1">
        <f>I307-'Passo 2'!I307</f>
        <v>3.091752489573496E-2</v>
      </c>
      <c r="Q307" s="1">
        <f>J307-'Passo 2'!J307</f>
        <v>1.5682185717933006E-2</v>
      </c>
      <c r="R307" s="8">
        <f t="shared" si="17"/>
        <v>23.018999999999981</v>
      </c>
      <c r="S307" s="8">
        <f t="shared" si="16"/>
        <v>22.828499999999984</v>
      </c>
      <c r="T307" s="1">
        <f t="shared" si="18"/>
        <v>18.208360072815527</v>
      </c>
      <c r="U307" s="1">
        <f t="shared" si="19"/>
        <v>15.890139927184464</v>
      </c>
    </row>
    <row r="308" spans="1:21" x14ac:dyDescent="0.3">
      <c r="A308" t="s">
        <v>57</v>
      </c>
      <c r="B308" t="s">
        <v>688</v>
      </c>
      <c r="C308" t="s">
        <v>576</v>
      </c>
      <c r="D308" t="s">
        <v>583</v>
      </c>
      <c r="E308" s="2">
        <v>142.18700000000001</v>
      </c>
      <c r="F308" s="2">
        <v>0</v>
      </c>
      <c r="G308" s="2">
        <v>23.6978333333333</v>
      </c>
      <c r="H308" s="2">
        <v>-23.6978333333333</v>
      </c>
      <c r="I308" s="1">
        <v>1</v>
      </c>
      <c r="J308" s="1">
        <v>1</v>
      </c>
      <c r="K308" s="1">
        <v>0.98321602547745601</v>
      </c>
      <c r="L308" s="1">
        <v>0.51678397452254299</v>
      </c>
      <c r="P308" s="1">
        <f>I308-'Passo 2'!I308</f>
        <v>6.1183511854107975E-2</v>
      </c>
      <c r="Q308" s="1">
        <f>J308-'Passo 2'!J308</f>
        <v>5.8127676932500094E-3</v>
      </c>
      <c r="R308" s="8">
        <f t="shared" si="17"/>
        <v>142.18700000000001</v>
      </c>
      <c r="S308" s="8">
        <f t="shared" si="16"/>
        <v>142.18700000000001</v>
      </c>
      <c r="T308" s="1">
        <f t="shared" si="18"/>
        <v>139.80053701456305</v>
      </c>
      <c r="U308" s="1">
        <f t="shared" si="19"/>
        <v>73.479962985436828</v>
      </c>
    </row>
    <row r="309" spans="1:21" x14ac:dyDescent="0.3">
      <c r="A309" t="s">
        <v>57</v>
      </c>
      <c r="B309" t="s">
        <v>219</v>
      </c>
      <c r="C309" t="s">
        <v>576</v>
      </c>
      <c r="D309" t="s">
        <v>589</v>
      </c>
      <c r="E309" s="2">
        <v>0</v>
      </c>
      <c r="F309" s="2">
        <v>0</v>
      </c>
      <c r="G309" s="2">
        <v>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P309" s="1">
        <f>I309-'Passo 2'!I309</f>
        <v>0</v>
      </c>
      <c r="Q309" s="1">
        <f>J309-'Passo 2'!J309</f>
        <v>0</v>
      </c>
      <c r="R309" s="8">
        <f t="shared" si="17"/>
        <v>0</v>
      </c>
      <c r="S309" s="8">
        <f t="shared" si="16"/>
        <v>0</v>
      </c>
      <c r="T309" s="1">
        <f t="shared" si="18"/>
        <v>0</v>
      </c>
      <c r="U309" s="1">
        <f t="shared" si="19"/>
        <v>0</v>
      </c>
    </row>
    <row r="310" spans="1:21" x14ac:dyDescent="0.3">
      <c r="A310" t="s">
        <v>57</v>
      </c>
      <c r="B310" t="s">
        <v>220</v>
      </c>
      <c r="C310" t="s">
        <v>580</v>
      </c>
      <c r="D310" t="s">
        <v>581</v>
      </c>
      <c r="E310" s="2">
        <v>92.676000000000002</v>
      </c>
      <c r="F310" s="2">
        <v>0</v>
      </c>
      <c r="G310" s="2">
        <v>14.6856666666666</v>
      </c>
      <c r="H310" s="2">
        <v>-9.3431666666666597</v>
      </c>
      <c r="I310" s="1">
        <v>0.97538737105615203</v>
      </c>
      <c r="J310" s="1">
        <v>0.80244615650222195</v>
      </c>
      <c r="K310" s="1">
        <v>0.89959352071964205</v>
      </c>
      <c r="L310" s="1">
        <v>0.37824000683873199</v>
      </c>
      <c r="P310" s="1">
        <f>I310-'Passo 2'!I310</f>
        <v>1.682204670033205E-2</v>
      </c>
      <c r="Q310" s="1">
        <f>J310-'Passo 2'!J310</f>
        <v>-2.9910656480643061E-2</v>
      </c>
      <c r="R310" s="8">
        <f t="shared" si="17"/>
        <v>90.394999999999953</v>
      </c>
      <c r="S310" s="8">
        <f t="shared" si="16"/>
        <v>74.367499999999922</v>
      </c>
      <c r="T310" s="1">
        <f t="shared" si="18"/>
        <v>83.370729126213547</v>
      </c>
      <c r="U310" s="1">
        <f t="shared" si="19"/>
        <v>35.053770873786327</v>
      </c>
    </row>
    <row r="311" spans="1:21" x14ac:dyDescent="0.3">
      <c r="A311" t="s">
        <v>57</v>
      </c>
      <c r="B311" t="s">
        <v>221</v>
      </c>
      <c r="C311" t="s">
        <v>580</v>
      </c>
      <c r="D311" t="s">
        <v>581</v>
      </c>
      <c r="E311" s="2">
        <v>55.051000000000002</v>
      </c>
      <c r="F311" s="2">
        <v>7.6989999999999998</v>
      </c>
      <c r="G311" s="2">
        <v>6.3234999999999904</v>
      </c>
      <c r="H311" s="2">
        <v>-5.3208333333333302</v>
      </c>
      <c r="I311" s="1">
        <v>0.774672576338304</v>
      </c>
      <c r="J311" s="1">
        <v>0.72003233365424801</v>
      </c>
      <c r="K311" s="1">
        <v>0.54545822661410903</v>
      </c>
      <c r="L311" s="1">
        <v>0.51917275193305601</v>
      </c>
      <c r="P311" s="1">
        <f>I311-'Passo 2'!I311</f>
        <v>5.8218742620478992E-2</v>
      </c>
      <c r="Q311" s="1">
        <f>J311-'Passo 2'!J311</f>
        <v>9.9316996966450022E-2</v>
      </c>
      <c r="R311" s="8">
        <f t="shared" si="17"/>
        <v>42.646499999999975</v>
      </c>
      <c r="S311" s="8">
        <f t="shared" si="16"/>
        <v>39.638500000000008</v>
      </c>
      <c r="T311" s="1">
        <f t="shared" si="18"/>
        <v>30.028020833333319</v>
      </c>
      <c r="U311" s="1">
        <f t="shared" si="19"/>
        <v>28.580979166666669</v>
      </c>
    </row>
    <row r="312" spans="1:21" x14ac:dyDescent="0.3">
      <c r="A312" t="s">
        <v>57</v>
      </c>
      <c r="B312" t="s">
        <v>689</v>
      </c>
      <c r="C312" t="s">
        <v>576</v>
      </c>
      <c r="D312" t="s">
        <v>589</v>
      </c>
      <c r="E312" s="2">
        <v>0</v>
      </c>
      <c r="F312" s="2">
        <v>0</v>
      </c>
      <c r="G312" s="2">
        <v>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P312" s="1">
        <f>I312-'Passo 2'!I312</f>
        <v>0</v>
      </c>
      <c r="Q312" s="1">
        <f>J312-'Passo 2'!J312</f>
        <v>0</v>
      </c>
      <c r="R312" s="8">
        <f t="shared" si="17"/>
        <v>0</v>
      </c>
      <c r="S312" s="8">
        <f t="shared" si="16"/>
        <v>0</v>
      </c>
      <c r="T312" s="1">
        <f t="shared" si="18"/>
        <v>0</v>
      </c>
      <c r="U312" s="1">
        <f t="shared" si="19"/>
        <v>0</v>
      </c>
    </row>
    <row r="313" spans="1:21" x14ac:dyDescent="0.3">
      <c r="A313" t="s">
        <v>57</v>
      </c>
      <c r="B313" t="s">
        <v>690</v>
      </c>
      <c r="C313" t="s">
        <v>576</v>
      </c>
      <c r="D313" t="s">
        <v>583</v>
      </c>
      <c r="E313" s="2">
        <v>144.58699999999999</v>
      </c>
      <c r="F313" s="2">
        <v>0</v>
      </c>
      <c r="G313" s="2">
        <v>24.097833333333298</v>
      </c>
      <c r="H313" s="2">
        <v>-24.097833333333298</v>
      </c>
      <c r="I313" s="1">
        <v>1</v>
      </c>
      <c r="J313" s="1">
        <v>1</v>
      </c>
      <c r="K313" s="1">
        <v>0.99873041353317604</v>
      </c>
      <c r="L313" s="1">
        <v>0.50126958646682296</v>
      </c>
      <c r="P313" s="1">
        <f>I313-'Passo 2'!I313</f>
        <v>4.177415673608964E-3</v>
      </c>
      <c r="Q313" s="1">
        <f>J313-'Passo 2'!J313</f>
        <v>3.2506380241703603E-4</v>
      </c>
      <c r="R313" s="8">
        <f t="shared" si="17"/>
        <v>144.58699999999999</v>
      </c>
      <c r="S313" s="8">
        <f t="shared" si="16"/>
        <v>144.58699999999999</v>
      </c>
      <c r="T313" s="1">
        <f t="shared" si="18"/>
        <v>144.40343430152132</v>
      </c>
      <c r="U313" s="1">
        <f t="shared" si="19"/>
        <v>72.477065698478526</v>
      </c>
    </row>
    <row r="314" spans="1:21" x14ac:dyDescent="0.3">
      <c r="A314" t="s">
        <v>57</v>
      </c>
      <c r="B314" t="s">
        <v>222</v>
      </c>
      <c r="C314" t="s">
        <v>34</v>
      </c>
      <c r="D314" t="s">
        <v>35</v>
      </c>
      <c r="E314" s="2">
        <v>867.17499999999995</v>
      </c>
      <c r="F314" s="2">
        <v>0</v>
      </c>
      <c r="G314" s="2">
        <v>141.81366666666599</v>
      </c>
      <c r="H314" s="2">
        <v>-143.043833333333</v>
      </c>
      <c r="I314" s="1">
        <v>0.99060570242453905</v>
      </c>
      <c r="J314" s="1">
        <v>0.99486147548072701</v>
      </c>
      <c r="K314" s="1">
        <v>0.92944202662870501</v>
      </c>
      <c r="L314" s="1">
        <v>0.55602515127656105</v>
      </c>
      <c r="P314" s="1">
        <f>I314-'Passo 2'!I314</f>
        <v>0.25326433534177106</v>
      </c>
      <c r="Q314" s="1">
        <f>J314-'Passo 2'!J314</f>
        <v>0.25733444806411598</v>
      </c>
      <c r="R314" s="8">
        <f t="shared" si="17"/>
        <v>859.02849999999955</v>
      </c>
      <c r="S314" s="8">
        <f t="shared" si="16"/>
        <v>862.71899999999937</v>
      </c>
      <c r="T314" s="1">
        <f t="shared" si="18"/>
        <v>805.98888944174723</v>
      </c>
      <c r="U314" s="1">
        <f t="shared" si="19"/>
        <v>482.17111055825183</v>
      </c>
    </row>
    <row r="315" spans="1:21" x14ac:dyDescent="0.3">
      <c r="A315" t="s">
        <v>57</v>
      </c>
      <c r="B315" t="s">
        <v>223</v>
      </c>
      <c r="C315" t="s">
        <v>574</v>
      </c>
      <c r="D315" t="s">
        <v>575</v>
      </c>
      <c r="E315" s="2">
        <v>153.07499999999999</v>
      </c>
      <c r="F315" s="2">
        <v>0</v>
      </c>
      <c r="G315" s="2">
        <v>25.345833333333299</v>
      </c>
      <c r="H315" s="2">
        <v>-25.345833333333299</v>
      </c>
      <c r="I315" s="1">
        <v>0.99673362730687498</v>
      </c>
      <c r="J315" s="1">
        <v>0.99673362730687498</v>
      </c>
      <c r="K315" s="1">
        <v>0.99363685731606599</v>
      </c>
      <c r="L315" s="1">
        <v>0.49983039729768403</v>
      </c>
      <c r="P315" s="1">
        <f>I315-'Passo 2'!I315</f>
        <v>0</v>
      </c>
      <c r="Q315" s="1">
        <f>J315-'Passo 2'!J315</f>
        <v>0</v>
      </c>
      <c r="R315" s="8">
        <f t="shared" si="17"/>
        <v>152.57499999999987</v>
      </c>
      <c r="S315" s="8">
        <f t="shared" si="16"/>
        <v>152.57499999999987</v>
      </c>
      <c r="T315" s="1">
        <f t="shared" si="18"/>
        <v>152.10096193365678</v>
      </c>
      <c r="U315" s="1">
        <f t="shared" si="19"/>
        <v>76.511538066342979</v>
      </c>
    </row>
    <row r="316" spans="1:21" x14ac:dyDescent="0.3">
      <c r="A316" t="s">
        <v>57</v>
      </c>
      <c r="B316" t="s">
        <v>224</v>
      </c>
      <c r="C316" t="s">
        <v>576</v>
      </c>
      <c r="D316" t="s">
        <v>591</v>
      </c>
      <c r="E316" s="2">
        <v>73</v>
      </c>
      <c r="F316" s="2">
        <v>0</v>
      </c>
      <c r="G316" s="2">
        <v>4.6666666666666599</v>
      </c>
      <c r="H316" s="2">
        <v>-7.1666666666666599</v>
      </c>
      <c r="I316" s="1">
        <v>0.69178082191780799</v>
      </c>
      <c r="J316" s="1">
        <v>0.79452054794520499</v>
      </c>
      <c r="K316" s="1">
        <v>0.477036723633461</v>
      </c>
      <c r="L316" s="1">
        <v>0.50926464622955103</v>
      </c>
      <c r="P316" s="1">
        <f>I316-'Passo 2'!I316</f>
        <v>0</v>
      </c>
      <c r="Q316" s="1">
        <f>J316-'Passo 2'!J316</f>
        <v>0</v>
      </c>
      <c r="R316" s="8">
        <f t="shared" si="17"/>
        <v>50.499999999999986</v>
      </c>
      <c r="S316" s="8">
        <f t="shared" si="16"/>
        <v>57.999999999999964</v>
      </c>
      <c r="T316" s="1">
        <f t="shared" si="18"/>
        <v>34.823680825242654</v>
      </c>
      <c r="U316" s="1">
        <f t="shared" si="19"/>
        <v>37.176319174757225</v>
      </c>
    </row>
    <row r="317" spans="1:21" x14ac:dyDescent="0.3">
      <c r="A317" t="s">
        <v>57</v>
      </c>
      <c r="B317" t="s">
        <v>225</v>
      </c>
      <c r="C317" t="s">
        <v>576</v>
      </c>
      <c r="D317" t="s">
        <v>591</v>
      </c>
      <c r="E317" s="2">
        <v>10</v>
      </c>
      <c r="F317" s="2">
        <v>0</v>
      </c>
      <c r="G317" s="2">
        <v>1.6655</v>
      </c>
      <c r="H317" s="2">
        <v>-1.3321666666666601</v>
      </c>
      <c r="I317" s="1">
        <v>0.99965000000000004</v>
      </c>
      <c r="J317" s="1">
        <v>0.89964999999999995</v>
      </c>
      <c r="K317" s="1">
        <v>0.84836332928802605</v>
      </c>
      <c r="L317" s="1">
        <v>0.55093667071197405</v>
      </c>
      <c r="P317" s="1">
        <f>I317-'Passo 2'!I317</f>
        <v>0</v>
      </c>
      <c r="Q317" s="1">
        <f>J317-'Passo 2'!J317</f>
        <v>0</v>
      </c>
      <c r="R317" s="8">
        <f t="shared" si="17"/>
        <v>9.9965000000000011</v>
      </c>
      <c r="S317" s="8">
        <f t="shared" si="16"/>
        <v>8.9964999999999993</v>
      </c>
      <c r="T317" s="1">
        <f t="shared" si="18"/>
        <v>8.4836332928802598</v>
      </c>
      <c r="U317" s="1">
        <f t="shared" si="19"/>
        <v>5.5093667071197405</v>
      </c>
    </row>
    <row r="318" spans="1:21" x14ac:dyDescent="0.3">
      <c r="A318" t="s">
        <v>57</v>
      </c>
      <c r="B318" t="s">
        <v>226</v>
      </c>
      <c r="C318" t="s">
        <v>580</v>
      </c>
      <c r="D318" t="s">
        <v>581</v>
      </c>
      <c r="E318" s="2">
        <v>141</v>
      </c>
      <c r="F318" s="2">
        <v>7.9000000000000001E-2</v>
      </c>
      <c r="G318" s="2">
        <v>13.85</v>
      </c>
      <c r="H318" s="2">
        <v>-14.5701666666666</v>
      </c>
      <c r="I318" s="1">
        <v>0.79440070921985795</v>
      </c>
      <c r="J318" s="1">
        <v>0.80972340425531897</v>
      </c>
      <c r="K318" s="1">
        <v>0.53894648775505505</v>
      </c>
      <c r="L318" s="1">
        <v>0.56545776756409305</v>
      </c>
      <c r="P318" s="1">
        <f>I318-'Passo 2'!I318</f>
        <v>-7.8014184397163011E-2</v>
      </c>
      <c r="Q318" s="1">
        <f>J318-'Passo 2'!J318</f>
        <v>-2.6595744680851019E-2</v>
      </c>
      <c r="R318" s="8">
        <f t="shared" si="17"/>
        <v>112.01049999999996</v>
      </c>
      <c r="S318" s="8">
        <f t="shared" si="16"/>
        <v>114.17099999999998</v>
      </c>
      <c r="T318" s="1">
        <f t="shared" si="18"/>
        <v>75.991454773462763</v>
      </c>
      <c r="U318" s="1">
        <f t="shared" si="19"/>
        <v>79.729545226537127</v>
      </c>
    </row>
    <row r="319" spans="1:21" x14ac:dyDescent="0.3">
      <c r="A319" t="s">
        <v>57</v>
      </c>
      <c r="B319" t="s">
        <v>227</v>
      </c>
      <c r="C319" t="s">
        <v>34</v>
      </c>
      <c r="D319" t="s">
        <v>35</v>
      </c>
      <c r="E319" s="2">
        <v>25</v>
      </c>
      <c r="F319" s="2">
        <v>0</v>
      </c>
      <c r="G319" s="2">
        <v>4.1666666666666599</v>
      </c>
      <c r="H319" s="2">
        <v>-4.1666666666666599</v>
      </c>
      <c r="I319" s="1">
        <v>1</v>
      </c>
      <c r="J319" s="1">
        <v>1</v>
      </c>
      <c r="K319" s="1">
        <v>0.86395774110032297</v>
      </c>
      <c r="L319" s="1">
        <v>0.63604225889967603</v>
      </c>
      <c r="P319" s="1">
        <f>I319-'Passo 2'!I319</f>
        <v>6.4620000000000011E-2</v>
      </c>
      <c r="Q319" s="1">
        <f>J319-'Passo 2'!J319</f>
        <v>5.0000000000000044E-2</v>
      </c>
      <c r="R319" s="8">
        <f t="shared" si="17"/>
        <v>25</v>
      </c>
      <c r="S319" s="8">
        <f t="shared" si="16"/>
        <v>25</v>
      </c>
      <c r="T319" s="1">
        <f t="shared" si="18"/>
        <v>21.598943527508073</v>
      </c>
      <c r="U319" s="1">
        <f t="shared" si="19"/>
        <v>15.9010564724919</v>
      </c>
    </row>
    <row r="320" spans="1:21" x14ac:dyDescent="0.3">
      <c r="A320" t="s">
        <v>57</v>
      </c>
      <c r="B320" t="s">
        <v>228</v>
      </c>
      <c r="C320" t="s">
        <v>574</v>
      </c>
      <c r="D320" t="s">
        <v>575</v>
      </c>
      <c r="E320" s="2">
        <v>16</v>
      </c>
      <c r="F320" s="2">
        <v>0.01</v>
      </c>
      <c r="G320" s="2">
        <v>1.99833333333333</v>
      </c>
      <c r="H320" s="2">
        <v>-1.99833333333333</v>
      </c>
      <c r="I320" s="1">
        <v>0.87437500000000001</v>
      </c>
      <c r="J320" s="1">
        <v>0.87437500000000001</v>
      </c>
      <c r="K320" s="1">
        <v>0.67566926324838195</v>
      </c>
      <c r="L320" s="1">
        <v>0.57339323675161802</v>
      </c>
      <c r="P320" s="1">
        <f>I320-'Passo 2'!I320</f>
        <v>0</v>
      </c>
      <c r="Q320" s="1">
        <f>J320-'Passo 2'!J320</f>
        <v>0</v>
      </c>
      <c r="R320" s="8">
        <f t="shared" si="17"/>
        <v>13.99</v>
      </c>
      <c r="S320" s="8">
        <f t="shared" si="16"/>
        <v>13.99</v>
      </c>
      <c r="T320" s="1">
        <f t="shared" si="18"/>
        <v>10.810708211974111</v>
      </c>
      <c r="U320" s="1">
        <f t="shared" si="19"/>
        <v>9.1742917880258883</v>
      </c>
    </row>
    <row r="321" spans="1:21" x14ac:dyDescent="0.3">
      <c r="A321" t="s">
        <v>57</v>
      </c>
      <c r="B321" t="s">
        <v>229</v>
      </c>
      <c r="C321" t="s">
        <v>576</v>
      </c>
      <c r="D321" t="s">
        <v>591</v>
      </c>
      <c r="E321" s="2">
        <v>46.5</v>
      </c>
      <c r="F321" s="2">
        <v>1.6E-2</v>
      </c>
      <c r="G321" s="2">
        <v>4.9011666666666596</v>
      </c>
      <c r="H321" s="2">
        <v>-4.9011666666666596</v>
      </c>
      <c r="I321" s="1">
        <v>0.81603225806451596</v>
      </c>
      <c r="J321" s="1">
        <v>0.81603225806451596</v>
      </c>
      <c r="K321" s="1">
        <v>0.53421461704422801</v>
      </c>
      <c r="L321" s="1">
        <v>0.59802194209555604</v>
      </c>
      <c r="P321" s="1">
        <f>I321-'Passo 2'!I321</f>
        <v>-1.0752688172043001E-2</v>
      </c>
      <c r="Q321" s="1">
        <f>J321-'Passo 2'!J321</f>
        <v>0</v>
      </c>
      <c r="R321" s="8">
        <f t="shared" si="17"/>
        <v>37.945499999999996</v>
      </c>
      <c r="S321" s="8">
        <f t="shared" si="16"/>
        <v>37.945499999999996</v>
      </c>
      <c r="T321" s="1">
        <f t="shared" si="18"/>
        <v>24.840979692556601</v>
      </c>
      <c r="U321" s="1">
        <f t="shared" si="19"/>
        <v>27.808020307443357</v>
      </c>
    </row>
    <row r="322" spans="1:21" x14ac:dyDescent="0.3">
      <c r="A322" t="s">
        <v>57</v>
      </c>
      <c r="B322" t="s">
        <v>230</v>
      </c>
      <c r="C322" t="s">
        <v>34</v>
      </c>
      <c r="D322" t="s">
        <v>35</v>
      </c>
      <c r="E322" s="2">
        <v>829.83</v>
      </c>
      <c r="F322" s="2">
        <v>0</v>
      </c>
      <c r="G322" s="2">
        <v>136.93600000000001</v>
      </c>
      <c r="H322" s="2">
        <v>-134.93533333333301</v>
      </c>
      <c r="I322" s="1">
        <v>0.99505079353602499</v>
      </c>
      <c r="J322" s="1">
        <v>0.98781798681657595</v>
      </c>
      <c r="K322" s="1">
        <v>0.90576308543836703</v>
      </c>
      <c r="L322" s="1">
        <v>0.57710569491423402</v>
      </c>
      <c r="P322" s="1">
        <f>I322-'Passo 2'!I322</f>
        <v>0.26374980417675897</v>
      </c>
      <c r="Q322" s="1">
        <f>J322-'Passo 2'!J322</f>
        <v>5.6820674113974956E-2</v>
      </c>
      <c r="R322" s="8">
        <f t="shared" si="17"/>
        <v>825.72299999999962</v>
      </c>
      <c r="S322" s="8">
        <f t="shared" ref="S322:S385" si="20">J322*E322</f>
        <v>819.72099999999932</v>
      </c>
      <c r="T322" s="1">
        <f t="shared" si="18"/>
        <v>751.62938118932016</v>
      </c>
      <c r="U322" s="1">
        <f t="shared" si="19"/>
        <v>478.89961881067882</v>
      </c>
    </row>
    <row r="323" spans="1:21" x14ac:dyDescent="0.3">
      <c r="A323" t="s">
        <v>57</v>
      </c>
      <c r="B323" t="s">
        <v>231</v>
      </c>
      <c r="C323" t="s">
        <v>580</v>
      </c>
      <c r="D323" t="s">
        <v>581</v>
      </c>
      <c r="E323" s="2">
        <v>134</v>
      </c>
      <c r="F323" s="2">
        <v>0.11</v>
      </c>
      <c r="G323" s="2">
        <v>13.6483333333333</v>
      </c>
      <c r="H323" s="2">
        <v>-20.398333333333301</v>
      </c>
      <c r="I323" s="1">
        <v>0.80514925373134305</v>
      </c>
      <c r="J323" s="1">
        <v>0.95626865671641703</v>
      </c>
      <c r="K323" s="1">
        <v>0.548336098633048</v>
      </c>
      <c r="L323" s="1">
        <v>0.71349225957590601</v>
      </c>
      <c r="P323" s="1">
        <f>I323-'Passo 2'!I323</f>
        <v>-3.17201492537309E-2</v>
      </c>
      <c r="Q323" s="1">
        <f>J323-'Passo 2'!J323</f>
        <v>-3.917910447761197E-2</v>
      </c>
      <c r="R323" s="8">
        <f t="shared" ref="R323:R386" si="21">I323*E323</f>
        <v>107.88999999999997</v>
      </c>
      <c r="S323" s="8">
        <f t="shared" si="20"/>
        <v>128.13999999999987</v>
      </c>
      <c r="T323" s="1">
        <f t="shared" ref="T323:T386" si="22">K323*E323</f>
        <v>73.477037216828435</v>
      </c>
      <c r="U323" s="1">
        <f t="shared" ref="U323:U386" si="23">L323*E323</f>
        <v>95.607962783171402</v>
      </c>
    </row>
    <row r="324" spans="1:21" x14ac:dyDescent="0.3">
      <c r="A324" t="s">
        <v>57</v>
      </c>
      <c r="B324" t="s">
        <v>232</v>
      </c>
      <c r="C324" t="s">
        <v>34</v>
      </c>
      <c r="D324" t="s">
        <v>35</v>
      </c>
      <c r="E324" s="2">
        <v>70</v>
      </c>
      <c r="F324" s="2">
        <v>0</v>
      </c>
      <c r="G324" s="2">
        <v>11.6666666666666</v>
      </c>
      <c r="H324" s="2">
        <v>-11.4166666666666</v>
      </c>
      <c r="I324" s="1">
        <v>1</v>
      </c>
      <c r="J324" s="1">
        <v>0.98928571428571399</v>
      </c>
      <c r="K324" s="1">
        <v>0.86107756183541295</v>
      </c>
      <c r="L324" s="1">
        <v>0.62820815245030004</v>
      </c>
      <c r="P324" s="1">
        <f>I324-'Passo 2'!I324</f>
        <v>0.125</v>
      </c>
      <c r="Q324" s="1">
        <f>J324-'Passo 2'!J324</f>
        <v>5.3571428571428936E-2</v>
      </c>
      <c r="R324" s="8">
        <f t="shared" si="21"/>
        <v>70</v>
      </c>
      <c r="S324" s="8">
        <f t="shared" si="20"/>
        <v>69.249999999999986</v>
      </c>
      <c r="T324" s="1">
        <f t="shared" si="22"/>
        <v>60.275429328478907</v>
      </c>
      <c r="U324" s="1">
        <f t="shared" si="23"/>
        <v>43.974570671521001</v>
      </c>
    </row>
    <row r="325" spans="1:21" x14ac:dyDescent="0.3">
      <c r="A325" t="s">
        <v>57</v>
      </c>
      <c r="B325" t="s">
        <v>233</v>
      </c>
      <c r="C325" t="s">
        <v>574</v>
      </c>
      <c r="D325" t="s">
        <v>575</v>
      </c>
      <c r="E325" s="2">
        <v>39</v>
      </c>
      <c r="F325" s="2">
        <v>1.7999999999999999E-2</v>
      </c>
      <c r="G325" s="2">
        <v>5.5369999999999999</v>
      </c>
      <c r="H325" s="2">
        <v>-5.6284999999999998</v>
      </c>
      <c r="I325" s="1">
        <v>0.92569230769230704</v>
      </c>
      <c r="J325" s="1">
        <v>0.93273076923076903</v>
      </c>
      <c r="K325" s="1">
        <v>0.57428786407766996</v>
      </c>
      <c r="L325" s="1">
        <v>0.78436598207617603</v>
      </c>
      <c r="P325" s="1">
        <f>I325-'Passo 2'!I325</f>
        <v>6.4102564102560544E-3</v>
      </c>
      <c r="Q325" s="1">
        <f>J325-'Passo 2'!J325</f>
        <v>7.0384615384619931E-3</v>
      </c>
      <c r="R325" s="8">
        <f t="shared" si="21"/>
        <v>36.101999999999975</v>
      </c>
      <c r="S325" s="8">
        <f t="shared" si="20"/>
        <v>36.376499999999993</v>
      </c>
      <c r="T325" s="1">
        <f t="shared" si="22"/>
        <v>22.39722669902913</v>
      </c>
      <c r="U325" s="1">
        <f t="shared" si="23"/>
        <v>30.590273300970864</v>
      </c>
    </row>
    <row r="326" spans="1:21" x14ac:dyDescent="0.3">
      <c r="A326" t="s">
        <v>57</v>
      </c>
      <c r="B326" t="s">
        <v>234</v>
      </c>
      <c r="C326" t="s">
        <v>576</v>
      </c>
      <c r="D326" t="s">
        <v>591</v>
      </c>
      <c r="E326" s="2">
        <v>2</v>
      </c>
      <c r="F326" s="2">
        <v>0</v>
      </c>
      <c r="G326" s="2">
        <v>0.16666666666666599</v>
      </c>
      <c r="H326" s="2">
        <v>-0.16666666666666599</v>
      </c>
      <c r="I326" s="1">
        <v>0.75</v>
      </c>
      <c r="J326" s="1">
        <v>0.75</v>
      </c>
      <c r="K326" s="1">
        <v>0.62890153721682795</v>
      </c>
      <c r="L326" s="1">
        <v>0.37109846278317099</v>
      </c>
      <c r="P326" s="1">
        <f>I326-'Passo 2'!I326</f>
        <v>0</v>
      </c>
      <c r="Q326" s="1">
        <f>J326-'Passo 2'!J326</f>
        <v>0</v>
      </c>
      <c r="R326" s="8">
        <f t="shared" si="21"/>
        <v>1.5</v>
      </c>
      <c r="S326" s="8">
        <f t="shared" si="20"/>
        <v>1.5</v>
      </c>
      <c r="T326" s="1">
        <f t="shared" si="22"/>
        <v>1.2578030744336559</v>
      </c>
      <c r="U326" s="1">
        <f t="shared" si="23"/>
        <v>0.74219692556634198</v>
      </c>
    </row>
    <row r="327" spans="1:21" x14ac:dyDescent="0.3">
      <c r="A327" t="s">
        <v>57</v>
      </c>
      <c r="B327" t="s">
        <v>235</v>
      </c>
      <c r="C327" t="s">
        <v>574</v>
      </c>
      <c r="D327" t="s">
        <v>575</v>
      </c>
      <c r="E327" s="2">
        <v>85</v>
      </c>
      <c r="F327" s="2">
        <v>0</v>
      </c>
      <c r="G327" s="2">
        <v>9.6666666666666607</v>
      </c>
      <c r="H327" s="2">
        <v>-9.6748333333333303</v>
      </c>
      <c r="I327" s="1">
        <v>0.84117647058823497</v>
      </c>
      <c r="J327" s="1">
        <v>0.841464705882353</v>
      </c>
      <c r="K327" s="1">
        <v>0.52865952788882498</v>
      </c>
      <c r="L327" s="1">
        <v>0.653981648581762</v>
      </c>
      <c r="P327" s="1">
        <f>I327-'Passo 2'!I327</f>
        <v>0</v>
      </c>
      <c r="Q327" s="1">
        <f>J327-'Passo 2'!J327</f>
        <v>2.8823529411803328E-4</v>
      </c>
      <c r="R327" s="8">
        <f t="shared" si="21"/>
        <v>71.499999999999972</v>
      </c>
      <c r="S327" s="8">
        <f t="shared" si="20"/>
        <v>71.524500000000003</v>
      </c>
      <c r="T327" s="1">
        <f t="shared" si="22"/>
        <v>44.936059870550125</v>
      </c>
      <c r="U327" s="1">
        <f t="shared" si="23"/>
        <v>55.588440129449772</v>
      </c>
    </row>
    <row r="328" spans="1:21" x14ac:dyDescent="0.3">
      <c r="A328" t="s">
        <v>57</v>
      </c>
      <c r="B328" t="s">
        <v>236</v>
      </c>
      <c r="C328" t="s">
        <v>574</v>
      </c>
      <c r="D328" t="s">
        <v>575</v>
      </c>
      <c r="E328" s="2">
        <v>43</v>
      </c>
      <c r="F328" s="2">
        <v>1.6E-2</v>
      </c>
      <c r="G328" s="2">
        <v>4.91166666666666</v>
      </c>
      <c r="H328" s="2">
        <v>-4.91166666666666</v>
      </c>
      <c r="I328" s="1">
        <v>0.84248837209302296</v>
      </c>
      <c r="J328" s="1">
        <v>0.84248837209302296</v>
      </c>
      <c r="K328" s="1">
        <v>0.63603156939113403</v>
      </c>
      <c r="L328" s="1">
        <v>0.54913122130654002</v>
      </c>
      <c r="P328" s="1">
        <f>I328-'Passo 2'!I328</f>
        <v>0</v>
      </c>
      <c r="Q328" s="1">
        <f>J328-'Passo 2'!J328</f>
        <v>0</v>
      </c>
      <c r="R328" s="8">
        <f t="shared" si="21"/>
        <v>36.22699999999999</v>
      </c>
      <c r="S328" s="8">
        <f t="shared" si="20"/>
        <v>36.22699999999999</v>
      </c>
      <c r="T328" s="1">
        <f t="shared" si="22"/>
        <v>27.349357483818764</v>
      </c>
      <c r="U328" s="1">
        <f t="shared" si="23"/>
        <v>23.612642516181221</v>
      </c>
    </row>
    <row r="329" spans="1:21" x14ac:dyDescent="0.3">
      <c r="A329" t="s">
        <v>57</v>
      </c>
      <c r="B329" t="s">
        <v>237</v>
      </c>
      <c r="C329" t="s">
        <v>576</v>
      </c>
      <c r="D329" t="s">
        <v>591</v>
      </c>
      <c r="E329" s="2">
        <v>39.5</v>
      </c>
      <c r="F329" s="2">
        <v>8.0000000000000002E-3</v>
      </c>
      <c r="G329" s="2">
        <v>3.3333333333333299</v>
      </c>
      <c r="H329" s="2">
        <v>-3.2054999999999998</v>
      </c>
      <c r="I329" s="1">
        <v>0.75306329113923998</v>
      </c>
      <c r="J329" s="1">
        <v>0.74335443037974602</v>
      </c>
      <c r="K329" s="1">
        <v>0.57245888636270503</v>
      </c>
      <c r="L329" s="1">
        <v>0.42406010097906599</v>
      </c>
      <c r="P329" s="1">
        <f>I329-'Passo 2'!I329</f>
        <v>0</v>
      </c>
      <c r="Q329" s="1">
        <f>J329-'Passo 2'!J329</f>
        <v>0</v>
      </c>
      <c r="R329" s="8">
        <f t="shared" si="21"/>
        <v>29.745999999999977</v>
      </c>
      <c r="S329" s="8">
        <f t="shared" si="20"/>
        <v>29.362499999999969</v>
      </c>
      <c r="T329" s="1">
        <f t="shared" si="22"/>
        <v>22.612126011326851</v>
      </c>
      <c r="U329" s="1">
        <f t="shared" si="23"/>
        <v>16.750373988673108</v>
      </c>
    </row>
    <row r="330" spans="1:21" x14ac:dyDescent="0.3">
      <c r="A330" t="s">
        <v>57</v>
      </c>
      <c r="B330" t="s">
        <v>238</v>
      </c>
      <c r="C330" t="s">
        <v>580</v>
      </c>
      <c r="D330" t="s">
        <v>581</v>
      </c>
      <c r="E330" s="2">
        <v>20</v>
      </c>
      <c r="F330" s="2">
        <v>0</v>
      </c>
      <c r="G330" s="2">
        <v>1.1174999999999999</v>
      </c>
      <c r="H330" s="2">
        <v>-1.6666666666666601</v>
      </c>
      <c r="I330" s="1">
        <v>0.66762499999999902</v>
      </c>
      <c r="J330" s="1">
        <v>0.75</v>
      </c>
      <c r="K330" s="1">
        <v>0.48154978762135903</v>
      </c>
      <c r="L330" s="1">
        <v>0.43607521237864</v>
      </c>
      <c r="P330" s="1">
        <f>I330-'Passo 2'!I330</f>
        <v>1.0074999999999057E-2</v>
      </c>
      <c r="Q330" s="1">
        <f>J330-'Passo 2'!J330</f>
        <v>2.5174999999999947E-2</v>
      </c>
      <c r="R330" s="8">
        <f t="shared" si="21"/>
        <v>13.352499999999981</v>
      </c>
      <c r="S330" s="8">
        <f t="shared" si="20"/>
        <v>15</v>
      </c>
      <c r="T330" s="1">
        <f t="shared" si="22"/>
        <v>9.6309957524271805</v>
      </c>
      <c r="U330" s="1">
        <f t="shared" si="23"/>
        <v>8.7215042475727991</v>
      </c>
    </row>
    <row r="331" spans="1:21" x14ac:dyDescent="0.3">
      <c r="A331" t="s">
        <v>57</v>
      </c>
      <c r="B331" t="s">
        <v>239</v>
      </c>
      <c r="C331" t="s">
        <v>576</v>
      </c>
      <c r="D331" t="s">
        <v>591</v>
      </c>
      <c r="E331" s="2">
        <v>13</v>
      </c>
      <c r="F331" s="2">
        <v>0</v>
      </c>
      <c r="G331" s="2">
        <v>1.5</v>
      </c>
      <c r="H331" s="2">
        <v>-1.5</v>
      </c>
      <c r="I331" s="1">
        <v>0.84615384615384603</v>
      </c>
      <c r="J331" s="1">
        <v>0.84615384615384603</v>
      </c>
      <c r="K331" s="1">
        <v>0.67069138971869502</v>
      </c>
      <c r="L331" s="1">
        <v>0.52161630258899605</v>
      </c>
      <c r="P331" s="1">
        <f>I331-'Passo 2'!I331</f>
        <v>0</v>
      </c>
      <c r="Q331" s="1">
        <f>J331-'Passo 2'!J331</f>
        <v>0</v>
      </c>
      <c r="R331" s="8">
        <f t="shared" si="21"/>
        <v>10.999999999999998</v>
      </c>
      <c r="S331" s="8">
        <f t="shared" si="20"/>
        <v>10.999999999999998</v>
      </c>
      <c r="T331" s="1">
        <f t="shared" si="22"/>
        <v>8.7189880663430355</v>
      </c>
      <c r="U331" s="1">
        <f t="shared" si="23"/>
        <v>6.7810119336569485</v>
      </c>
    </row>
    <row r="332" spans="1:21" x14ac:dyDescent="0.3">
      <c r="A332" t="s">
        <v>57</v>
      </c>
      <c r="B332" t="s">
        <v>240</v>
      </c>
      <c r="C332" t="s">
        <v>34</v>
      </c>
      <c r="D332" t="s">
        <v>35</v>
      </c>
      <c r="E332" s="2">
        <v>271.053</v>
      </c>
      <c r="F332" s="2">
        <v>0</v>
      </c>
      <c r="G332" s="2">
        <v>44.2469999999999</v>
      </c>
      <c r="H332" s="2">
        <v>-43.860666666666603</v>
      </c>
      <c r="I332" s="1">
        <v>0.98972341202642999</v>
      </c>
      <c r="J332" s="1">
        <v>0.98544749550825805</v>
      </c>
      <c r="K332" s="1">
        <v>0.88877164940108799</v>
      </c>
      <c r="L332" s="1">
        <v>0.58639925813360005</v>
      </c>
      <c r="P332" s="1">
        <f>I332-'Passo 2'!I332</f>
        <v>0.25186771590795898</v>
      </c>
      <c r="Q332" s="1">
        <f>J332-'Passo 2'!J332</f>
        <v>0.19247158304833401</v>
      </c>
      <c r="R332" s="8">
        <f t="shared" si="21"/>
        <v>268.26749999999993</v>
      </c>
      <c r="S332" s="8">
        <f t="shared" si="20"/>
        <v>267.10849999999988</v>
      </c>
      <c r="T332" s="1">
        <f t="shared" si="22"/>
        <v>240.90422188511309</v>
      </c>
      <c r="U332" s="1">
        <f t="shared" si="23"/>
        <v>158.94527811488669</v>
      </c>
    </row>
    <row r="333" spans="1:21" x14ac:dyDescent="0.3">
      <c r="A333" t="s">
        <v>57</v>
      </c>
      <c r="B333" t="s">
        <v>241</v>
      </c>
      <c r="C333" t="s">
        <v>34</v>
      </c>
      <c r="D333" t="s">
        <v>35</v>
      </c>
      <c r="E333" s="2">
        <v>285.31400000000002</v>
      </c>
      <c r="F333" s="2">
        <v>0</v>
      </c>
      <c r="G333" s="2">
        <v>47.552333333333301</v>
      </c>
      <c r="H333" s="2">
        <v>-46.581166666666597</v>
      </c>
      <c r="I333" s="1">
        <v>1</v>
      </c>
      <c r="J333" s="1">
        <v>0.98978844360949603</v>
      </c>
      <c r="K333" s="1">
        <v>0.99059650154818302</v>
      </c>
      <c r="L333" s="1">
        <v>0.49919194206131301</v>
      </c>
      <c r="P333" s="1">
        <f>I333-'Passo 2'!I333</f>
        <v>3.4963233490119983E-2</v>
      </c>
      <c r="Q333" s="1">
        <f>J333-'Passo 2'!J333</f>
        <v>3.9020167254323002E-2</v>
      </c>
      <c r="R333" s="8">
        <f t="shared" si="21"/>
        <v>285.31400000000002</v>
      </c>
      <c r="S333" s="8">
        <f t="shared" si="20"/>
        <v>282.40049999999979</v>
      </c>
      <c r="T333" s="1">
        <f t="shared" si="22"/>
        <v>282.63105024271829</v>
      </c>
      <c r="U333" s="1">
        <f t="shared" si="23"/>
        <v>142.42644975728146</v>
      </c>
    </row>
    <row r="334" spans="1:21" x14ac:dyDescent="0.3">
      <c r="A334" t="s">
        <v>57</v>
      </c>
      <c r="B334" t="s">
        <v>242</v>
      </c>
      <c r="C334" t="s">
        <v>34</v>
      </c>
      <c r="D334" t="s">
        <v>35</v>
      </c>
      <c r="E334" s="2">
        <v>962.08399999999995</v>
      </c>
      <c r="F334" s="2">
        <v>0</v>
      </c>
      <c r="G334" s="2">
        <v>157.114</v>
      </c>
      <c r="H334" s="2">
        <v>-156.21883333333301</v>
      </c>
      <c r="I334" s="1">
        <v>0.98991772028222003</v>
      </c>
      <c r="J334" s="1">
        <v>0.98712638397478802</v>
      </c>
      <c r="K334" s="1">
        <v>0.89368125591849901</v>
      </c>
      <c r="L334" s="1">
        <v>0.58336284833850804</v>
      </c>
      <c r="P334" s="1">
        <f>I334-'Passo 2'!I334</f>
        <v>0.25086946669937304</v>
      </c>
      <c r="Q334" s="1">
        <f>J334-'Passo 2'!J334</f>
        <v>0.21078460924410003</v>
      </c>
      <c r="R334" s="8">
        <f t="shared" si="21"/>
        <v>952.38399999999933</v>
      </c>
      <c r="S334" s="8">
        <f t="shared" si="20"/>
        <v>949.69849999999985</v>
      </c>
      <c r="T334" s="1">
        <f t="shared" si="22"/>
        <v>859.79643741909319</v>
      </c>
      <c r="U334" s="1">
        <f t="shared" si="23"/>
        <v>561.24406258090517</v>
      </c>
    </row>
    <row r="335" spans="1:21" x14ac:dyDescent="0.3">
      <c r="A335" t="s">
        <v>57</v>
      </c>
      <c r="B335" t="s">
        <v>243</v>
      </c>
      <c r="C335" t="s">
        <v>34</v>
      </c>
      <c r="D335" t="s">
        <v>35</v>
      </c>
      <c r="E335" s="2">
        <v>303.78399999999999</v>
      </c>
      <c r="F335" s="2">
        <v>0</v>
      </c>
      <c r="G335" s="2">
        <v>50.630666666666599</v>
      </c>
      <c r="H335" s="2">
        <v>-46.344833333333298</v>
      </c>
      <c r="I335" s="1">
        <v>1</v>
      </c>
      <c r="J335" s="1">
        <v>0.95767551944802898</v>
      </c>
      <c r="K335" s="1">
        <v>0.92571743084871105</v>
      </c>
      <c r="L335" s="1">
        <v>0.53195808859931704</v>
      </c>
      <c r="P335" s="1">
        <f>I335-'Passo 2'!I335</f>
        <v>0.11993060859031501</v>
      </c>
      <c r="Q335" s="1">
        <f>J335-'Passo 2'!J335</f>
        <v>0.12598425196850493</v>
      </c>
      <c r="R335" s="8">
        <f t="shared" si="21"/>
        <v>303.78399999999999</v>
      </c>
      <c r="S335" s="8">
        <f t="shared" si="20"/>
        <v>290.92650000000003</v>
      </c>
      <c r="T335" s="1">
        <f t="shared" si="22"/>
        <v>281.21814401294483</v>
      </c>
      <c r="U335" s="1">
        <f t="shared" si="23"/>
        <v>161.60035598705491</v>
      </c>
    </row>
    <row r="336" spans="1:21" x14ac:dyDescent="0.3">
      <c r="A336" t="s">
        <v>57</v>
      </c>
      <c r="B336" t="s">
        <v>244</v>
      </c>
      <c r="C336" t="s">
        <v>580</v>
      </c>
      <c r="D336" t="s">
        <v>581</v>
      </c>
      <c r="E336" s="2">
        <v>143.5</v>
      </c>
      <c r="F336" s="2">
        <v>6.9000000000000006E-2</v>
      </c>
      <c r="G336" s="2">
        <v>13.9148333333333</v>
      </c>
      <c r="H336" s="2">
        <v>-12.8218333333333</v>
      </c>
      <c r="I336" s="1">
        <v>0.79066202090592297</v>
      </c>
      <c r="J336" s="1">
        <v>0.76781184668989499</v>
      </c>
      <c r="K336" s="1">
        <v>0.59414553409334303</v>
      </c>
      <c r="L336" s="1">
        <v>0.46456875162094102</v>
      </c>
      <c r="P336" s="1">
        <f>I336-'Passo 2'!I336</f>
        <v>-1.1993031358885076E-2</v>
      </c>
      <c r="Q336" s="1">
        <f>J336-'Passo 2'!J336</f>
        <v>-2.2648083623693971E-2</v>
      </c>
      <c r="R336" s="8">
        <f t="shared" si="21"/>
        <v>113.45999999999995</v>
      </c>
      <c r="S336" s="8">
        <f t="shared" si="20"/>
        <v>110.18099999999993</v>
      </c>
      <c r="T336" s="1">
        <f t="shared" si="22"/>
        <v>85.259884142394725</v>
      </c>
      <c r="U336" s="1">
        <f t="shared" si="23"/>
        <v>66.665615857605033</v>
      </c>
    </row>
    <row r="337" spans="1:21" x14ac:dyDescent="0.3">
      <c r="A337" t="s">
        <v>57</v>
      </c>
      <c r="B337" t="s">
        <v>245</v>
      </c>
      <c r="C337" t="s">
        <v>34</v>
      </c>
      <c r="D337" t="s">
        <v>35</v>
      </c>
      <c r="E337" s="2">
        <v>509.72800000000001</v>
      </c>
      <c r="F337" s="2">
        <v>0</v>
      </c>
      <c r="G337" s="2">
        <v>84.954666666666597</v>
      </c>
      <c r="H337" s="2">
        <v>-84.954666666666597</v>
      </c>
      <c r="I337" s="1">
        <v>1</v>
      </c>
      <c r="J337" s="1">
        <v>1</v>
      </c>
      <c r="K337" s="1">
        <v>0.99995954692556599</v>
      </c>
      <c r="L337" s="1">
        <v>0.50004045307443301</v>
      </c>
      <c r="P337" s="1">
        <f>I337-'Passo 2'!I337</f>
        <v>0</v>
      </c>
      <c r="Q337" s="1">
        <f>J337-'Passo 2'!J337</f>
        <v>0</v>
      </c>
      <c r="R337" s="8">
        <f t="shared" si="21"/>
        <v>509.72800000000001</v>
      </c>
      <c r="S337" s="8">
        <f t="shared" si="20"/>
        <v>509.72800000000001</v>
      </c>
      <c r="T337" s="1">
        <f t="shared" si="22"/>
        <v>509.7073799352749</v>
      </c>
      <c r="U337" s="1">
        <f t="shared" si="23"/>
        <v>254.8846200647246</v>
      </c>
    </row>
    <row r="338" spans="1:21" x14ac:dyDescent="0.3">
      <c r="A338" t="s">
        <v>57</v>
      </c>
      <c r="B338" t="s">
        <v>246</v>
      </c>
      <c r="C338" t="s">
        <v>34</v>
      </c>
      <c r="D338" t="s">
        <v>35</v>
      </c>
      <c r="E338" s="2">
        <v>978.87699999999995</v>
      </c>
      <c r="F338" s="2">
        <v>0</v>
      </c>
      <c r="G338" s="2">
        <v>160.59583333333299</v>
      </c>
      <c r="H338" s="2">
        <v>-161.6815</v>
      </c>
      <c r="I338" s="1">
        <v>0.99218390053091399</v>
      </c>
      <c r="J338" s="1">
        <v>0.995511182712434</v>
      </c>
      <c r="K338" s="1">
        <v>0.88961532922709496</v>
      </c>
      <c r="L338" s="1">
        <v>0.59807975401625302</v>
      </c>
      <c r="P338" s="1">
        <f>I338-'Passo 2'!I338</f>
        <v>0.25300063235728298</v>
      </c>
      <c r="Q338" s="1">
        <f>J338-'Passo 2'!J338</f>
        <v>0.14747920320939201</v>
      </c>
      <c r="R338" s="8">
        <f t="shared" si="21"/>
        <v>971.22599999999943</v>
      </c>
      <c r="S338" s="8">
        <f t="shared" si="20"/>
        <v>974.48299999999915</v>
      </c>
      <c r="T338" s="1">
        <f t="shared" si="22"/>
        <v>870.82398462783101</v>
      </c>
      <c r="U338" s="1">
        <f t="shared" si="23"/>
        <v>585.44651537216771</v>
      </c>
    </row>
    <row r="339" spans="1:21" x14ac:dyDescent="0.3">
      <c r="A339" t="s">
        <v>57</v>
      </c>
      <c r="B339" t="s">
        <v>247</v>
      </c>
      <c r="C339" t="s">
        <v>580</v>
      </c>
      <c r="D339" t="s">
        <v>581</v>
      </c>
      <c r="E339" s="2">
        <v>47</v>
      </c>
      <c r="F339" s="2">
        <v>3.2000000000000001E-2</v>
      </c>
      <c r="G339" s="2">
        <v>5.3280000000000003</v>
      </c>
      <c r="H339" s="2">
        <v>-5.9113333333333298</v>
      </c>
      <c r="I339" s="1">
        <v>0.83974468085106302</v>
      </c>
      <c r="J339" s="1">
        <v>0.87697872340425498</v>
      </c>
      <c r="K339" s="1">
        <v>0.60307829563450999</v>
      </c>
      <c r="L339" s="1">
        <v>0.61398553415272294</v>
      </c>
      <c r="P339" s="1">
        <f>I339-'Passo 2'!I339</f>
        <v>-4.2553191489361986E-2</v>
      </c>
      <c r="Q339" s="1">
        <f>J339-'Passo 2'!J339</f>
        <v>-3.7234042553191071E-2</v>
      </c>
      <c r="R339" s="8">
        <f t="shared" si="21"/>
        <v>39.467999999999961</v>
      </c>
      <c r="S339" s="8">
        <f t="shared" si="20"/>
        <v>41.217999999999982</v>
      </c>
      <c r="T339" s="1">
        <f t="shared" si="22"/>
        <v>28.344679894821969</v>
      </c>
      <c r="U339" s="1">
        <f t="shared" si="23"/>
        <v>28.85732010517798</v>
      </c>
    </row>
    <row r="340" spans="1:21" x14ac:dyDescent="0.3">
      <c r="A340" t="s">
        <v>57</v>
      </c>
      <c r="B340" t="s">
        <v>248</v>
      </c>
      <c r="C340" t="s">
        <v>34</v>
      </c>
      <c r="D340" t="s">
        <v>35</v>
      </c>
      <c r="E340" s="2">
        <v>109</v>
      </c>
      <c r="F340" s="2">
        <v>0</v>
      </c>
      <c r="G340" s="2">
        <v>18.1666666666666</v>
      </c>
      <c r="H340" s="2">
        <v>-17.916833333333301</v>
      </c>
      <c r="I340" s="1">
        <v>1</v>
      </c>
      <c r="J340" s="1">
        <v>0.99312385321100904</v>
      </c>
      <c r="K340" s="1">
        <v>0.85435140435260204</v>
      </c>
      <c r="L340" s="1">
        <v>0.638772448858407</v>
      </c>
      <c r="P340" s="1">
        <f>I340-'Passo 2'!I340</f>
        <v>9.6472477064221018E-2</v>
      </c>
      <c r="Q340" s="1">
        <f>J340-'Passo 2'!J340</f>
        <v>6.1931192660551027E-2</v>
      </c>
      <c r="R340" s="8">
        <f t="shared" si="21"/>
        <v>109</v>
      </c>
      <c r="S340" s="8">
        <f t="shared" si="20"/>
        <v>108.25049999999999</v>
      </c>
      <c r="T340" s="1">
        <f t="shared" si="22"/>
        <v>93.124303074433627</v>
      </c>
      <c r="U340" s="1">
        <f t="shared" si="23"/>
        <v>69.626196925566362</v>
      </c>
    </row>
    <row r="341" spans="1:21" x14ac:dyDescent="0.3">
      <c r="A341" t="s">
        <v>57</v>
      </c>
      <c r="B341" t="s">
        <v>249</v>
      </c>
      <c r="C341" t="s">
        <v>34</v>
      </c>
      <c r="D341" t="s">
        <v>35</v>
      </c>
      <c r="E341" s="2">
        <v>0</v>
      </c>
      <c r="F341" s="2">
        <v>0</v>
      </c>
      <c r="G341" s="2">
        <v>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P341" s="1">
        <f>I341-'Passo 2'!I341</f>
        <v>0</v>
      </c>
      <c r="Q341" s="1">
        <f>J341-'Passo 2'!J341</f>
        <v>0</v>
      </c>
      <c r="R341" s="8">
        <f t="shared" si="21"/>
        <v>0</v>
      </c>
      <c r="S341" s="8">
        <f t="shared" si="20"/>
        <v>0</v>
      </c>
      <c r="T341" s="1">
        <f t="shared" si="22"/>
        <v>0</v>
      </c>
      <c r="U341" s="1">
        <f t="shared" si="23"/>
        <v>0</v>
      </c>
    </row>
    <row r="342" spans="1:21" x14ac:dyDescent="0.3">
      <c r="A342" t="s">
        <v>57</v>
      </c>
      <c r="B342" t="s">
        <v>250</v>
      </c>
      <c r="C342" t="s">
        <v>574</v>
      </c>
      <c r="D342" t="s">
        <v>575</v>
      </c>
      <c r="E342" s="2">
        <v>0</v>
      </c>
      <c r="F342" s="2">
        <v>0</v>
      </c>
      <c r="G342" s="2">
        <v>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P342" s="1">
        <f>I342-'Passo 2'!I342</f>
        <v>0</v>
      </c>
      <c r="Q342" s="1">
        <f>J342-'Passo 2'!J342</f>
        <v>0</v>
      </c>
      <c r="R342" s="8">
        <f t="shared" si="21"/>
        <v>0</v>
      </c>
      <c r="S342" s="8">
        <f t="shared" si="20"/>
        <v>0</v>
      </c>
      <c r="T342" s="1">
        <f t="shared" si="22"/>
        <v>0</v>
      </c>
      <c r="U342" s="1">
        <f t="shared" si="23"/>
        <v>0</v>
      </c>
    </row>
    <row r="343" spans="1:21" x14ac:dyDescent="0.3">
      <c r="A343" t="s">
        <v>57</v>
      </c>
      <c r="B343" t="s">
        <v>251</v>
      </c>
      <c r="C343" t="s">
        <v>34</v>
      </c>
      <c r="D343" t="s">
        <v>35</v>
      </c>
      <c r="E343" s="2">
        <v>0</v>
      </c>
      <c r="F343" s="2">
        <v>0</v>
      </c>
      <c r="G343" s="2">
        <v>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P343" s="1">
        <f>I343-'Passo 2'!I343</f>
        <v>0</v>
      </c>
      <c r="Q343" s="1">
        <f>J343-'Passo 2'!J343</f>
        <v>0</v>
      </c>
      <c r="R343" s="8">
        <f t="shared" si="21"/>
        <v>0</v>
      </c>
      <c r="S343" s="8">
        <f t="shared" si="20"/>
        <v>0</v>
      </c>
      <c r="T343" s="1">
        <f t="shared" si="22"/>
        <v>0</v>
      </c>
      <c r="U343" s="1">
        <f t="shared" si="23"/>
        <v>0</v>
      </c>
    </row>
    <row r="344" spans="1:21" x14ac:dyDescent="0.3">
      <c r="A344" t="s">
        <v>57</v>
      </c>
      <c r="B344" t="s">
        <v>252</v>
      </c>
      <c r="C344" t="s">
        <v>580</v>
      </c>
      <c r="D344" t="s">
        <v>581</v>
      </c>
      <c r="E344" s="2">
        <v>15</v>
      </c>
      <c r="F344" s="2">
        <v>0</v>
      </c>
      <c r="G344" s="2">
        <v>1.8316666666666599</v>
      </c>
      <c r="H344" s="2">
        <v>-1.8316666666666599</v>
      </c>
      <c r="I344" s="1">
        <v>0.86633333333333296</v>
      </c>
      <c r="J344" s="1">
        <v>0.86633333333333296</v>
      </c>
      <c r="K344" s="1">
        <v>0.63794051240560901</v>
      </c>
      <c r="L344" s="1">
        <v>0.59472615426105702</v>
      </c>
      <c r="P344" s="1">
        <f>I344-'Passo 2'!I344</f>
        <v>-5.0000000000000044E-2</v>
      </c>
      <c r="Q344" s="1">
        <f>J344-'Passo 2'!J344</f>
        <v>-3.3333333333332993E-2</v>
      </c>
      <c r="R344" s="8">
        <f t="shared" si="21"/>
        <v>12.994999999999994</v>
      </c>
      <c r="S344" s="8">
        <f t="shared" si="20"/>
        <v>12.994999999999994</v>
      </c>
      <c r="T344" s="1">
        <f t="shared" si="22"/>
        <v>9.5691076860841342</v>
      </c>
      <c r="U344" s="1">
        <f t="shared" si="23"/>
        <v>8.9208923139158554</v>
      </c>
    </row>
    <row r="345" spans="1:21" x14ac:dyDescent="0.3">
      <c r="A345" t="s">
        <v>57</v>
      </c>
      <c r="B345" t="s">
        <v>253</v>
      </c>
      <c r="C345" t="s">
        <v>34</v>
      </c>
      <c r="D345" t="s">
        <v>35</v>
      </c>
      <c r="E345" s="2">
        <v>265.71600000000001</v>
      </c>
      <c r="F345" s="2">
        <v>0</v>
      </c>
      <c r="G345" s="2">
        <v>44.286000000000001</v>
      </c>
      <c r="H345" s="2">
        <v>-44.286000000000001</v>
      </c>
      <c r="I345" s="1">
        <v>1</v>
      </c>
      <c r="J345" s="1">
        <v>1</v>
      </c>
      <c r="K345" s="1">
        <v>0.99995954692556599</v>
      </c>
      <c r="L345" s="1">
        <v>0.50004045307443301</v>
      </c>
      <c r="P345" s="1">
        <f>I345-'Passo 2'!I345</f>
        <v>0</v>
      </c>
      <c r="Q345" s="1">
        <f>J345-'Passo 2'!J345</f>
        <v>0</v>
      </c>
      <c r="R345" s="8">
        <f t="shared" si="21"/>
        <v>265.71600000000001</v>
      </c>
      <c r="S345" s="8">
        <f t="shared" si="20"/>
        <v>265.71600000000001</v>
      </c>
      <c r="T345" s="1">
        <f t="shared" si="22"/>
        <v>265.70525097087369</v>
      </c>
      <c r="U345" s="1">
        <f t="shared" si="23"/>
        <v>132.86874902912604</v>
      </c>
    </row>
    <row r="346" spans="1:21" x14ac:dyDescent="0.3">
      <c r="A346" t="s">
        <v>57</v>
      </c>
      <c r="B346" t="s">
        <v>254</v>
      </c>
      <c r="C346" t="s">
        <v>580</v>
      </c>
      <c r="D346" t="s">
        <v>581</v>
      </c>
      <c r="E346" s="2">
        <v>90</v>
      </c>
      <c r="F346" s="2">
        <v>6.2E-2</v>
      </c>
      <c r="G346" s="2">
        <v>8.3230000000000004</v>
      </c>
      <c r="H346" s="2">
        <v>-11.656333333333301</v>
      </c>
      <c r="I346" s="1">
        <v>0.77708888888888805</v>
      </c>
      <c r="J346" s="1">
        <v>0.88819999999999999</v>
      </c>
      <c r="K346" s="1">
        <v>0.53429426734987395</v>
      </c>
      <c r="L346" s="1">
        <v>0.63133906598345901</v>
      </c>
      <c r="P346" s="1">
        <f>I346-'Passo 2'!I346</f>
        <v>-3.6111111111111982E-2</v>
      </c>
      <c r="Q346" s="1">
        <f>J346-'Passo 2'!J346</f>
        <v>-3.3333333333332993E-2</v>
      </c>
      <c r="R346" s="8">
        <f t="shared" si="21"/>
        <v>69.937999999999931</v>
      </c>
      <c r="S346" s="8">
        <f t="shared" si="20"/>
        <v>79.938000000000002</v>
      </c>
      <c r="T346" s="1">
        <f t="shared" si="22"/>
        <v>48.086484061488655</v>
      </c>
      <c r="U346" s="1">
        <f t="shared" si="23"/>
        <v>56.820515938511313</v>
      </c>
    </row>
    <row r="347" spans="1:21" x14ac:dyDescent="0.3">
      <c r="A347" t="s">
        <v>57</v>
      </c>
      <c r="B347" t="s">
        <v>255</v>
      </c>
      <c r="C347" t="s">
        <v>580</v>
      </c>
      <c r="D347" t="s">
        <v>581</v>
      </c>
      <c r="E347" s="2">
        <v>102</v>
      </c>
      <c r="F347" s="2">
        <v>0</v>
      </c>
      <c r="G347" s="2">
        <v>10.9888333333333</v>
      </c>
      <c r="H347" s="2">
        <v>-12.4888333333333</v>
      </c>
      <c r="I347" s="1">
        <v>0.82320098039215595</v>
      </c>
      <c r="J347" s="1">
        <v>0.86731862745097998</v>
      </c>
      <c r="K347" s="1">
        <v>0.58623234381940403</v>
      </c>
      <c r="L347" s="1">
        <v>0.60428726402373201</v>
      </c>
      <c r="P347" s="1">
        <f>I347-'Passo 2'!I347</f>
        <v>-3.9215686274510109E-2</v>
      </c>
      <c r="Q347" s="1">
        <f>J347-'Passo 2'!J347</f>
        <v>-3.4313725490196068E-2</v>
      </c>
      <c r="R347" s="8">
        <f t="shared" si="21"/>
        <v>83.966499999999911</v>
      </c>
      <c r="S347" s="8">
        <f t="shared" si="20"/>
        <v>88.466499999999954</v>
      </c>
      <c r="T347" s="1">
        <f t="shared" si="22"/>
        <v>59.795699069579214</v>
      </c>
      <c r="U347" s="1">
        <f t="shared" si="23"/>
        <v>61.637300930420665</v>
      </c>
    </row>
    <row r="348" spans="1:21" x14ac:dyDescent="0.3">
      <c r="A348" t="s">
        <v>57</v>
      </c>
      <c r="B348" t="s">
        <v>256</v>
      </c>
      <c r="C348" t="s">
        <v>34</v>
      </c>
      <c r="D348" t="s">
        <v>35</v>
      </c>
      <c r="E348" s="2">
        <v>6.774</v>
      </c>
      <c r="F348" s="2">
        <v>0</v>
      </c>
      <c r="G348" s="2">
        <v>1.129</v>
      </c>
      <c r="H348" s="2">
        <v>-1.129</v>
      </c>
      <c r="I348" s="1">
        <v>1</v>
      </c>
      <c r="J348" s="1">
        <v>1</v>
      </c>
      <c r="K348" s="1">
        <v>0.99995954692556599</v>
      </c>
      <c r="L348" s="1">
        <v>0.50004045307443301</v>
      </c>
      <c r="P348" s="1">
        <f>I348-'Passo 2'!I348</f>
        <v>0</v>
      </c>
      <c r="Q348" s="1">
        <f>J348-'Passo 2'!J348</f>
        <v>0</v>
      </c>
      <c r="R348" s="8">
        <f t="shared" si="21"/>
        <v>6.774</v>
      </c>
      <c r="S348" s="8">
        <f t="shared" si="20"/>
        <v>6.774</v>
      </c>
      <c r="T348" s="1">
        <f t="shared" si="22"/>
        <v>6.7737259708737838</v>
      </c>
      <c r="U348" s="1">
        <f t="shared" si="23"/>
        <v>3.3872740291262091</v>
      </c>
    </row>
    <row r="349" spans="1:21" x14ac:dyDescent="0.3">
      <c r="A349" t="s">
        <v>57</v>
      </c>
      <c r="B349" t="s">
        <v>257</v>
      </c>
      <c r="C349" t="s">
        <v>576</v>
      </c>
      <c r="D349" t="s">
        <v>591</v>
      </c>
      <c r="E349" s="2">
        <v>27</v>
      </c>
      <c r="F349" s="2">
        <v>0</v>
      </c>
      <c r="G349" s="2">
        <v>2.8333333333333299</v>
      </c>
      <c r="H349" s="2">
        <v>-2.8333333333333299</v>
      </c>
      <c r="I349" s="1">
        <v>0.81481481481481399</v>
      </c>
      <c r="J349" s="1">
        <v>0.81481481481481399</v>
      </c>
      <c r="K349" s="1">
        <v>0.64636591154261003</v>
      </c>
      <c r="L349" s="1">
        <v>0.48326371808701901</v>
      </c>
      <c r="P349" s="1">
        <f>I349-'Passo 2'!I349</f>
        <v>0</v>
      </c>
      <c r="Q349" s="1">
        <f>J349-'Passo 2'!J349</f>
        <v>0</v>
      </c>
      <c r="R349" s="8">
        <f t="shared" si="21"/>
        <v>21.999999999999979</v>
      </c>
      <c r="S349" s="8">
        <f t="shared" si="20"/>
        <v>21.999999999999979</v>
      </c>
      <c r="T349" s="1">
        <f t="shared" si="22"/>
        <v>17.451879611650472</v>
      </c>
      <c r="U349" s="1">
        <f t="shared" si="23"/>
        <v>13.048120388349513</v>
      </c>
    </row>
    <row r="350" spans="1:21" x14ac:dyDescent="0.3">
      <c r="A350" t="s">
        <v>57</v>
      </c>
      <c r="B350" t="s">
        <v>258</v>
      </c>
      <c r="C350" t="s">
        <v>34</v>
      </c>
      <c r="D350" t="s">
        <v>35</v>
      </c>
      <c r="E350" s="2">
        <v>505.19400000000002</v>
      </c>
      <c r="F350" s="2">
        <v>0</v>
      </c>
      <c r="G350" s="2">
        <v>81.940166666666599</v>
      </c>
      <c r="H350" s="2">
        <v>-82.4433333333333</v>
      </c>
      <c r="I350" s="1">
        <v>0.98658634108876897</v>
      </c>
      <c r="J350" s="1">
        <v>0.989574302149273</v>
      </c>
      <c r="K350" s="1">
        <v>0.91301117582782998</v>
      </c>
      <c r="L350" s="1">
        <v>0.56314946741021199</v>
      </c>
      <c r="P350" s="1">
        <f>I350-'Passo 2'!I350</f>
        <v>0.24902116810571695</v>
      </c>
      <c r="Q350" s="1">
        <f>J350-'Passo 2'!J350</f>
        <v>0.17930537575663996</v>
      </c>
      <c r="R350" s="8">
        <f t="shared" si="21"/>
        <v>498.41749999999956</v>
      </c>
      <c r="S350" s="8">
        <f t="shared" si="20"/>
        <v>499.92699999999985</v>
      </c>
      <c r="T350" s="1">
        <f t="shared" si="22"/>
        <v>461.24776796116475</v>
      </c>
      <c r="U350" s="1">
        <f t="shared" si="23"/>
        <v>284.49973203883462</v>
      </c>
    </row>
    <row r="351" spans="1:21" x14ac:dyDescent="0.3">
      <c r="A351" t="s">
        <v>57</v>
      </c>
      <c r="B351" t="s">
        <v>259</v>
      </c>
      <c r="C351" t="s">
        <v>34</v>
      </c>
      <c r="D351" t="s">
        <v>35</v>
      </c>
      <c r="E351" s="2">
        <v>805.36599999999999</v>
      </c>
      <c r="F351" s="2">
        <v>0</v>
      </c>
      <c r="G351" s="2">
        <v>132.29583333333301</v>
      </c>
      <c r="H351" s="2">
        <v>-133.96549999999999</v>
      </c>
      <c r="I351" s="1">
        <v>0.99280389288844995</v>
      </c>
      <c r="J351" s="1">
        <v>0.999023425374301</v>
      </c>
      <c r="K351" s="1">
        <v>0.90581306564816799</v>
      </c>
      <c r="L351" s="1">
        <v>0.58601425261458395</v>
      </c>
      <c r="P351" s="1">
        <f>I351-'Passo 2'!I351</f>
        <v>0.25748665823985595</v>
      </c>
      <c r="Q351" s="1">
        <f>J351-'Passo 2'!J351</f>
        <v>0.20626895101109299</v>
      </c>
      <c r="R351" s="8">
        <f t="shared" si="21"/>
        <v>799.57049999999936</v>
      </c>
      <c r="S351" s="8">
        <f t="shared" si="20"/>
        <v>804.57949999999926</v>
      </c>
      <c r="T351" s="1">
        <f t="shared" si="22"/>
        <v>729.5110454288025</v>
      </c>
      <c r="U351" s="1">
        <f t="shared" si="23"/>
        <v>471.95595457119703</v>
      </c>
    </row>
    <row r="352" spans="1:21" x14ac:dyDescent="0.3">
      <c r="A352" t="s">
        <v>57</v>
      </c>
      <c r="B352" t="s">
        <v>260</v>
      </c>
      <c r="C352" t="s">
        <v>580</v>
      </c>
      <c r="D352" t="s">
        <v>581</v>
      </c>
      <c r="E352" s="2">
        <v>165</v>
      </c>
      <c r="F352" s="2">
        <v>0</v>
      </c>
      <c r="G352" s="2">
        <v>16.6666666666666</v>
      </c>
      <c r="H352" s="2">
        <v>-13.0163333333333</v>
      </c>
      <c r="I352" s="1">
        <v>0.80303030303030298</v>
      </c>
      <c r="J352" s="1">
        <v>0.73666060606060602</v>
      </c>
      <c r="K352" s="1">
        <v>0.59742531994704295</v>
      </c>
      <c r="L352" s="1">
        <v>0.44226558914386499</v>
      </c>
      <c r="P352" s="1">
        <f>I352-'Passo 2'!I352</f>
        <v>3.5045454545454935E-2</v>
      </c>
      <c r="Q352" s="1">
        <f>J352-'Passo 2'!J352</f>
        <v>-2.5363636363630038E-3</v>
      </c>
      <c r="R352" s="8">
        <f t="shared" si="21"/>
        <v>132.5</v>
      </c>
      <c r="S352" s="8">
        <f t="shared" si="20"/>
        <v>121.54899999999999</v>
      </c>
      <c r="T352" s="1">
        <f t="shared" si="22"/>
        <v>98.575177791262092</v>
      </c>
      <c r="U352" s="1">
        <f t="shared" si="23"/>
        <v>72.97382220873773</v>
      </c>
    </row>
    <row r="353" spans="1:21" x14ac:dyDescent="0.3">
      <c r="A353" t="s">
        <v>57</v>
      </c>
      <c r="B353" t="s">
        <v>261</v>
      </c>
      <c r="C353" t="s">
        <v>34</v>
      </c>
      <c r="D353" t="s">
        <v>35</v>
      </c>
      <c r="E353" s="2">
        <v>61</v>
      </c>
      <c r="F353" s="2">
        <v>0</v>
      </c>
      <c r="G353" s="2">
        <v>10.1666666666666</v>
      </c>
      <c r="H353" s="2">
        <v>-10.000166666666599</v>
      </c>
      <c r="I353" s="1">
        <v>1</v>
      </c>
      <c r="J353" s="1">
        <v>0.99181147540983605</v>
      </c>
      <c r="K353" s="1">
        <v>0.86794167130882205</v>
      </c>
      <c r="L353" s="1">
        <v>0.623869804101013</v>
      </c>
      <c r="P353" s="1">
        <f>I353-'Passo 2'!I353</f>
        <v>0.12295081967213195</v>
      </c>
      <c r="Q353" s="1">
        <f>J353-'Passo 2'!J353</f>
        <v>0.13115573770491806</v>
      </c>
      <c r="R353" s="8">
        <f t="shared" si="21"/>
        <v>61</v>
      </c>
      <c r="S353" s="8">
        <f t="shared" si="20"/>
        <v>60.500500000000002</v>
      </c>
      <c r="T353" s="1">
        <f t="shared" si="22"/>
        <v>52.944441949838144</v>
      </c>
      <c r="U353" s="1">
        <f t="shared" si="23"/>
        <v>38.056058050161795</v>
      </c>
    </row>
    <row r="354" spans="1:21" x14ac:dyDescent="0.3">
      <c r="A354" t="s">
        <v>57</v>
      </c>
      <c r="B354" t="s">
        <v>262</v>
      </c>
      <c r="C354" t="s">
        <v>34</v>
      </c>
      <c r="D354" t="s">
        <v>35</v>
      </c>
      <c r="E354" s="2">
        <v>497.298</v>
      </c>
      <c r="F354" s="2">
        <v>0</v>
      </c>
      <c r="G354" s="2">
        <v>81.6845</v>
      </c>
      <c r="H354" s="2">
        <v>-81.305333333333294</v>
      </c>
      <c r="I354" s="1">
        <v>0.99276992869466596</v>
      </c>
      <c r="J354" s="1">
        <v>0.99048256779637101</v>
      </c>
      <c r="K354" s="1">
        <v>0.88322678318357295</v>
      </c>
      <c r="L354" s="1">
        <v>0.60002571330746401</v>
      </c>
      <c r="P354" s="1">
        <f>I354-'Passo 2'!I354</f>
        <v>0.24094908887628796</v>
      </c>
      <c r="Q354" s="1">
        <f>J354-'Passo 2'!J354</f>
        <v>8.8249902472964048E-2</v>
      </c>
      <c r="R354" s="8">
        <f t="shared" si="21"/>
        <v>493.70249999999999</v>
      </c>
      <c r="S354" s="8">
        <f t="shared" si="20"/>
        <v>492.56499999999971</v>
      </c>
      <c r="T354" s="1">
        <f t="shared" si="22"/>
        <v>439.22691282362445</v>
      </c>
      <c r="U354" s="1">
        <f t="shared" si="23"/>
        <v>298.39158717637525</v>
      </c>
    </row>
    <row r="355" spans="1:21" x14ac:dyDescent="0.3">
      <c r="A355" t="s">
        <v>57</v>
      </c>
      <c r="B355" t="s">
        <v>263</v>
      </c>
      <c r="C355" t="s">
        <v>576</v>
      </c>
      <c r="D355" t="s">
        <v>591</v>
      </c>
      <c r="E355" s="2">
        <v>5</v>
      </c>
      <c r="F355" s="2">
        <v>0</v>
      </c>
      <c r="G355" s="2">
        <v>0.832666666666666</v>
      </c>
      <c r="H355" s="2">
        <v>-0.832666666666666</v>
      </c>
      <c r="I355" s="1">
        <v>0.99960000000000004</v>
      </c>
      <c r="J355" s="1">
        <v>0.99960000000000004</v>
      </c>
      <c r="K355" s="1">
        <v>0.87227266990291197</v>
      </c>
      <c r="L355" s="1">
        <v>0.62692733009708701</v>
      </c>
      <c r="P355" s="1">
        <f>I355-'Passo 2'!I355</f>
        <v>0</v>
      </c>
      <c r="Q355" s="1">
        <f>J355-'Passo 2'!J355</f>
        <v>0</v>
      </c>
      <c r="R355" s="8">
        <f t="shared" si="21"/>
        <v>4.9980000000000002</v>
      </c>
      <c r="S355" s="8">
        <f t="shared" si="20"/>
        <v>4.9980000000000002</v>
      </c>
      <c r="T355" s="1">
        <f t="shared" si="22"/>
        <v>4.3613633495145603</v>
      </c>
      <c r="U355" s="1">
        <f t="shared" si="23"/>
        <v>3.1346366504854348</v>
      </c>
    </row>
    <row r="356" spans="1:21" x14ac:dyDescent="0.3">
      <c r="A356" t="s">
        <v>57</v>
      </c>
      <c r="B356" t="s">
        <v>264</v>
      </c>
      <c r="C356" t="s">
        <v>576</v>
      </c>
      <c r="D356" t="s">
        <v>589</v>
      </c>
      <c r="E356" s="2">
        <v>0</v>
      </c>
      <c r="F356" s="2">
        <v>0</v>
      </c>
      <c r="G356" s="2">
        <v>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P356" s="1">
        <f>I356-'Passo 2'!I356</f>
        <v>0</v>
      </c>
      <c r="Q356" s="1">
        <f>J356-'Passo 2'!J356</f>
        <v>0</v>
      </c>
      <c r="R356" s="8">
        <f t="shared" si="21"/>
        <v>0</v>
      </c>
      <c r="S356" s="8">
        <f t="shared" si="20"/>
        <v>0</v>
      </c>
      <c r="T356" s="1">
        <f t="shared" si="22"/>
        <v>0</v>
      </c>
      <c r="U356" s="1">
        <f t="shared" si="23"/>
        <v>0</v>
      </c>
    </row>
    <row r="357" spans="1:21" x14ac:dyDescent="0.3">
      <c r="A357" t="s">
        <v>57</v>
      </c>
      <c r="B357" t="s">
        <v>265</v>
      </c>
      <c r="C357" t="s">
        <v>574</v>
      </c>
      <c r="D357" t="s">
        <v>575</v>
      </c>
      <c r="E357" s="2">
        <v>178.31399999999999</v>
      </c>
      <c r="F357" s="2">
        <v>0</v>
      </c>
      <c r="G357" s="2">
        <v>29.585666666666601</v>
      </c>
      <c r="H357" s="2">
        <v>-29.585666666666601</v>
      </c>
      <c r="I357" s="1">
        <v>0.99775676615408704</v>
      </c>
      <c r="J357" s="1">
        <v>0.99775676615408704</v>
      </c>
      <c r="K357" s="1">
        <v>0.97801345707998499</v>
      </c>
      <c r="L357" s="1">
        <v>0.51750007522818997</v>
      </c>
      <c r="P357" s="1">
        <f>I357-'Passo 2'!I357</f>
        <v>0</v>
      </c>
      <c r="Q357" s="1">
        <f>J357-'Passo 2'!J357</f>
        <v>2.6144890474107063E-2</v>
      </c>
      <c r="R357" s="8">
        <f t="shared" si="21"/>
        <v>177.91399999999987</v>
      </c>
      <c r="S357" s="8">
        <f t="shared" si="20"/>
        <v>177.91399999999987</v>
      </c>
      <c r="T357" s="1">
        <f t="shared" si="22"/>
        <v>174.39349158576044</v>
      </c>
      <c r="U357" s="1">
        <f t="shared" si="23"/>
        <v>92.277508414239463</v>
      </c>
    </row>
    <row r="358" spans="1:21" x14ac:dyDescent="0.3">
      <c r="A358" t="s">
        <v>57</v>
      </c>
      <c r="B358" t="s">
        <v>266</v>
      </c>
      <c r="C358" t="s">
        <v>574</v>
      </c>
      <c r="D358" t="s">
        <v>575</v>
      </c>
      <c r="E358" s="2">
        <v>287.19099999999997</v>
      </c>
      <c r="F358" s="2">
        <v>0</v>
      </c>
      <c r="G358" s="2">
        <v>47.848499999999902</v>
      </c>
      <c r="H358" s="2">
        <v>-47.865166666666603</v>
      </c>
      <c r="I358" s="1">
        <v>0.99982589983669401</v>
      </c>
      <c r="J358" s="1">
        <v>1</v>
      </c>
      <c r="K358" s="1">
        <v>0.98861837169830402</v>
      </c>
      <c r="L358" s="1">
        <v>0.51120752813838899</v>
      </c>
      <c r="P358" s="1">
        <f>I358-'Passo 2'!I358</f>
        <v>6.3187913270262963E-2</v>
      </c>
      <c r="Q358" s="1">
        <f>J358-'Passo 2'!J358</f>
        <v>3.6056143820663022E-2</v>
      </c>
      <c r="R358" s="8">
        <f t="shared" si="21"/>
        <v>287.14099999999996</v>
      </c>
      <c r="S358" s="8">
        <f t="shared" si="20"/>
        <v>287.19099999999997</v>
      </c>
      <c r="T358" s="1">
        <f t="shared" si="22"/>
        <v>283.92229878640762</v>
      </c>
      <c r="U358" s="1">
        <f t="shared" si="23"/>
        <v>146.81420121359207</v>
      </c>
    </row>
    <row r="359" spans="1:21" x14ac:dyDescent="0.3">
      <c r="A359" t="s">
        <v>57</v>
      </c>
      <c r="B359" t="s">
        <v>267</v>
      </c>
      <c r="C359" t="s">
        <v>574</v>
      </c>
      <c r="D359" t="s">
        <v>575</v>
      </c>
      <c r="E359" s="2">
        <v>783.68499999999995</v>
      </c>
      <c r="F359" s="2">
        <v>0</v>
      </c>
      <c r="G359" s="2">
        <v>130.61416666666599</v>
      </c>
      <c r="H359" s="2">
        <v>-129.889833333333</v>
      </c>
      <c r="I359" s="1">
        <v>1</v>
      </c>
      <c r="J359" s="1">
        <v>0.99722720225600803</v>
      </c>
      <c r="K359" s="1">
        <v>0.93529389728837398</v>
      </c>
      <c r="L359" s="1">
        <v>0.56193330496763305</v>
      </c>
      <c r="P359" s="1">
        <f>I359-'Passo 2'!I359</f>
        <v>1.9278153850080026E-2</v>
      </c>
      <c r="Q359" s="1">
        <f>J359-'Passo 2'!J359</f>
        <v>4.7430408901536047E-2</v>
      </c>
      <c r="R359" s="8">
        <f t="shared" si="21"/>
        <v>783.68499999999995</v>
      </c>
      <c r="S359" s="8">
        <f t="shared" si="20"/>
        <v>781.5119999999996</v>
      </c>
      <c r="T359" s="1">
        <f t="shared" si="22"/>
        <v>732.9757978964393</v>
      </c>
      <c r="U359" s="1">
        <f t="shared" si="23"/>
        <v>440.37870210355948</v>
      </c>
    </row>
    <row r="360" spans="1:21" x14ac:dyDescent="0.3">
      <c r="A360" t="s">
        <v>57</v>
      </c>
      <c r="B360" t="s">
        <v>268</v>
      </c>
      <c r="C360" t="s">
        <v>574</v>
      </c>
      <c r="D360" t="s">
        <v>575</v>
      </c>
      <c r="E360" s="2">
        <v>2046.346</v>
      </c>
      <c r="F360" s="2">
        <v>276.34199999999998</v>
      </c>
      <c r="G360" s="2">
        <v>244.018333333333</v>
      </c>
      <c r="H360" s="2">
        <v>-213.285666666666</v>
      </c>
      <c r="I360" s="1">
        <v>0.79021680595559096</v>
      </c>
      <c r="J360" s="1">
        <v>0.74516186412268504</v>
      </c>
      <c r="K360" s="1">
        <v>0.61878664563275798</v>
      </c>
      <c r="L360" s="1">
        <v>0.48411286402983</v>
      </c>
      <c r="P360" s="1">
        <f>I360-'Passo 2'!I360</f>
        <v>1.1585528546980917E-2</v>
      </c>
      <c r="Q360" s="1">
        <f>J360-'Passo 2'!J360</f>
        <v>5.2844924563100082E-2</v>
      </c>
      <c r="R360" s="8">
        <f t="shared" si="21"/>
        <v>1617.0569999999998</v>
      </c>
      <c r="S360" s="8">
        <f t="shared" si="20"/>
        <v>1524.8589999999999</v>
      </c>
      <c r="T360" s="1">
        <f t="shared" si="22"/>
        <v>1266.2515771440117</v>
      </c>
      <c r="U360" s="1">
        <f t="shared" si="23"/>
        <v>990.66242285598651</v>
      </c>
    </row>
    <row r="361" spans="1:21" x14ac:dyDescent="0.3">
      <c r="A361" t="s">
        <v>57</v>
      </c>
      <c r="B361" t="s">
        <v>691</v>
      </c>
      <c r="C361" t="s">
        <v>576</v>
      </c>
      <c r="D361" t="s">
        <v>589</v>
      </c>
      <c r="E361" s="2">
        <v>0</v>
      </c>
      <c r="F361" s="2">
        <v>0</v>
      </c>
      <c r="G361" s="2">
        <v>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P361" s="1">
        <f>I361-'Passo 2'!I361</f>
        <v>0</v>
      </c>
      <c r="Q361" s="1">
        <f>J361-'Passo 2'!J361</f>
        <v>0</v>
      </c>
      <c r="R361" s="8">
        <f t="shared" si="21"/>
        <v>0</v>
      </c>
      <c r="S361" s="8">
        <f t="shared" si="20"/>
        <v>0</v>
      </c>
      <c r="T361" s="1">
        <f t="shared" si="22"/>
        <v>0</v>
      </c>
      <c r="U361" s="1">
        <f t="shared" si="23"/>
        <v>0</v>
      </c>
    </row>
    <row r="362" spans="1:21" x14ac:dyDescent="0.3">
      <c r="A362" t="s">
        <v>57</v>
      </c>
      <c r="B362" t="s">
        <v>269</v>
      </c>
      <c r="C362" t="s">
        <v>574</v>
      </c>
      <c r="D362" t="s">
        <v>575</v>
      </c>
      <c r="E362" s="2">
        <v>162.02799999999999</v>
      </c>
      <c r="F362" s="2">
        <v>0</v>
      </c>
      <c r="G362" s="2">
        <v>27.004666666666601</v>
      </c>
      <c r="H362" s="2">
        <v>-27.004666666666601</v>
      </c>
      <c r="I362" s="1">
        <v>1</v>
      </c>
      <c r="J362" s="1">
        <v>1</v>
      </c>
      <c r="K362" s="1">
        <v>0.88604119714256102</v>
      </c>
      <c r="L362" s="1">
        <v>0.61395880285743798</v>
      </c>
      <c r="P362" s="1">
        <f>I362-'Passo 2'!I362</f>
        <v>0</v>
      </c>
      <c r="Q362" s="1">
        <f>J362-'Passo 2'!J362</f>
        <v>3.2710395734103503E-4</v>
      </c>
      <c r="R362" s="8">
        <f t="shared" si="21"/>
        <v>162.02799999999999</v>
      </c>
      <c r="S362" s="8">
        <f t="shared" si="20"/>
        <v>162.02799999999999</v>
      </c>
      <c r="T362" s="1">
        <f t="shared" si="22"/>
        <v>143.56348309061488</v>
      </c>
      <c r="U362" s="1">
        <f t="shared" si="23"/>
        <v>99.47851690938495</v>
      </c>
    </row>
    <row r="363" spans="1:21" x14ac:dyDescent="0.3">
      <c r="A363" t="s">
        <v>57</v>
      </c>
      <c r="B363" t="s">
        <v>270</v>
      </c>
      <c r="C363" t="s">
        <v>576</v>
      </c>
      <c r="D363" t="s">
        <v>583</v>
      </c>
      <c r="E363" s="2">
        <v>197.86199999999999</v>
      </c>
      <c r="F363" s="2">
        <v>0</v>
      </c>
      <c r="G363" s="2">
        <v>32.976999999999997</v>
      </c>
      <c r="H363" s="2">
        <v>-32.951333333333302</v>
      </c>
      <c r="I363" s="1">
        <v>0.999999999999999</v>
      </c>
      <c r="J363" s="1">
        <v>0.99961083987829802</v>
      </c>
      <c r="K363" s="1">
        <v>0.99289803059430204</v>
      </c>
      <c r="L363" s="1">
        <v>0.50671280928399598</v>
      </c>
      <c r="P363" s="1">
        <f>I363-'Passo 2'!I363</f>
        <v>7.1514489896895572E-4</v>
      </c>
      <c r="Q363" s="1">
        <f>J363-'Passo 2'!J363</f>
        <v>4.4576523031200077E-3</v>
      </c>
      <c r="R363" s="8">
        <f t="shared" si="21"/>
        <v>197.8619999999998</v>
      </c>
      <c r="S363" s="8">
        <f t="shared" si="20"/>
        <v>197.7849999999998</v>
      </c>
      <c r="T363" s="1">
        <f t="shared" si="22"/>
        <v>196.45679012944979</v>
      </c>
      <c r="U363" s="1">
        <f t="shared" si="23"/>
        <v>100.25920987055001</v>
      </c>
    </row>
    <row r="364" spans="1:21" x14ac:dyDescent="0.3">
      <c r="A364" t="s">
        <v>57</v>
      </c>
      <c r="B364" t="s">
        <v>271</v>
      </c>
      <c r="C364" t="s">
        <v>576</v>
      </c>
      <c r="D364" t="s">
        <v>583</v>
      </c>
      <c r="E364" s="2">
        <v>0</v>
      </c>
      <c r="F364" s="2">
        <v>0</v>
      </c>
      <c r="G364" s="2">
        <v>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P364" s="1">
        <f>I364-'Passo 2'!I364</f>
        <v>0</v>
      </c>
      <c r="Q364" s="1">
        <f>J364-'Passo 2'!J364</f>
        <v>0</v>
      </c>
      <c r="R364" s="8">
        <f t="shared" si="21"/>
        <v>0</v>
      </c>
      <c r="S364" s="8">
        <f t="shared" si="20"/>
        <v>0</v>
      </c>
      <c r="T364" s="1">
        <f t="shared" si="22"/>
        <v>0</v>
      </c>
      <c r="U364" s="1">
        <f t="shared" si="23"/>
        <v>0</v>
      </c>
    </row>
    <row r="365" spans="1:21" x14ac:dyDescent="0.3">
      <c r="A365" t="s">
        <v>57</v>
      </c>
      <c r="B365" t="s">
        <v>272</v>
      </c>
      <c r="C365" t="s">
        <v>34</v>
      </c>
      <c r="D365" t="s">
        <v>35</v>
      </c>
      <c r="E365" s="2">
        <v>46.906999999999996</v>
      </c>
      <c r="F365" s="2">
        <v>0</v>
      </c>
      <c r="G365" s="2">
        <v>7.64483333333333</v>
      </c>
      <c r="H365" s="2">
        <v>-7.6935000000000002</v>
      </c>
      <c r="I365" s="1">
        <v>0.98893555332892702</v>
      </c>
      <c r="J365" s="1">
        <v>0.99204809516703196</v>
      </c>
      <c r="K365" s="1">
        <v>0.89220237562268601</v>
      </c>
      <c r="L365" s="1">
        <v>0.58878127287327398</v>
      </c>
      <c r="P365" s="1">
        <f>I365-'Passo 2'!I365</f>
        <v>1.2151704436440536E-3</v>
      </c>
      <c r="Q365" s="1">
        <f>J365-'Passo 2'!J365</f>
        <v>1.4859189459994981E-2</v>
      </c>
      <c r="R365" s="8">
        <f t="shared" si="21"/>
        <v>46.387999999999977</v>
      </c>
      <c r="S365" s="8">
        <f t="shared" si="20"/>
        <v>46.533999999999963</v>
      </c>
      <c r="T365" s="1">
        <f t="shared" si="22"/>
        <v>41.850536833333329</v>
      </c>
      <c r="U365" s="1">
        <f t="shared" si="23"/>
        <v>27.617963166666659</v>
      </c>
    </row>
    <row r="366" spans="1:21" x14ac:dyDescent="0.3">
      <c r="A366" t="s">
        <v>57</v>
      </c>
      <c r="B366" t="s">
        <v>273</v>
      </c>
      <c r="C366" t="s">
        <v>576</v>
      </c>
      <c r="D366" t="s">
        <v>577</v>
      </c>
      <c r="E366" s="2">
        <v>1540.875</v>
      </c>
      <c r="F366" s="2">
        <v>0</v>
      </c>
      <c r="G366" s="2">
        <v>235.02950000000001</v>
      </c>
      <c r="H366" s="2">
        <v>-256.51966666666601</v>
      </c>
      <c r="I366" s="1">
        <v>0.95758968118763699</v>
      </c>
      <c r="J366" s="1">
        <v>0.99942986939238998</v>
      </c>
      <c r="K366" s="1">
        <v>0.95347582804919695</v>
      </c>
      <c r="L366" s="1">
        <v>0.50354372253082902</v>
      </c>
      <c r="P366" s="1">
        <f>I366-'Passo 2'!I366</f>
        <v>0.13338849679565201</v>
      </c>
      <c r="Q366" s="1">
        <f>J366-'Passo 2'!J366</f>
        <v>2.6163705686704009E-2</v>
      </c>
      <c r="R366" s="8">
        <f t="shared" si="21"/>
        <v>1475.5260000000001</v>
      </c>
      <c r="S366" s="8">
        <f t="shared" si="20"/>
        <v>1539.9964999999988</v>
      </c>
      <c r="T366" s="1">
        <f t="shared" si="22"/>
        <v>1469.1870665453064</v>
      </c>
      <c r="U366" s="1">
        <f t="shared" si="23"/>
        <v>775.89793345469116</v>
      </c>
    </row>
    <row r="367" spans="1:21" x14ac:dyDescent="0.3">
      <c r="A367" t="s">
        <v>57</v>
      </c>
      <c r="B367" t="s">
        <v>692</v>
      </c>
      <c r="C367" t="s">
        <v>576</v>
      </c>
      <c r="D367" t="s">
        <v>595</v>
      </c>
      <c r="E367" s="2">
        <v>721.072</v>
      </c>
      <c r="F367" s="2">
        <v>0</v>
      </c>
      <c r="G367" s="2">
        <v>116.710333333333</v>
      </c>
      <c r="H367" s="2">
        <v>-109.81633333333301</v>
      </c>
      <c r="I367" s="1">
        <v>0.985570095635387</v>
      </c>
      <c r="J367" s="1">
        <v>0.956887800386091</v>
      </c>
      <c r="K367" s="1">
        <v>0.92848507581562001</v>
      </c>
      <c r="L367" s="1">
        <v>0.51397282020585799</v>
      </c>
      <c r="P367" s="1">
        <f>I367-'Passo 2'!I367</f>
        <v>0.28171111900059898</v>
      </c>
      <c r="Q367" s="1">
        <f>J367-'Passo 2'!J367</f>
        <v>0.21088601415670005</v>
      </c>
      <c r="R367" s="8">
        <f t="shared" si="21"/>
        <v>710.6669999999998</v>
      </c>
      <c r="S367" s="8">
        <f t="shared" si="20"/>
        <v>689.98499999999945</v>
      </c>
      <c r="T367" s="1">
        <f t="shared" si="22"/>
        <v>669.50459058852073</v>
      </c>
      <c r="U367" s="1">
        <f t="shared" si="23"/>
        <v>370.61140941147846</v>
      </c>
    </row>
    <row r="368" spans="1:21" x14ac:dyDescent="0.3">
      <c r="A368" t="s">
        <v>57</v>
      </c>
      <c r="B368" t="s">
        <v>693</v>
      </c>
      <c r="C368" t="s">
        <v>576</v>
      </c>
      <c r="D368" t="s">
        <v>595</v>
      </c>
      <c r="E368" s="2">
        <v>368.03500000000003</v>
      </c>
      <c r="F368" s="2">
        <v>0</v>
      </c>
      <c r="G368" s="2">
        <v>61.249333333333297</v>
      </c>
      <c r="H368" s="2">
        <v>-60.735333333333301</v>
      </c>
      <c r="I368" s="1">
        <v>0.99926773268846703</v>
      </c>
      <c r="J368" s="1">
        <v>0.99507791378537302</v>
      </c>
      <c r="K368" s="1">
        <v>0.947801593286272</v>
      </c>
      <c r="L368" s="1">
        <v>0.54654405318756805</v>
      </c>
      <c r="P368" s="1">
        <f>I368-'Passo 2'!I368</f>
        <v>0.21699430760661398</v>
      </c>
      <c r="Q368" s="1">
        <f>J368-'Passo 2'!J368</f>
        <v>4.3596397081799854E-3</v>
      </c>
      <c r="R368" s="8">
        <f t="shared" si="21"/>
        <v>367.76549999999997</v>
      </c>
      <c r="S368" s="8">
        <f t="shared" si="20"/>
        <v>366.22349999999977</v>
      </c>
      <c r="T368" s="1">
        <f t="shared" si="22"/>
        <v>348.82415938511315</v>
      </c>
      <c r="U368" s="1">
        <f t="shared" si="23"/>
        <v>201.14734061488662</v>
      </c>
    </row>
    <row r="369" spans="1:21" x14ac:dyDescent="0.3">
      <c r="A369" t="s">
        <v>57</v>
      </c>
      <c r="B369" t="s">
        <v>274</v>
      </c>
      <c r="C369" t="s">
        <v>576</v>
      </c>
      <c r="D369" t="s">
        <v>589</v>
      </c>
      <c r="E369" s="2">
        <v>0</v>
      </c>
      <c r="F369" s="2">
        <v>0</v>
      </c>
      <c r="G369" s="2">
        <v>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P369" s="1">
        <f>I369-'Passo 2'!I369</f>
        <v>0</v>
      </c>
      <c r="Q369" s="1">
        <f>J369-'Passo 2'!J369</f>
        <v>0</v>
      </c>
      <c r="R369" s="8">
        <f t="shared" si="21"/>
        <v>0</v>
      </c>
      <c r="S369" s="8">
        <f t="shared" si="20"/>
        <v>0</v>
      </c>
      <c r="T369" s="1">
        <f t="shared" si="22"/>
        <v>0</v>
      </c>
      <c r="U369" s="1">
        <f t="shared" si="23"/>
        <v>0</v>
      </c>
    </row>
    <row r="370" spans="1:21" x14ac:dyDescent="0.3">
      <c r="A370" t="s">
        <v>57</v>
      </c>
      <c r="B370" t="s">
        <v>275</v>
      </c>
      <c r="C370" t="s">
        <v>576</v>
      </c>
      <c r="D370" t="s">
        <v>589</v>
      </c>
      <c r="E370" s="2">
        <v>0</v>
      </c>
      <c r="F370" s="2">
        <v>0</v>
      </c>
      <c r="G370" s="2">
        <v>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P370" s="1">
        <f>I370-'Passo 2'!I370</f>
        <v>0</v>
      </c>
      <c r="Q370" s="1">
        <f>J370-'Passo 2'!J370</f>
        <v>0</v>
      </c>
      <c r="R370" s="8">
        <f t="shared" si="21"/>
        <v>0</v>
      </c>
      <c r="S370" s="8">
        <f t="shared" si="20"/>
        <v>0</v>
      </c>
      <c r="T370" s="1">
        <f t="shared" si="22"/>
        <v>0</v>
      </c>
      <c r="U370" s="1">
        <f t="shared" si="23"/>
        <v>0</v>
      </c>
    </row>
    <row r="371" spans="1:21" x14ac:dyDescent="0.3">
      <c r="A371" t="s">
        <v>57</v>
      </c>
      <c r="B371" t="s">
        <v>276</v>
      </c>
      <c r="C371" t="s">
        <v>580</v>
      </c>
      <c r="D371" t="s">
        <v>581</v>
      </c>
      <c r="E371" s="2">
        <v>99.337999999999994</v>
      </c>
      <c r="F371" s="2">
        <v>0</v>
      </c>
      <c r="G371" s="2">
        <v>16.556333333333299</v>
      </c>
      <c r="H371" s="2">
        <v>-15.3488333333333</v>
      </c>
      <c r="I371" s="1">
        <v>1</v>
      </c>
      <c r="J371" s="1">
        <v>0.963533592381566</v>
      </c>
      <c r="K371" s="1">
        <v>0.90680535891941205</v>
      </c>
      <c r="L371" s="1">
        <v>0.55672823346215305</v>
      </c>
      <c r="P371" s="1">
        <f>I371-'Passo 2'!I371</f>
        <v>0</v>
      </c>
      <c r="Q371" s="1">
        <f>J371-'Passo 2'!J371</f>
        <v>6.1829310032414986E-2</v>
      </c>
      <c r="R371" s="8">
        <f t="shared" si="21"/>
        <v>99.337999999999994</v>
      </c>
      <c r="S371" s="8">
        <f t="shared" si="20"/>
        <v>95.715499999999992</v>
      </c>
      <c r="T371" s="1">
        <f t="shared" si="22"/>
        <v>90.080230744336546</v>
      </c>
      <c r="U371" s="1">
        <f t="shared" si="23"/>
        <v>55.304269255663357</v>
      </c>
    </row>
    <row r="372" spans="1:21" x14ac:dyDescent="0.3">
      <c r="A372" t="s">
        <v>57</v>
      </c>
      <c r="B372" t="s">
        <v>277</v>
      </c>
      <c r="C372" t="s">
        <v>576</v>
      </c>
      <c r="D372" t="s">
        <v>577</v>
      </c>
      <c r="E372" s="2">
        <v>28.271999999999998</v>
      </c>
      <c r="F372" s="2">
        <v>0</v>
      </c>
      <c r="G372" s="2">
        <v>4.7119999999999997</v>
      </c>
      <c r="H372" s="2">
        <v>-4.7078333333333298</v>
      </c>
      <c r="I372" s="1">
        <v>1</v>
      </c>
      <c r="J372" s="1">
        <v>0.99955786644029399</v>
      </c>
      <c r="K372" s="1">
        <v>0.94814162393567403</v>
      </c>
      <c r="L372" s="1">
        <v>0.55141624250461996</v>
      </c>
      <c r="P372" s="1">
        <f>I372-'Passo 2'!I372</f>
        <v>9.3732314657601901E-4</v>
      </c>
      <c r="Q372" s="1">
        <f>J372-'Passo 2'!J372</f>
        <v>4.4213355970601498E-4</v>
      </c>
      <c r="R372" s="8">
        <f t="shared" si="21"/>
        <v>28.271999999999998</v>
      </c>
      <c r="S372" s="8">
        <f t="shared" si="20"/>
        <v>28.259499999999989</v>
      </c>
      <c r="T372" s="1">
        <f t="shared" si="22"/>
        <v>26.805859991909376</v>
      </c>
      <c r="U372" s="1">
        <f t="shared" si="23"/>
        <v>15.589640008090615</v>
      </c>
    </row>
    <row r="373" spans="1:21" x14ac:dyDescent="0.3">
      <c r="A373" t="s">
        <v>57</v>
      </c>
      <c r="B373" t="s">
        <v>278</v>
      </c>
      <c r="C373" t="s">
        <v>576</v>
      </c>
      <c r="D373" t="s">
        <v>577</v>
      </c>
      <c r="E373" s="2">
        <v>37.235999999999997</v>
      </c>
      <c r="F373" s="2">
        <v>0</v>
      </c>
      <c r="G373" s="2">
        <v>6.2059999999999897</v>
      </c>
      <c r="H373" s="2">
        <v>-6.2059999999999897</v>
      </c>
      <c r="I373" s="1">
        <v>1</v>
      </c>
      <c r="J373" s="1">
        <v>1</v>
      </c>
      <c r="K373" s="1">
        <v>0.95786826964092497</v>
      </c>
      <c r="L373" s="1">
        <v>0.54213173035907403</v>
      </c>
      <c r="P373" s="1">
        <f>I373-'Passo 2'!I373</f>
        <v>2.8601353528849849E-3</v>
      </c>
      <c r="Q373" s="1">
        <f>J373-'Passo 2'!J373</f>
        <v>5.5054248576702491E-4</v>
      </c>
      <c r="R373" s="8">
        <f t="shared" si="21"/>
        <v>37.235999999999997</v>
      </c>
      <c r="S373" s="8">
        <f t="shared" si="20"/>
        <v>37.235999999999997</v>
      </c>
      <c r="T373" s="1">
        <f t="shared" si="22"/>
        <v>35.66718288834948</v>
      </c>
      <c r="U373" s="1">
        <f t="shared" si="23"/>
        <v>20.18681711165048</v>
      </c>
    </row>
    <row r="374" spans="1:21" x14ac:dyDescent="0.3">
      <c r="A374" t="s">
        <v>57</v>
      </c>
      <c r="B374" t="s">
        <v>279</v>
      </c>
      <c r="C374" t="s">
        <v>576</v>
      </c>
      <c r="D374" t="s">
        <v>577</v>
      </c>
      <c r="E374" s="2">
        <v>55.954000000000001</v>
      </c>
      <c r="F374" s="2">
        <v>0</v>
      </c>
      <c r="G374" s="2">
        <v>9.3256666666666597</v>
      </c>
      <c r="H374" s="2">
        <v>-9.3256666666666597</v>
      </c>
      <c r="I374" s="1">
        <v>1</v>
      </c>
      <c r="J374" s="1">
        <v>1</v>
      </c>
      <c r="K374" s="1">
        <v>0.93566853357814805</v>
      </c>
      <c r="L374" s="1">
        <v>0.56433146642185095</v>
      </c>
      <c r="P374" s="1">
        <f>I374-'Passo 2'!I374</f>
        <v>1.072309397009974E-4</v>
      </c>
      <c r="Q374" s="1">
        <f>J374-'Passo 2'!J374</f>
        <v>0</v>
      </c>
      <c r="R374" s="8">
        <f t="shared" si="21"/>
        <v>55.954000000000001</v>
      </c>
      <c r="S374" s="8">
        <f t="shared" si="20"/>
        <v>55.954000000000001</v>
      </c>
      <c r="T374" s="1">
        <f t="shared" si="22"/>
        <v>52.354397127831696</v>
      </c>
      <c r="U374" s="1">
        <f t="shared" si="23"/>
        <v>31.576602872168248</v>
      </c>
    </row>
    <row r="375" spans="1:21" x14ac:dyDescent="0.3">
      <c r="A375" t="s">
        <v>57</v>
      </c>
      <c r="B375" t="s">
        <v>280</v>
      </c>
      <c r="C375" t="s">
        <v>576</v>
      </c>
      <c r="D375" t="s">
        <v>577</v>
      </c>
      <c r="E375" s="2">
        <v>10.395</v>
      </c>
      <c r="F375" s="2">
        <v>0</v>
      </c>
      <c r="G375" s="2">
        <v>1.7324999999999999</v>
      </c>
      <c r="H375" s="2">
        <v>-1.7324999999999999</v>
      </c>
      <c r="I375" s="1">
        <v>1</v>
      </c>
      <c r="J375" s="1">
        <v>1</v>
      </c>
      <c r="K375" s="1">
        <v>0.99954724078510404</v>
      </c>
      <c r="L375" s="1">
        <v>0.50045275921489496</v>
      </c>
      <c r="P375" s="1">
        <f>I375-'Passo 2'!I375</f>
        <v>0</v>
      </c>
      <c r="Q375" s="1">
        <f>J375-'Passo 2'!J375</f>
        <v>0</v>
      </c>
      <c r="R375" s="8">
        <f t="shared" si="21"/>
        <v>10.395</v>
      </c>
      <c r="S375" s="8">
        <f t="shared" si="20"/>
        <v>10.395</v>
      </c>
      <c r="T375" s="1">
        <f t="shared" si="22"/>
        <v>10.390293567961155</v>
      </c>
      <c r="U375" s="1">
        <f t="shared" si="23"/>
        <v>5.2022064320388326</v>
      </c>
    </row>
    <row r="376" spans="1:21" x14ac:dyDescent="0.3">
      <c r="A376" t="s">
        <v>57</v>
      </c>
      <c r="B376" t="s">
        <v>281</v>
      </c>
      <c r="C376" t="s">
        <v>580</v>
      </c>
      <c r="D376" t="s">
        <v>581</v>
      </c>
      <c r="E376" s="2">
        <v>52.899000000000001</v>
      </c>
      <c r="F376" s="2">
        <v>0</v>
      </c>
      <c r="G376" s="2">
        <v>8.5861666666666601</v>
      </c>
      <c r="H376" s="2">
        <v>-8.1649999999999991</v>
      </c>
      <c r="I376" s="1">
        <v>0.98693737121684699</v>
      </c>
      <c r="J376" s="1">
        <v>0.96305223161118303</v>
      </c>
      <c r="K376" s="1">
        <v>0.89468414529465101</v>
      </c>
      <c r="L376" s="1">
        <v>0.55530545753337901</v>
      </c>
      <c r="P376" s="1">
        <f>I376-'Passo 2'!I376</f>
        <v>9.3527287850431962E-2</v>
      </c>
      <c r="Q376" s="1">
        <f>J376-'Passo 2'!J376</f>
        <v>0.10601334618801905</v>
      </c>
      <c r="R376" s="8">
        <f t="shared" si="21"/>
        <v>52.207999999999991</v>
      </c>
      <c r="S376" s="8">
        <f t="shared" si="20"/>
        <v>50.944499999999969</v>
      </c>
      <c r="T376" s="1">
        <f t="shared" si="22"/>
        <v>47.327896601941745</v>
      </c>
      <c r="U376" s="1">
        <f t="shared" si="23"/>
        <v>29.375103398058215</v>
      </c>
    </row>
    <row r="377" spans="1:21" x14ac:dyDescent="0.3">
      <c r="A377" t="s">
        <v>57</v>
      </c>
      <c r="B377" t="s">
        <v>282</v>
      </c>
      <c r="C377" t="s">
        <v>580</v>
      </c>
      <c r="D377" t="s">
        <v>581</v>
      </c>
      <c r="E377" s="2">
        <v>49.335999999999999</v>
      </c>
      <c r="F377" s="2">
        <v>0</v>
      </c>
      <c r="G377" s="2">
        <v>7.3579999999999997</v>
      </c>
      <c r="H377" s="2">
        <v>-6.7921666666666596</v>
      </c>
      <c r="I377" s="1">
        <v>0.94742176098589204</v>
      </c>
      <c r="J377" s="1">
        <v>0.91301483703583597</v>
      </c>
      <c r="K377" s="1">
        <v>0.84532969354057397</v>
      </c>
      <c r="L377" s="1">
        <v>0.51510690448115304</v>
      </c>
      <c r="P377" s="1">
        <f>I377-'Passo 2'!I377</f>
        <v>8.6660856169937017E-2</v>
      </c>
      <c r="Q377" s="1">
        <f>J377-'Passo 2'!J377</f>
        <v>7.6962056105076004E-2</v>
      </c>
      <c r="R377" s="8">
        <f t="shared" si="21"/>
        <v>46.741999999999969</v>
      </c>
      <c r="S377" s="8">
        <f t="shared" si="20"/>
        <v>45.044499999999999</v>
      </c>
      <c r="T377" s="1">
        <f t="shared" si="22"/>
        <v>41.705185760517757</v>
      </c>
      <c r="U377" s="1">
        <f t="shared" si="23"/>
        <v>25.413314239482165</v>
      </c>
    </row>
    <row r="378" spans="1:21" x14ac:dyDescent="0.3">
      <c r="A378" t="s">
        <v>57</v>
      </c>
      <c r="B378" t="s">
        <v>694</v>
      </c>
      <c r="C378" t="s">
        <v>580</v>
      </c>
      <c r="D378" t="s">
        <v>581</v>
      </c>
      <c r="E378" s="2">
        <v>9.0039999999999996</v>
      </c>
      <c r="F378" s="2">
        <v>2.7E-2</v>
      </c>
      <c r="G378" s="2">
        <v>1.3855</v>
      </c>
      <c r="H378" s="2">
        <v>-1.351</v>
      </c>
      <c r="I378" s="1">
        <v>0.96012883163038598</v>
      </c>
      <c r="J378" s="1">
        <v>0.94863394047090099</v>
      </c>
      <c r="K378" s="1">
        <v>0.73873185991411205</v>
      </c>
      <c r="L378" s="1">
        <v>0.67153024581667398</v>
      </c>
      <c r="P378" s="1">
        <f>I378-'Passo 2'!I378</f>
        <v>0.19124833407374497</v>
      </c>
      <c r="Q378" s="1">
        <f>J378-'Passo 2'!J378</f>
        <v>0.15404264771212794</v>
      </c>
      <c r="R378" s="8">
        <f t="shared" si="21"/>
        <v>8.6449999999999942</v>
      </c>
      <c r="S378" s="8">
        <f t="shared" si="20"/>
        <v>8.5414999999999921</v>
      </c>
      <c r="T378" s="1">
        <f t="shared" si="22"/>
        <v>6.6515416666666649</v>
      </c>
      <c r="U378" s="1">
        <f t="shared" si="23"/>
        <v>6.0464583333333319</v>
      </c>
    </row>
    <row r="379" spans="1:21" x14ac:dyDescent="0.3">
      <c r="A379" t="s">
        <v>57</v>
      </c>
      <c r="B379" t="s">
        <v>695</v>
      </c>
      <c r="C379" t="s">
        <v>580</v>
      </c>
      <c r="D379" t="s">
        <v>581</v>
      </c>
      <c r="E379" s="2">
        <v>7.5579999999999998</v>
      </c>
      <c r="F379" s="2">
        <v>0.161</v>
      </c>
      <c r="G379" s="2">
        <v>0.96599999999999997</v>
      </c>
      <c r="H379" s="2">
        <v>-1.2328333333333299</v>
      </c>
      <c r="I379" s="1">
        <v>0.87278380523948096</v>
      </c>
      <c r="J379" s="1">
        <v>0.97869806827202899</v>
      </c>
      <c r="K379" s="1">
        <v>0.67204727882155701</v>
      </c>
      <c r="L379" s="1">
        <v>0.69008556055393799</v>
      </c>
      <c r="P379" s="1">
        <f>I379-'Passo 2'!I379</f>
        <v>0.11120666843080196</v>
      </c>
      <c r="Q379" s="1">
        <f>J379-'Passo 2'!J379</f>
        <v>0.14124106906588996</v>
      </c>
      <c r="R379" s="8">
        <f t="shared" si="21"/>
        <v>6.5964999999999971</v>
      </c>
      <c r="S379" s="8">
        <f t="shared" si="20"/>
        <v>7.3969999999999949</v>
      </c>
      <c r="T379" s="1">
        <f t="shared" si="22"/>
        <v>5.0793333333333281</v>
      </c>
      <c r="U379" s="1">
        <f t="shared" si="23"/>
        <v>5.2156666666666629</v>
      </c>
    </row>
    <row r="380" spans="1:21" x14ac:dyDescent="0.3">
      <c r="A380" t="s">
        <v>57</v>
      </c>
      <c r="B380" t="s">
        <v>283</v>
      </c>
      <c r="C380" t="s">
        <v>574</v>
      </c>
      <c r="D380" t="s">
        <v>575</v>
      </c>
      <c r="E380" s="2">
        <v>482.40300000000002</v>
      </c>
      <c r="F380" s="2">
        <v>0</v>
      </c>
      <c r="G380" s="2">
        <v>63.593833333333301</v>
      </c>
      <c r="H380" s="2">
        <v>-75.733666666666593</v>
      </c>
      <c r="I380" s="1">
        <v>0.89548157868006595</v>
      </c>
      <c r="J380" s="1">
        <v>0.97097758513110399</v>
      </c>
      <c r="K380" s="1">
        <v>0.58696448018085701</v>
      </c>
      <c r="L380" s="1">
        <v>0.77949468363031205</v>
      </c>
      <c r="P380" s="1">
        <f>I380-'Passo 2'!I380</f>
        <v>2.3818259836689837E-3</v>
      </c>
      <c r="Q380" s="1">
        <f>J380-'Passo 2'!J380</f>
        <v>4.4796570502260158E-3</v>
      </c>
      <c r="R380" s="8">
        <f t="shared" si="21"/>
        <v>431.98299999999989</v>
      </c>
      <c r="S380" s="8">
        <f t="shared" si="20"/>
        <v>468.40249999999997</v>
      </c>
      <c r="T380" s="1">
        <f t="shared" si="22"/>
        <v>283.15342613268598</v>
      </c>
      <c r="U380" s="1">
        <f t="shared" si="23"/>
        <v>376.03057386731342</v>
      </c>
    </row>
    <row r="381" spans="1:21" x14ac:dyDescent="0.3">
      <c r="A381" t="s">
        <v>57</v>
      </c>
      <c r="B381" t="s">
        <v>696</v>
      </c>
      <c r="C381" t="s">
        <v>34</v>
      </c>
      <c r="D381" t="s">
        <v>35</v>
      </c>
      <c r="E381" s="2">
        <v>48.704999999999998</v>
      </c>
      <c r="F381" s="2">
        <v>0</v>
      </c>
      <c r="G381" s="2">
        <v>8.1174999999999997</v>
      </c>
      <c r="H381" s="2">
        <v>-7.8174999999999999</v>
      </c>
      <c r="I381" s="1">
        <v>1</v>
      </c>
      <c r="J381" s="1">
        <v>0.98152140437326696</v>
      </c>
      <c r="K381" s="1">
        <v>0.89684158388020396</v>
      </c>
      <c r="L381" s="1">
        <v>0.584679820493063</v>
      </c>
      <c r="P381" s="1">
        <f>I381-'Passo 2'!I381</f>
        <v>2.2389898367723982E-2</v>
      </c>
      <c r="Q381" s="1">
        <f>J381-'Passo 2'!J381</f>
        <v>1.9351195975771951E-2</v>
      </c>
      <c r="R381" s="8">
        <f t="shared" si="21"/>
        <v>48.704999999999998</v>
      </c>
      <c r="S381" s="8">
        <f t="shared" si="20"/>
        <v>47.804999999999964</v>
      </c>
      <c r="T381" s="1">
        <f t="shared" si="22"/>
        <v>43.680669342885331</v>
      </c>
      <c r="U381" s="1">
        <f t="shared" si="23"/>
        <v>28.476830657114633</v>
      </c>
    </row>
    <row r="382" spans="1:21" x14ac:dyDescent="0.3">
      <c r="A382" t="s">
        <v>57</v>
      </c>
      <c r="B382" t="s">
        <v>284</v>
      </c>
      <c r="C382" t="s">
        <v>576</v>
      </c>
      <c r="D382" t="s">
        <v>583</v>
      </c>
      <c r="E382" s="2">
        <v>380.51100000000002</v>
      </c>
      <c r="F382" s="2">
        <v>0</v>
      </c>
      <c r="G382" s="2">
        <v>63.418500000000002</v>
      </c>
      <c r="H382" s="2">
        <v>-63.418500000000002</v>
      </c>
      <c r="I382" s="1">
        <v>1</v>
      </c>
      <c r="J382" s="1">
        <v>1</v>
      </c>
      <c r="K382" s="1">
        <v>0.99787625106738798</v>
      </c>
      <c r="L382" s="1">
        <v>0.50212374893261102</v>
      </c>
      <c r="P382" s="1">
        <f>I382-'Passo 2'!I382</f>
        <v>1.9494837205757953E-2</v>
      </c>
      <c r="Q382" s="1">
        <f>J382-'Passo 2'!J382</f>
        <v>8.2520610442304854E-4</v>
      </c>
      <c r="R382" s="8">
        <f t="shared" si="21"/>
        <v>380.51100000000002</v>
      </c>
      <c r="S382" s="8">
        <f t="shared" si="20"/>
        <v>380.51100000000002</v>
      </c>
      <c r="T382" s="1">
        <f t="shared" si="22"/>
        <v>379.7028901699029</v>
      </c>
      <c r="U382" s="1">
        <f t="shared" si="23"/>
        <v>191.06360983009677</v>
      </c>
    </row>
    <row r="383" spans="1:21" x14ac:dyDescent="0.3">
      <c r="A383" t="s">
        <v>57</v>
      </c>
      <c r="B383" t="s">
        <v>697</v>
      </c>
      <c r="C383" t="s">
        <v>576</v>
      </c>
      <c r="D383" t="s">
        <v>14</v>
      </c>
      <c r="E383" s="2">
        <v>0</v>
      </c>
      <c r="F383" s="2">
        <v>0</v>
      </c>
      <c r="G383" s="2">
        <v>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P383" s="1">
        <f>I383-'Passo 2'!I383</f>
        <v>0</v>
      </c>
      <c r="Q383" s="1">
        <f>J383-'Passo 2'!J383</f>
        <v>0</v>
      </c>
      <c r="R383" s="8">
        <f t="shared" si="21"/>
        <v>0</v>
      </c>
      <c r="S383" s="8">
        <f t="shared" si="20"/>
        <v>0</v>
      </c>
      <c r="T383" s="1">
        <f t="shared" si="22"/>
        <v>0</v>
      </c>
      <c r="U383" s="1">
        <f t="shared" si="23"/>
        <v>0</v>
      </c>
    </row>
    <row r="384" spans="1:21" x14ac:dyDescent="0.3">
      <c r="A384" t="s">
        <v>57</v>
      </c>
      <c r="B384" t="s">
        <v>698</v>
      </c>
      <c r="C384" t="s">
        <v>580</v>
      </c>
      <c r="D384" t="s">
        <v>581</v>
      </c>
      <c r="E384" s="2">
        <v>105</v>
      </c>
      <c r="F384" s="2">
        <v>0</v>
      </c>
      <c r="G384" s="2">
        <v>17.5</v>
      </c>
      <c r="H384" s="2">
        <v>-14.8333333333333</v>
      </c>
      <c r="I384" s="1">
        <v>1</v>
      </c>
      <c r="J384" s="1">
        <v>0.92380952380952297</v>
      </c>
      <c r="K384" s="1">
        <v>0.89812326090306605</v>
      </c>
      <c r="L384" s="1">
        <v>0.52568626290645704</v>
      </c>
      <c r="P384" s="1">
        <f>I384-'Passo 2'!I384</f>
        <v>0</v>
      </c>
      <c r="Q384" s="1">
        <f>J384-'Passo 2'!J384</f>
        <v>0</v>
      </c>
      <c r="R384" s="8">
        <f t="shared" si="21"/>
        <v>105</v>
      </c>
      <c r="S384" s="8">
        <f t="shared" si="20"/>
        <v>96.999999999999915</v>
      </c>
      <c r="T384" s="1">
        <f t="shared" si="22"/>
        <v>94.30294239482194</v>
      </c>
      <c r="U384" s="1">
        <f t="shared" si="23"/>
        <v>55.197057605177989</v>
      </c>
    </row>
    <row r="385" spans="1:21" x14ac:dyDescent="0.3">
      <c r="A385" t="s">
        <v>57</v>
      </c>
      <c r="B385" t="s">
        <v>699</v>
      </c>
      <c r="C385" t="s">
        <v>580</v>
      </c>
      <c r="D385" t="s">
        <v>581</v>
      </c>
      <c r="E385" s="2">
        <v>6.2279999999999998</v>
      </c>
      <c r="F385" s="2">
        <v>3.6999999999999998E-2</v>
      </c>
      <c r="G385" s="2">
        <v>0.97283333333333299</v>
      </c>
      <c r="H385" s="2">
        <v>-1.03183333333333</v>
      </c>
      <c r="I385" s="1">
        <v>0.96563904945407797</v>
      </c>
      <c r="J385" s="1">
        <v>0.99405908798972398</v>
      </c>
      <c r="K385" s="1">
        <v>0.72610589274245296</v>
      </c>
      <c r="L385" s="1">
        <v>0.736562700706486</v>
      </c>
      <c r="P385" s="1">
        <f>I385-'Passo 2'!I385</f>
        <v>0.22069685292228602</v>
      </c>
      <c r="Q385" s="1">
        <f>J385-'Passo 2'!J385</f>
        <v>0.18304431599229298</v>
      </c>
      <c r="R385" s="8">
        <f t="shared" si="21"/>
        <v>6.0139999999999976</v>
      </c>
      <c r="S385" s="8">
        <f t="shared" si="20"/>
        <v>6.1910000000000007</v>
      </c>
      <c r="T385" s="1">
        <f t="shared" si="22"/>
        <v>4.5221874999999967</v>
      </c>
      <c r="U385" s="1">
        <f t="shared" si="23"/>
        <v>4.587312499999995</v>
      </c>
    </row>
    <row r="386" spans="1:21" x14ac:dyDescent="0.3">
      <c r="A386" t="s">
        <v>57</v>
      </c>
      <c r="B386" t="s">
        <v>285</v>
      </c>
      <c r="C386" t="s">
        <v>576</v>
      </c>
      <c r="D386" t="s">
        <v>577</v>
      </c>
      <c r="E386" s="2">
        <v>172.44</v>
      </c>
      <c r="F386" s="2">
        <v>0</v>
      </c>
      <c r="G386" s="2">
        <v>27.185833333333299</v>
      </c>
      <c r="H386" s="2">
        <v>-26.994499999999999</v>
      </c>
      <c r="I386" s="1">
        <v>0.972961609835305</v>
      </c>
      <c r="J386" s="1">
        <v>0.969632915796799</v>
      </c>
      <c r="K386" s="1">
        <v>0.92368293901204002</v>
      </c>
      <c r="L386" s="1">
        <v>0.51891158662006298</v>
      </c>
      <c r="P386" s="1">
        <f>I386-'Passo 2'!I386</f>
        <v>5.6039781953143963E-2</v>
      </c>
      <c r="Q386" s="1">
        <f>J386-'Passo 2'!J386</f>
        <v>9.5076548364649849E-3</v>
      </c>
      <c r="R386" s="8">
        <f t="shared" si="21"/>
        <v>167.7775</v>
      </c>
      <c r="S386" s="8">
        <f t="shared" ref="S386:S449" si="24">J386*E386</f>
        <v>167.20350000000002</v>
      </c>
      <c r="T386" s="1">
        <f t="shared" si="22"/>
        <v>159.27988600323619</v>
      </c>
      <c r="U386" s="1">
        <f t="shared" si="23"/>
        <v>89.481113996763654</v>
      </c>
    </row>
    <row r="387" spans="1:21" x14ac:dyDescent="0.3">
      <c r="A387" t="s">
        <v>57</v>
      </c>
      <c r="B387" t="s">
        <v>286</v>
      </c>
      <c r="C387" t="s">
        <v>576</v>
      </c>
      <c r="D387" t="s">
        <v>583</v>
      </c>
      <c r="E387" s="2">
        <v>49.982999999999997</v>
      </c>
      <c r="F387" s="2">
        <v>0</v>
      </c>
      <c r="G387" s="2">
        <v>8.33049999999999</v>
      </c>
      <c r="H387" s="2">
        <v>-8.33049999999999</v>
      </c>
      <c r="I387" s="1">
        <v>0.999999999999999</v>
      </c>
      <c r="J387" s="1">
        <v>0.999999999999999</v>
      </c>
      <c r="K387" s="1">
        <v>0.99442492648147596</v>
      </c>
      <c r="L387" s="1">
        <v>0.50557507351852304</v>
      </c>
      <c r="P387" s="1">
        <f>I387-'Passo 2'!I387</f>
        <v>3.001020346904415E-5</v>
      </c>
      <c r="Q387" s="1">
        <f>J387-'Passo 2'!J387</f>
        <v>5.0017005781000101E-5</v>
      </c>
      <c r="R387" s="8">
        <f t="shared" ref="R387:R450" si="25">I387*E387</f>
        <v>49.982999999999947</v>
      </c>
      <c r="S387" s="8">
        <f t="shared" si="24"/>
        <v>49.982999999999947</v>
      </c>
      <c r="T387" s="1">
        <f t="shared" ref="T387:T450" si="26">K387*E387</f>
        <v>49.70434110032361</v>
      </c>
      <c r="U387" s="1">
        <f t="shared" ref="U387:U450" si="27">L387*E387</f>
        <v>25.270158899676336</v>
      </c>
    </row>
    <row r="388" spans="1:21" x14ac:dyDescent="0.3">
      <c r="A388" t="s">
        <v>57</v>
      </c>
      <c r="B388" t="s">
        <v>700</v>
      </c>
      <c r="C388" t="s">
        <v>576</v>
      </c>
      <c r="D388" t="s">
        <v>577</v>
      </c>
      <c r="E388" s="2">
        <v>0</v>
      </c>
      <c r="F388" s="2">
        <v>0</v>
      </c>
      <c r="G388" s="2">
        <v>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P388" s="1">
        <f>I388-'Passo 2'!I388</f>
        <v>0</v>
      </c>
      <c r="Q388" s="1">
        <f>J388-'Passo 2'!J388</f>
        <v>0</v>
      </c>
      <c r="R388" s="8">
        <f t="shared" si="25"/>
        <v>0</v>
      </c>
      <c r="S388" s="8">
        <f t="shared" si="24"/>
        <v>0</v>
      </c>
      <c r="T388" s="1">
        <f t="shared" si="26"/>
        <v>0</v>
      </c>
      <c r="U388" s="1">
        <f t="shared" si="27"/>
        <v>0</v>
      </c>
    </row>
    <row r="389" spans="1:21" x14ac:dyDescent="0.3">
      <c r="A389" t="s">
        <v>57</v>
      </c>
      <c r="B389" t="s">
        <v>701</v>
      </c>
      <c r="C389" t="s">
        <v>576</v>
      </c>
      <c r="D389" t="s">
        <v>577</v>
      </c>
      <c r="E389" s="2">
        <v>202.52799999999999</v>
      </c>
      <c r="F389" s="2">
        <v>0</v>
      </c>
      <c r="G389" s="2">
        <v>33.754666666666601</v>
      </c>
      <c r="H389" s="2">
        <v>-33.754666666666601</v>
      </c>
      <c r="I389" s="1">
        <v>1</v>
      </c>
      <c r="J389" s="1">
        <v>1</v>
      </c>
      <c r="K389" s="1">
        <v>0.98613343259484898</v>
      </c>
      <c r="L389" s="1">
        <v>0.51386656740515102</v>
      </c>
      <c r="P389" s="1">
        <f>I389-'Passo 2'!I389</f>
        <v>4.1915191973455945E-2</v>
      </c>
      <c r="Q389" s="1">
        <f>J389-'Passo 2'!J389</f>
        <v>3.0188418391531968E-2</v>
      </c>
      <c r="R389" s="8">
        <f t="shared" si="25"/>
        <v>202.52799999999999</v>
      </c>
      <c r="S389" s="8">
        <f t="shared" si="24"/>
        <v>202.52799999999999</v>
      </c>
      <c r="T389" s="1">
        <f t="shared" si="26"/>
        <v>199.71963183656956</v>
      </c>
      <c r="U389" s="1">
        <f t="shared" si="27"/>
        <v>104.07236816343043</v>
      </c>
    </row>
    <row r="390" spans="1:21" x14ac:dyDescent="0.3">
      <c r="A390" t="s">
        <v>57</v>
      </c>
      <c r="B390" t="s">
        <v>287</v>
      </c>
      <c r="C390" t="s">
        <v>576</v>
      </c>
      <c r="D390" t="s">
        <v>589</v>
      </c>
      <c r="E390" s="2">
        <v>0</v>
      </c>
      <c r="F390" s="2">
        <v>0</v>
      </c>
      <c r="G390" s="2">
        <v>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P390" s="1">
        <f>I390-'Passo 2'!I390</f>
        <v>0</v>
      </c>
      <c r="Q390" s="1">
        <f>J390-'Passo 2'!J390</f>
        <v>0</v>
      </c>
      <c r="R390" s="8">
        <f t="shared" si="25"/>
        <v>0</v>
      </c>
      <c r="S390" s="8">
        <f t="shared" si="24"/>
        <v>0</v>
      </c>
      <c r="T390" s="1">
        <f t="shared" si="26"/>
        <v>0</v>
      </c>
      <c r="U390" s="1">
        <f t="shared" si="27"/>
        <v>0</v>
      </c>
    </row>
    <row r="391" spans="1:21" x14ac:dyDescent="0.3">
      <c r="A391" t="s">
        <v>57</v>
      </c>
      <c r="B391" t="s">
        <v>288</v>
      </c>
      <c r="C391" t="s">
        <v>576</v>
      </c>
      <c r="D391" t="s">
        <v>583</v>
      </c>
      <c r="E391" s="2">
        <v>160.072</v>
      </c>
      <c r="F391" s="2">
        <v>0</v>
      </c>
      <c r="G391" s="2">
        <v>25.925999999999998</v>
      </c>
      <c r="H391" s="2">
        <v>-26.678666666666601</v>
      </c>
      <c r="I391" s="1">
        <v>0.98589384776850397</v>
      </c>
      <c r="J391" s="1">
        <v>1</v>
      </c>
      <c r="K391" s="1">
        <v>0.98231484108832301</v>
      </c>
      <c r="L391" s="1">
        <v>0.50357900668018096</v>
      </c>
      <c r="P391" s="1">
        <f>I391-'Passo 2'!I391</f>
        <v>0.12044892298465693</v>
      </c>
      <c r="Q391" s="1">
        <f>J391-'Passo 2'!J391</f>
        <v>2.2599205357589969E-2</v>
      </c>
      <c r="R391" s="8">
        <f t="shared" si="25"/>
        <v>157.81399999999996</v>
      </c>
      <c r="S391" s="8">
        <f t="shared" si="24"/>
        <v>160.072</v>
      </c>
      <c r="T391" s="1">
        <f t="shared" si="26"/>
        <v>157.24110124269004</v>
      </c>
      <c r="U391" s="1">
        <f t="shared" si="27"/>
        <v>80.60889875730993</v>
      </c>
    </row>
    <row r="392" spans="1:21" x14ac:dyDescent="0.3">
      <c r="A392" t="s">
        <v>57</v>
      </c>
      <c r="B392" t="s">
        <v>702</v>
      </c>
      <c r="C392" t="s">
        <v>576</v>
      </c>
      <c r="D392" t="s">
        <v>583</v>
      </c>
      <c r="E392" s="2">
        <v>158.97800000000001</v>
      </c>
      <c r="F392" s="2">
        <v>0</v>
      </c>
      <c r="G392" s="2">
        <v>26.335833333333301</v>
      </c>
      <c r="H392" s="2">
        <v>-26.4963333333333</v>
      </c>
      <c r="I392" s="1">
        <v>0.99697127904489902</v>
      </c>
      <c r="J392" s="1">
        <v>1</v>
      </c>
      <c r="K392" s="1">
        <v>0.99341308083167101</v>
      </c>
      <c r="L392" s="1">
        <v>0.503558198213228</v>
      </c>
      <c r="P392" s="1">
        <f>I392-'Passo 2'!I392</f>
        <v>0.11819874448036904</v>
      </c>
      <c r="Q392" s="1">
        <f>J392-'Passo 2'!J392</f>
        <v>1.0514033388267952E-2</v>
      </c>
      <c r="R392" s="8">
        <f t="shared" si="25"/>
        <v>158.49649999999997</v>
      </c>
      <c r="S392" s="8">
        <f t="shared" si="24"/>
        <v>158.97800000000001</v>
      </c>
      <c r="T392" s="1">
        <f t="shared" si="26"/>
        <v>157.93082476445741</v>
      </c>
      <c r="U392" s="1">
        <f t="shared" si="27"/>
        <v>80.054675235542561</v>
      </c>
    </row>
    <row r="393" spans="1:21" x14ac:dyDescent="0.3">
      <c r="A393" t="s">
        <v>57</v>
      </c>
      <c r="B393" t="s">
        <v>289</v>
      </c>
      <c r="C393" t="s">
        <v>576</v>
      </c>
      <c r="D393" t="s">
        <v>577</v>
      </c>
      <c r="E393" s="2">
        <v>559.08100000000002</v>
      </c>
      <c r="F393" s="2">
        <v>0</v>
      </c>
      <c r="G393" s="2">
        <v>92.316833333333307</v>
      </c>
      <c r="H393" s="2">
        <v>-93.180166666666594</v>
      </c>
      <c r="I393" s="1">
        <v>0.995367397568509</v>
      </c>
      <c r="J393" s="1">
        <v>1</v>
      </c>
      <c r="K393" s="1">
        <v>0.98730468018861395</v>
      </c>
      <c r="L393" s="1">
        <v>0.50806271737989495</v>
      </c>
      <c r="P393" s="1">
        <f>I393-'Passo 2'!I393</f>
        <v>9.2349766849526005E-2</v>
      </c>
      <c r="Q393" s="1">
        <f>J393-'Passo 2'!J393</f>
        <v>0</v>
      </c>
      <c r="R393" s="8">
        <f t="shared" si="25"/>
        <v>556.49099999999964</v>
      </c>
      <c r="S393" s="8">
        <f t="shared" si="24"/>
        <v>559.08100000000002</v>
      </c>
      <c r="T393" s="1">
        <f t="shared" si="26"/>
        <v>551.98328790453047</v>
      </c>
      <c r="U393" s="1">
        <f t="shared" si="27"/>
        <v>284.04821209546907</v>
      </c>
    </row>
    <row r="394" spans="1:21" x14ac:dyDescent="0.3">
      <c r="A394" t="s">
        <v>57</v>
      </c>
      <c r="B394" t="s">
        <v>290</v>
      </c>
      <c r="C394" t="s">
        <v>576</v>
      </c>
      <c r="D394" t="s">
        <v>583</v>
      </c>
      <c r="E394" s="2">
        <v>18.920999999999999</v>
      </c>
      <c r="F394" s="2">
        <v>0</v>
      </c>
      <c r="G394" s="2">
        <v>1.9206666666666601</v>
      </c>
      <c r="H394" s="2">
        <v>-2.1081666666666599</v>
      </c>
      <c r="I394" s="1">
        <v>0.80452935891337596</v>
      </c>
      <c r="J394" s="1">
        <v>0.83425823159452395</v>
      </c>
      <c r="K394" s="1">
        <v>0.76724666083078497</v>
      </c>
      <c r="L394" s="1">
        <v>0.37154092967711599</v>
      </c>
      <c r="P394" s="1">
        <f>I394-'Passo 2'!I394</f>
        <v>3.9797050895829966E-2</v>
      </c>
      <c r="Q394" s="1">
        <f>J394-'Passo 2'!J394</f>
        <v>5.8136462132019062E-3</v>
      </c>
      <c r="R394" s="8">
        <f t="shared" si="25"/>
        <v>15.222499999999986</v>
      </c>
      <c r="S394" s="8">
        <f t="shared" si="24"/>
        <v>15.784999999999988</v>
      </c>
      <c r="T394" s="1">
        <f t="shared" si="26"/>
        <v>14.517074069579282</v>
      </c>
      <c r="U394" s="1">
        <f t="shared" si="27"/>
        <v>7.0299259304207116</v>
      </c>
    </row>
    <row r="395" spans="1:21" x14ac:dyDescent="0.3">
      <c r="A395" t="s">
        <v>57</v>
      </c>
      <c r="B395" t="s">
        <v>703</v>
      </c>
      <c r="C395" t="s">
        <v>576</v>
      </c>
      <c r="D395" t="s">
        <v>577</v>
      </c>
      <c r="E395" s="2">
        <v>111.61</v>
      </c>
      <c r="F395" s="2">
        <v>0</v>
      </c>
      <c r="G395" s="2">
        <v>18.540499999999899</v>
      </c>
      <c r="H395" s="2">
        <v>-18.601666666666599</v>
      </c>
      <c r="I395" s="1">
        <v>0.99835588208941795</v>
      </c>
      <c r="J395" s="1">
        <v>1</v>
      </c>
      <c r="K395" s="1">
        <v>0.97705906801277798</v>
      </c>
      <c r="L395" s="1">
        <v>0.52129681407663997</v>
      </c>
      <c r="P395" s="1">
        <f>I395-'Passo 2'!I395</f>
        <v>0</v>
      </c>
      <c r="Q395" s="1">
        <f>J395-'Passo 2'!J395</f>
        <v>1.9084311441629476E-3</v>
      </c>
      <c r="R395" s="8">
        <f t="shared" si="25"/>
        <v>111.42649999999993</v>
      </c>
      <c r="S395" s="8">
        <f t="shared" si="24"/>
        <v>111.61</v>
      </c>
      <c r="T395" s="1">
        <f t="shared" si="26"/>
        <v>109.04956258090616</v>
      </c>
      <c r="U395" s="1">
        <f t="shared" si="27"/>
        <v>58.181937419093785</v>
      </c>
    </row>
    <row r="396" spans="1:21" x14ac:dyDescent="0.3">
      <c r="A396" t="s">
        <v>57</v>
      </c>
      <c r="B396" t="s">
        <v>291</v>
      </c>
      <c r="C396" t="s">
        <v>576</v>
      </c>
      <c r="D396" t="s">
        <v>577</v>
      </c>
      <c r="E396" s="2">
        <v>120.521</v>
      </c>
      <c r="F396" s="2">
        <v>0</v>
      </c>
      <c r="G396" s="2">
        <v>18.181166666666599</v>
      </c>
      <c r="H396" s="2">
        <v>-18.965333333333302</v>
      </c>
      <c r="I396" s="1">
        <v>0.95256428340289201</v>
      </c>
      <c r="J396" s="1">
        <v>0.97208370325503402</v>
      </c>
      <c r="K396" s="1">
        <v>0.57299294703209902</v>
      </c>
      <c r="L396" s="1">
        <v>0.851655039625827</v>
      </c>
      <c r="P396" s="1">
        <f>I396-'Passo 2'!I396</f>
        <v>2.4767467910160601E-3</v>
      </c>
      <c r="Q396" s="1">
        <f>J396-'Passo 2'!J396</f>
        <v>1.1661868056188962E-2</v>
      </c>
      <c r="R396" s="8">
        <f t="shared" si="25"/>
        <v>114.80399999999995</v>
      </c>
      <c r="S396" s="8">
        <f t="shared" si="24"/>
        <v>117.15649999999995</v>
      </c>
      <c r="T396" s="1">
        <f t="shared" si="26"/>
        <v>69.057682969255609</v>
      </c>
      <c r="U396" s="1">
        <f t="shared" si="27"/>
        <v>102.64231703074429</v>
      </c>
    </row>
    <row r="397" spans="1:21" x14ac:dyDescent="0.3">
      <c r="A397" t="s">
        <v>57</v>
      </c>
      <c r="B397" t="s">
        <v>704</v>
      </c>
      <c r="C397" t="s">
        <v>574</v>
      </c>
      <c r="D397" t="s">
        <v>575</v>
      </c>
      <c r="E397" s="2">
        <v>2489.5219999999999</v>
      </c>
      <c r="F397" s="2">
        <v>847.14499999999998</v>
      </c>
      <c r="G397" s="2">
        <v>162.65099999999899</v>
      </c>
      <c r="H397" s="2">
        <v>-146.952666666666</v>
      </c>
      <c r="I397" s="1">
        <v>0.52586058689177995</v>
      </c>
      <c r="J397" s="1">
        <v>0.50694330076215399</v>
      </c>
      <c r="K397" s="1">
        <v>0.44083787112559097</v>
      </c>
      <c r="L397" s="1">
        <v>0.262108116096052</v>
      </c>
      <c r="P397" s="1">
        <f>I397-'Passo 2'!I397</f>
        <v>5.6355396738810959E-2</v>
      </c>
      <c r="Q397" s="1">
        <f>J397-'Passo 2'!J397</f>
        <v>4.8842107039021976E-2</v>
      </c>
      <c r="R397" s="8">
        <f t="shared" si="25"/>
        <v>1309.1414999999977</v>
      </c>
      <c r="S397" s="8">
        <f t="shared" si="24"/>
        <v>1262.046499999999</v>
      </c>
      <c r="T397" s="1">
        <f t="shared" si="26"/>
        <v>1097.4755786003234</v>
      </c>
      <c r="U397" s="1">
        <f t="shared" si="27"/>
        <v>652.5239213996756</v>
      </c>
    </row>
    <row r="398" spans="1:21" x14ac:dyDescent="0.3">
      <c r="A398" t="s">
        <v>292</v>
      </c>
      <c r="B398" t="s">
        <v>293</v>
      </c>
      <c r="C398" t="s">
        <v>574</v>
      </c>
      <c r="D398" t="s">
        <v>575</v>
      </c>
      <c r="E398" s="2">
        <v>98.483000000000004</v>
      </c>
      <c r="F398" s="2">
        <v>0</v>
      </c>
      <c r="G398" s="2">
        <v>16.413833333333301</v>
      </c>
      <c r="H398" s="2">
        <v>-16.349999999999898</v>
      </c>
      <c r="I398" s="1">
        <v>1</v>
      </c>
      <c r="J398" s="1">
        <v>0.99805550196480597</v>
      </c>
      <c r="K398" s="1">
        <v>0.87591810401328596</v>
      </c>
      <c r="L398" s="1">
        <v>0.62213739795152001</v>
      </c>
      <c r="P398" s="1">
        <f>I398-'Passo 2'!I398</f>
        <v>6.9910542936350017E-3</v>
      </c>
      <c r="Q398" s="1">
        <f>J398-'Passo 2'!J398</f>
        <v>1.1052668988556946E-2</v>
      </c>
      <c r="R398" s="8">
        <f t="shared" si="25"/>
        <v>98.483000000000004</v>
      </c>
      <c r="S398" s="8">
        <f t="shared" si="24"/>
        <v>98.291499999999985</v>
      </c>
      <c r="T398" s="1">
        <f t="shared" si="26"/>
        <v>86.263042637540451</v>
      </c>
      <c r="U398" s="1">
        <f t="shared" si="27"/>
        <v>61.26995736245955</v>
      </c>
    </row>
    <row r="399" spans="1:21" x14ac:dyDescent="0.3">
      <c r="A399" t="s">
        <v>292</v>
      </c>
      <c r="B399" t="s">
        <v>705</v>
      </c>
      <c r="C399" t="s">
        <v>576</v>
      </c>
      <c r="D399" t="s">
        <v>577</v>
      </c>
      <c r="E399" s="2">
        <v>465.154</v>
      </c>
      <c r="F399" s="2">
        <v>0</v>
      </c>
      <c r="G399" s="2">
        <v>75.622666666666603</v>
      </c>
      <c r="H399" s="2">
        <v>-77.525666666666595</v>
      </c>
      <c r="I399" s="1">
        <v>0.98772664536905996</v>
      </c>
      <c r="J399" s="1">
        <v>1</v>
      </c>
      <c r="K399" s="1">
        <v>0.98659280975435804</v>
      </c>
      <c r="L399" s="1">
        <v>0.50113383561470104</v>
      </c>
      <c r="P399" s="1">
        <f>I399-'Passo 2'!I399</f>
        <v>0.19575129956960491</v>
      </c>
      <c r="Q399" s="1">
        <f>J399-'Passo 2'!J399</f>
        <v>3.3644771409102603E-4</v>
      </c>
      <c r="R399" s="8">
        <f t="shared" si="25"/>
        <v>459.44499999999971</v>
      </c>
      <c r="S399" s="8">
        <f t="shared" si="24"/>
        <v>465.154</v>
      </c>
      <c r="T399" s="1">
        <f t="shared" si="26"/>
        <v>458.91759182847863</v>
      </c>
      <c r="U399" s="1">
        <f t="shared" si="27"/>
        <v>233.10440817152065</v>
      </c>
    </row>
    <row r="400" spans="1:21" x14ac:dyDescent="0.3">
      <c r="A400" t="s">
        <v>292</v>
      </c>
      <c r="B400" t="s">
        <v>294</v>
      </c>
      <c r="C400" t="s">
        <v>574</v>
      </c>
      <c r="D400" t="s">
        <v>575</v>
      </c>
      <c r="E400" s="2">
        <v>0</v>
      </c>
      <c r="F400" s="2">
        <v>0</v>
      </c>
      <c r="G400" s="2">
        <v>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P400" s="1">
        <f>I400-'Passo 2'!I400</f>
        <v>0</v>
      </c>
      <c r="Q400" s="1">
        <f>J400-'Passo 2'!J400</f>
        <v>0</v>
      </c>
      <c r="R400" s="8">
        <f t="shared" si="25"/>
        <v>0</v>
      </c>
      <c r="S400" s="8">
        <f t="shared" si="24"/>
        <v>0</v>
      </c>
      <c r="T400" s="1">
        <f t="shared" si="26"/>
        <v>0</v>
      </c>
      <c r="U400" s="1">
        <f t="shared" si="27"/>
        <v>0</v>
      </c>
    </row>
    <row r="401" spans="1:21" x14ac:dyDescent="0.3">
      <c r="A401" t="s">
        <v>292</v>
      </c>
      <c r="B401" t="s">
        <v>706</v>
      </c>
      <c r="C401" t="s">
        <v>574</v>
      </c>
      <c r="D401" t="s">
        <v>575</v>
      </c>
      <c r="E401" s="2">
        <v>331.76499999999999</v>
      </c>
      <c r="F401" s="2">
        <v>0</v>
      </c>
      <c r="G401" s="2">
        <v>52.414166666666603</v>
      </c>
      <c r="H401" s="2">
        <v>-51.525833333333303</v>
      </c>
      <c r="I401" s="1">
        <v>0.97395746989585996</v>
      </c>
      <c r="J401" s="1">
        <v>0.965924675598692</v>
      </c>
      <c r="K401" s="1">
        <v>0.69740322793988396</v>
      </c>
      <c r="L401" s="1">
        <v>0.742478917554667</v>
      </c>
      <c r="P401" s="1">
        <f>I401-'Passo 2'!I401</f>
        <v>3.0532153783552007E-2</v>
      </c>
      <c r="Q401" s="1">
        <f>J401-'Passo 2'!J401</f>
        <v>3.2957062981327945E-2</v>
      </c>
      <c r="R401" s="8">
        <f t="shared" si="25"/>
        <v>323.12499999999994</v>
      </c>
      <c r="S401" s="8">
        <f t="shared" si="24"/>
        <v>320.46000000000004</v>
      </c>
      <c r="T401" s="1">
        <f t="shared" si="26"/>
        <v>231.37398191747559</v>
      </c>
      <c r="U401" s="1">
        <f t="shared" si="27"/>
        <v>246.32851808252408</v>
      </c>
    </row>
    <row r="402" spans="1:21" x14ac:dyDescent="0.3">
      <c r="A402" t="s">
        <v>292</v>
      </c>
      <c r="B402" t="s">
        <v>295</v>
      </c>
      <c r="C402" t="s">
        <v>576</v>
      </c>
      <c r="D402" t="s">
        <v>577</v>
      </c>
      <c r="E402" s="2">
        <v>9.6969999999999992</v>
      </c>
      <c r="F402" s="2">
        <v>0</v>
      </c>
      <c r="G402" s="2">
        <v>1.5978333333333301</v>
      </c>
      <c r="H402" s="2">
        <v>-1.5961666666666601</v>
      </c>
      <c r="I402" s="1">
        <v>0.99432814272455405</v>
      </c>
      <c r="J402" s="1">
        <v>0.993812519335877</v>
      </c>
      <c r="K402" s="1">
        <v>0.86161047456374695</v>
      </c>
      <c r="L402" s="1">
        <v>0.62653018749668299</v>
      </c>
      <c r="P402" s="1">
        <f>I402-'Passo 2'!I402</f>
        <v>5.6718572754460572E-3</v>
      </c>
      <c r="Q402" s="1">
        <f>J402-'Passo 2'!J402</f>
        <v>2.2171805713110393E-3</v>
      </c>
      <c r="R402" s="8">
        <f t="shared" si="25"/>
        <v>9.6419999999999995</v>
      </c>
      <c r="S402" s="8">
        <f t="shared" si="24"/>
        <v>9.6369999999999987</v>
      </c>
      <c r="T402" s="1">
        <f t="shared" si="26"/>
        <v>8.3550367718446541</v>
      </c>
      <c r="U402" s="1">
        <f t="shared" si="27"/>
        <v>6.0754632281553347</v>
      </c>
    </row>
    <row r="403" spans="1:21" x14ac:dyDescent="0.3">
      <c r="A403" t="s">
        <v>292</v>
      </c>
      <c r="B403" t="s">
        <v>296</v>
      </c>
      <c r="C403" t="s">
        <v>574</v>
      </c>
      <c r="D403" t="s">
        <v>575</v>
      </c>
      <c r="E403" s="2">
        <v>692.64099999999996</v>
      </c>
      <c r="F403" s="2">
        <v>0</v>
      </c>
      <c r="G403" s="2">
        <v>115.02999999999901</v>
      </c>
      <c r="H403" s="2">
        <v>-115.05466666666599</v>
      </c>
      <c r="I403" s="1">
        <v>0.99822346641333604</v>
      </c>
      <c r="J403" s="1">
        <v>0.99833030386592703</v>
      </c>
      <c r="K403" s="1">
        <v>0.70586207462185302</v>
      </c>
      <c r="L403" s="1">
        <v>0.79069169565741004</v>
      </c>
      <c r="P403" s="1">
        <f>I403-'Passo 2'!I403</f>
        <v>9.0956209638060059E-5</v>
      </c>
      <c r="Q403" s="1">
        <f>J403-'Passo 2'!J403</f>
        <v>9.2111209125600446E-4</v>
      </c>
      <c r="R403" s="8">
        <f t="shared" si="25"/>
        <v>691.4104999999995</v>
      </c>
      <c r="S403" s="8">
        <f t="shared" si="24"/>
        <v>691.48449999999957</v>
      </c>
      <c r="T403" s="1">
        <f t="shared" si="26"/>
        <v>488.90901322815489</v>
      </c>
      <c r="U403" s="1">
        <f t="shared" si="27"/>
        <v>547.66548677184414</v>
      </c>
    </row>
    <row r="404" spans="1:21" x14ac:dyDescent="0.3">
      <c r="A404" t="s">
        <v>292</v>
      </c>
      <c r="B404" t="s">
        <v>297</v>
      </c>
      <c r="C404" t="s">
        <v>576</v>
      </c>
      <c r="D404" t="s">
        <v>577</v>
      </c>
      <c r="E404" s="2">
        <v>0.1</v>
      </c>
      <c r="F404" s="2">
        <v>0</v>
      </c>
      <c r="G404" s="2">
        <v>1.6666666666666601E-2</v>
      </c>
      <c r="H404" s="2">
        <v>-1.6666666666666601E-2</v>
      </c>
      <c r="I404" s="1">
        <v>1</v>
      </c>
      <c r="J404" s="1">
        <v>1</v>
      </c>
      <c r="K404" s="1">
        <v>0.99991909385113198</v>
      </c>
      <c r="L404" s="1">
        <v>0.50008090614886702</v>
      </c>
      <c r="P404" s="1">
        <f>I404-'Passo 2'!I404</f>
        <v>0</v>
      </c>
      <c r="Q404" s="1">
        <f>J404-'Passo 2'!J404</f>
        <v>0</v>
      </c>
      <c r="R404" s="8">
        <f t="shared" si="25"/>
        <v>0.1</v>
      </c>
      <c r="S404" s="8">
        <f t="shared" si="24"/>
        <v>0.1</v>
      </c>
      <c r="T404" s="1">
        <f t="shared" si="26"/>
        <v>9.9991909385113209E-2</v>
      </c>
      <c r="U404" s="1">
        <f t="shared" si="27"/>
        <v>5.0008090614886702E-2</v>
      </c>
    </row>
    <row r="405" spans="1:21" x14ac:dyDescent="0.3">
      <c r="A405" t="s">
        <v>292</v>
      </c>
      <c r="B405" t="s">
        <v>298</v>
      </c>
      <c r="C405" t="s">
        <v>576</v>
      </c>
      <c r="D405" t="s">
        <v>598</v>
      </c>
      <c r="E405" s="2">
        <v>13.125999999999999</v>
      </c>
      <c r="F405" s="2">
        <v>0</v>
      </c>
      <c r="G405" s="2">
        <v>1.44183333333333</v>
      </c>
      <c r="H405" s="2">
        <v>-1.4501666666666599</v>
      </c>
      <c r="I405" s="1">
        <v>0.82953679719640405</v>
      </c>
      <c r="J405" s="1">
        <v>0.83144141398750504</v>
      </c>
      <c r="K405" s="1">
        <v>0.71046751500394201</v>
      </c>
      <c r="L405" s="1">
        <v>0.45051069617996697</v>
      </c>
      <c r="P405" s="1">
        <f>I405-'Passo 2'!I405</f>
        <v>1.7598659149779095E-2</v>
      </c>
      <c r="Q405" s="1">
        <f>J405-'Passo 2'!J405</f>
        <v>2.3883894560414065E-2</v>
      </c>
      <c r="R405" s="8">
        <f t="shared" si="25"/>
        <v>10.888499999999999</v>
      </c>
      <c r="S405" s="8">
        <f t="shared" si="24"/>
        <v>10.91349999999999</v>
      </c>
      <c r="T405" s="1">
        <f t="shared" si="26"/>
        <v>9.3255966019417418</v>
      </c>
      <c r="U405" s="1">
        <f t="shared" si="27"/>
        <v>5.9134033980582466</v>
      </c>
    </row>
    <row r="406" spans="1:21" x14ac:dyDescent="0.3">
      <c r="A406" t="s">
        <v>292</v>
      </c>
      <c r="B406" t="s">
        <v>299</v>
      </c>
      <c r="C406" t="s">
        <v>576</v>
      </c>
      <c r="D406" t="s">
        <v>598</v>
      </c>
      <c r="E406" s="2">
        <v>31.344999999999999</v>
      </c>
      <c r="F406" s="2">
        <v>0</v>
      </c>
      <c r="G406" s="2">
        <v>4.6364999999999998</v>
      </c>
      <c r="H406" s="2">
        <v>-4.7503333333333302</v>
      </c>
      <c r="I406" s="1">
        <v>0.94375498484606801</v>
      </c>
      <c r="J406" s="1">
        <v>0.95464986441218602</v>
      </c>
      <c r="K406" s="1">
        <v>0.89099458939322795</v>
      </c>
      <c r="L406" s="1">
        <v>0.50741025986502597</v>
      </c>
      <c r="P406" s="1">
        <f>I406-'Passo 2'!I406</f>
        <v>2.670282341681296E-2</v>
      </c>
      <c r="Q406" s="1">
        <f>J406-'Passo 2'!J406</f>
        <v>2.2778752592119034E-2</v>
      </c>
      <c r="R406" s="8">
        <f t="shared" si="25"/>
        <v>29.582000000000001</v>
      </c>
      <c r="S406" s="8">
        <f t="shared" si="24"/>
        <v>29.923499999999969</v>
      </c>
      <c r="T406" s="1">
        <f t="shared" si="26"/>
        <v>27.928225404530728</v>
      </c>
      <c r="U406" s="1">
        <f t="shared" si="27"/>
        <v>15.904774595469238</v>
      </c>
    </row>
    <row r="407" spans="1:21" x14ac:dyDescent="0.3">
      <c r="A407" t="s">
        <v>292</v>
      </c>
      <c r="B407" t="s">
        <v>300</v>
      </c>
      <c r="C407" t="s">
        <v>574</v>
      </c>
      <c r="D407" t="s">
        <v>575</v>
      </c>
      <c r="E407" s="2">
        <v>878.35400000000004</v>
      </c>
      <c r="F407" s="2">
        <v>0</v>
      </c>
      <c r="G407" s="2">
        <v>146.23333333333301</v>
      </c>
      <c r="H407" s="2">
        <v>-146.256</v>
      </c>
      <c r="I407" s="1">
        <v>0.99945693877411601</v>
      </c>
      <c r="J407" s="1">
        <v>0.99953435630736498</v>
      </c>
      <c r="K407" s="1">
        <v>0.71420701382255103</v>
      </c>
      <c r="L407" s="1">
        <v>0.78478428125892996</v>
      </c>
      <c r="P407" s="1">
        <f>I407-'Passo 2'!I407</f>
        <v>1.102630602240029E-3</v>
      </c>
      <c r="Q407" s="1">
        <f>J407-'Passo 2'!J407</f>
        <v>1.9342998381060017E-3</v>
      </c>
      <c r="R407" s="8">
        <f t="shared" si="25"/>
        <v>877.87699999999995</v>
      </c>
      <c r="S407" s="8">
        <f t="shared" si="24"/>
        <v>877.94499999999925</v>
      </c>
      <c r="T407" s="1">
        <f t="shared" si="26"/>
        <v>627.32658741909302</v>
      </c>
      <c r="U407" s="1">
        <f t="shared" si="27"/>
        <v>689.31841258090617</v>
      </c>
    </row>
    <row r="408" spans="1:21" x14ac:dyDescent="0.3">
      <c r="A408" t="s">
        <v>292</v>
      </c>
      <c r="B408" t="s">
        <v>301</v>
      </c>
      <c r="C408" t="s">
        <v>574</v>
      </c>
      <c r="D408" t="s">
        <v>575</v>
      </c>
      <c r="E408" s="2">
        <v>38.875999999999998</v>
      </c>
      <c r="F408" s="2">
        <v>0</v>
      </c>
      <c r="G408" s="2">
        <v>6.4793333333333303</v>
      </c>
      <c r="H408" s="2">
        <v>-5.2581666666666598</v>
      </c>
      <c r="I408" s="1">
        <v>1</v>
      </c>
      <c r="J408" s="1">
        <v>0.90576448194258596</v>
      </c>
      <c r="K408" s="1">
        <v>0.89422726220051996</v>
      </c>
      <c r="L408" s="1">
        <v>0.51153721974206501</v>
      </c>
      <c r="P408" s="1">
        <f>I408-'Passo 2'!I408</f>
        <v>2.4565284494289963E-2</v>
      </c>
      <c r="Q408" s="1">
        <f>J408-'Passo 2'!J408</f>
        <v>-3.4095585965635E-2</v>
      </c>
      <c r="R408" s="8">
        <f t="shared" si="25"/>
        <v>38.875999999999998</v>
      </c>
      <c r="S408" s="8">
        <f t="shared" si="24"/>
        <v>35.21249999999997</v>
      </c>
      <c r="T408" s="1">
        <f t="shared" si="26"/>
        <v>34.763979045307408</v>
      </c>
      <c r="U408" s="1">
        <f t="shared" si="27"/>
        <v>19.886520954692518</v>
      </c>
    </row>
    <row r="409" spans="1:21" x14ac:dyDescent="0.3">
      <c r="A409" t="s">
        <v>292</v>
      </c>
      <c r="B409" t="s">
        <v>302</v>
      </c>
      <c r="C409" t="s">
        <v>576</v>
      </c>
      <c r="D409" t="s">
        <v>595</v>
      </c>
      <c r="E409" s="2">
        <v>355.61599999999999</v>
      </c>
      <c r="F409" s="2">
        <v>0</v>
      </c>
      <c r="G409" s="2">
        <v>52.774333333333303</v>
      </c>
      <c r="H409" s="2">
        <v>-54.266500000000001</v>
      </c>
      <c r="I409" s="1">
        <v>0.94520775218212905</v>
      </c>
      <c r="J409" s="1">
        <v>0.95779576846935999</v>
      </c>
      <c r="K409" s="1">
        <v>0.76097467158586696</v>
      </c>
      <c r="L409" s="1">
        <v>0.64202884906562196</v>
      </c>
      <c r="P409" s="1">
        <f>I409-'Passo 2'!I409</f>
        <v>0.230161185098534</v>
      </c>
      <c r="Q409" s="1">
        <f>J409-'Passo 2'!J409</f>
        <v>6.5084248177810222E-3</v>
      </c>
      <c r="R409" s="8">
        <f t="shared" si="25"/>
        <v>336.13099999999997</v>
      </c>
      <c r="S409" s="8">
        <f t="shared" si="24"/>
        <v>340.6074999999999</v>
      </c>
      <c r="T409" s="1">
        <f t="shared" si="26"/>
        <v>270.61476881067966</v>
      </c>
      <c r="U409" s="1">
        <f t="shared" si="27"/>
        <v>228.31573118932022</v>
      </c>
    </row>
    <row r="410" spans="1:21" x14ac:dyDescent="0.3">
      <c r="A410" t="s">
        <v>292</v>
      </c>
      <c r="B410" t="s">
        <v>303</v>
      </c>
      <c r="C410" t="s">
        <v>576</v>
      </c>
      <c r="D410" t="s">
        <v>589</v>
      </c>
      <c r="E410" s="2">
        <v>251.523</v>
      </c>
      <c r="F410" s="2">
        <v>0</v>
      </c>
      <c r="G410" s="2">
        <v>40.371333333333297</v>
      </c>
      <c r="H410" s="2">
        <v>-41.880499999999998</v>
      </c>
      <c r="I410" s="1">
        <v>0.98152256453684095</v>
      </c>
      <c r="J410" s="1">
        <v>0.99952290645388298</v>
      </c>
      <c r="K410" s="1">
        <v>0.96783322198577204</v>
      </c>
      <c r="L410" s="1">
        <v>0.51321224900495099</v>
      </c>
      <c r="P410" s="1">
        <f>I410-'Passo 2'!I410</f>
        <v>2.6166593114744896E-2</v>
      </c>
      <c r="Q410" s="1">
        <f>J410-'Passo 2'!J410</f>
        <v>3.5642863674499869E-3</v>
      </c>
      <c r="R410" s="8">
        <f t="shared" si="25"/>
        <v>246.87549999999985</v>
      </c>
      <c r="S410" s="8">
        <f t="shared" si="24"/>
        <v>251.40299999999999</v>
      </c>
      <c r="T410" s="1">
        <f t="shared" si="26"/>
        <v>243.43231549352734</v>
      </c>
      <c r="U410" s="1">
        <f t="shared" si="27"/>
        <v>129.08468450647229</v>
      </c>
    </row>
    <row r="411" spans="1:21" x14ac:dyDescent="0.3">
      <c r="A411" t="s">
        <v>292</v>
      </c>
      <c r="B411" t="s">
        <v>304</v>
      </c>
      <c r="C411" t="s">
        <v>574</v>
      </c>
      <c r="D411" t="s">
        <v>575</v>
      </c>
      <c r="E411" s="2">
        <v>128.816</v>
      </c>
      <c r="F411" s="2">
        <v>0</v>
      </c>
      <c r="G411" s="2">
        <v>21.413333333333298</v>
      </c>
      <c r="H411" s="2">
        <v>-21.3346666666666</v>
      </c>
      <c r="I411" s="1">
        <v>0.99869581418457298</v>
      </c>
      <c r="J411" s="1">
        <v>0.99686374363433095</v>
      </c>
      <c r="K411" s="1">
        <v>0.75805675409072903</v>
      </c>
      <c r="L411" s="1">
        <v>0.73750280372817401</v>
      </c>
      <c r="P411" s="1">
        <f>I411-'Passo 2'!I411</f>
        <v>1.0751769966469427E-3</v>
      </c>
      <c r="Q411" s="1">
        <f>J411-'Passo 2'!J411</f>
        <v>2.0960129176494924E-4</v>
      </c>
      <c r="R411" s="8">
        <f t="shared" si="25"/>
        <v>128.64799999999997</v>
      </c>
      <c r="S411" s="8">
        <f t="shared" si="24"/>
        <v>128.41199999999998</v>
      </c>
      <c r="T411" s="1">
        <f t="shared" si="26"/>
        <v>97.649838834951353</v>
      </c>
      <c r="U411" s="1">
        <f t="shared" si="27"/>
        <v>95.002161165048463</v>
      </c>
    </row>
    <row r="412" spans="1:21" x14ac:dyDescent="0.3">
      <c r="A412" t="s">
        <v>292</v>
      </c>
      <c r="B412" t="s">
        <v>707</v>
      </c>
      <c r="C412" t="s">
        <v>580</v>
      </c>
      <c r="D412" t="s">
        <v>581</v>
      </c>
      <c r="E412" s="2">
        <v>118.60299999999999</v>
      </c>
      <c r="F412" s="2">
        <v>0</v>
      </c>
      <c r="G412" s="2">
        <v>19.731999999999999</v>
      </c>
      <c r="H412" s="2">
        <v>-19.421166666666601</v>
      </c>
      <c r="I412" s="1">
        <v>0.99911047781253404</v>
      </c>
      <c r="J412" s="1">
        <v>0.991248113454128</v>
      </c>
      <c r="K412" s="1">
        <v>0.80451187921893397</v>
      </c>
      <c r="L412" s="1">
        <v>0.68584671204772796</v>
      </c>
      <c r="P412" s="1">
        <f>I412-'Passo 2'!I412</f>
        <v>5.1617581342799035E-2</v>
      </c>
      <c r="Q412" s="1">
        <f>J412-'Passo 2'!J412</f>
        <v>2.6015362174649947E-2</v>
      </c>
      <c r="R412" s="8">
        <f t="shared" si="25"/>
        <v>118.49749999999997</v>
      </c>
      <c r="S412" s="8">
        <f t="shared" si="24"/>
        <v>117.56499999999994</v>
      </c>
      <c r="T412" s="1">
        <f t="shared" si="26"/>
        <v>95.417522411003219</v>
      </c>
      <c r="U412" s="1">
        <f t="shared" si="27"/>
        <v>81.343477588996677</v>
      </c>
    </row>
    <row r="413" spans="1:21" x14ac:dyDescent="0.3">
      <c r="A413" t="s">
        <v>292</v>
      </c>
      <c r="B413" t="s">
        <v>305</v>
      </c>
      <c r="C413" t="s">
        <v>574</v>
      </c>
      <c r="D413" t="s">
        <v>575</v>
      </c>
      <c r="E413" s="2">
        <v>30.146999999999998</v>
      </c>
      <c r="F413" s="2">
        <v>0</v>
      </c>
      <c r="G413" s="2">
        <v>5.0013333333333296</v>
      </c>
      <c r="H413" s="2">
        <v>-4.1275000000000004</v>
      </c>
      <c r="I413" s="1">
        <v>0.997694629648057</v>
      </c>
      <c r="J413" s="1">
        <v>0.91073738680465699</v>
      </c>
      <c r="K413" s="1">
        <v>0.91935760324571303</v>
      </c>
      <c r="L413" s="1">
        <v>0.48907441320700001</v>
      </c>
      <c r="P413" s="1">
        <f>I413-'Passo 2'!I413</f>
        <v>0.11754071715261805</v>
      </c>
      <c r="Q413" s="1">
        <f>J413-'Passo 2'!J413</f>
        <v>7.7105516303446975E-2</v>
      </c>
      <c r="R413" s="8">
        <f t="shared" si="25"/>
        <v>30.077499999999972</v>
      </c>
      <c r="S413" s="8">
        <f t="shared" si="24"/>
        <v>27.455999999999992</v>
      </c>
      <c r="T413" s="1">
        <f t="shared" si="26"/>
        <v>27.715873665048509</v>
      </c>
      <c r="U413" s="1">
        <f t="shared" si="27"/>
        <v>14.744126334951428</v>
      </c>
    </row>
    <row r="414" spans="1:21" x14ac:dyDescent="0.3">
      <c r="A414" t="s">
        <v>292</v>
      </c>
      <c r="B414" t="s">
        <v>306</v>
      </c>
      <c r="C414" t="s">
        <v>580</v>
      </c>
      <c r="D414" t="s">
        <v>581</v>
      </c>
      <c r="E414" s="2">
        <v>90.988</v>
      </c>
      <c r="F414" s="2">
        <v>0</v>
      </c>
      <c r="G414" s="2">
        <v>14.940666666666599</v>
      </c>
      <c r="H414" s="2">
        <v>-14.4523333333333</v>
      </c>
      <c r="I414" s="1">
        <v>0.99261441069151901</v>
      </c>
      <c r="J414" s="1">
        <v>0.97651338638062102</v>
      </c>
      <c r="K414" s="1">
        <v>0.87148678510968303</v>
      </c>
      <c r="L414" s="1">
        <v>0.597641011962458</v>
      </c>
      <c r="P414" s="1">
        <f>I414-'Passo 2'!I414</f>
        <v>1.0144194838879961E-2</v>
      </c>
      <c r="Q414" s="1">
        <f>J414-'Passo 2'!J414</f>
        <v>1.2501648569042012E-2</v>
      </c>
      <c r="R414" s="8">
        <f t="shared" si="25"/>
        <v>90.315999999999931</v>
      </c>
      <c r="S414" s="8">
        <f t="shared" si="24"/>
        <v>88.850999999999942</v>
      </c>
      <c r="T414" s="1">
        <f t="shared" si="26"/>
        <v>79.294839603559836</v>
      </c>
      <c r="U414" s="1">
        <f t="shared" si="27"/>
        <v>54.37816039644013</v>
      </c>
    </row>
    <row r="415" spans="1:21" x14ac:dyDescent="0.3">
      <c r="A415" t="s">
        <v>292</v>
      </c>
      <c r="B415" t="s">
        <v>307</v>
      </c>
      <c r="C415" t="s">
        <v>580</v>
      </c>
      <c r="D415" t="s">
        <v>581</v>
      </c>
      <c r="E415" s="2">
        <v>151.41399999999999</v>
      </c>
      <c r="F415" s="2">
        <v>0</v>
      </c>
      <c r="G415" s="2">
        <v>24.0908333333333</v>
      </c>
      <c r="H415" s="2">
        <v>-23.5945</v>
      </c>
      <c r="I415" s="1">
        <v>0.97731715693396903</v>
      </c>
      <c r="J415" s="1">
        <v>0.96748319177883102</v>
      </c>
      <c r="K415" s="1">
        <v>0.78632639062459397</v>
      </c>
      <c r="L415" s="1">
        <v>0.65847395808820597</v>
      </c>
      <c r="P415" s="1">
        <f>I415-'Passo 2'!I415</f>
        <v>5.1170961734053999E-2</v>
      </c>
      <c r="Q415" s="1">
        <f>J415-'Passo 2'!J415</f>
        <v>6.7414505924154988E-2</v>
      </c>
      <c r="R415" s="8">
        <f t="shared" si="25"/>
        <v>147.97949999999997</v>
      </c>
      <c r="S415" s="8">
        <f t="shared" si="24"/>
        <v>146.49049999999991</v>
      </c>
      <c r="T415" s="1">
        <f t="shared" si="26"/>
        <v>119.06082411003226</v>
      </c>
      <c r="U415" s="1">
        <f t="shared" si="27"/>
        <v>99.702175889967606</v>
      </c>
    </row>
    <row r="416" spans="1:21" x14ac:dyDescent="0.3">
      <c r="A416" t="s">
        <v>292</v>
      </c>
      <c r="B416" t="s">
        <v>708</v>
      </c>
      <c r="C416" t="s">
        <v>580</v>
      </c>
      <c r="D416" t="s">
        <v>581</v>
      </c>
      <c r="E416" s="2">
        <v>127.265</v>
      </c>
      <c r="F416" s="2">
        <v>0</v>
      </c>
      <c r="G416" s="2">
        <v>19.967833333333299</v>
      </c>
      <c r="H416" s="2">
        <v>-17.549166666666601</v>
      </c>
      <c r="I416" s="1">
        <v>0.97069893529249995</v>
      </c>
      <c r="J416" s="1">
        <v>0.91368404510273804</v>
      </c>
      <c r="K416" s="1">
        <v>0.85882652366255197</v>
      </c>
      <c r="L416" s="1">
        <v>0.52555645673268503</v>
      </c>
      <c r="P416" s="1">
        <f>I416-'Passo 2'!I416</f>
        <v>9.8059167878049913E-2</v>
      </c>
      <c r="Q416" s="1">
        <f>J416-'Passo 2'!J416</f>
        <v>3.7170471064315036E-2</v>
      </c>
      <c r="R416" s="8">
        <f t="shared" si="25"/>
        <v>123.536</v>
      </c>
      <c r="S416" s="8">
        <f t="shared" si="24"/>
        <v>116.27999999999996</v>
      </c>
      <c r="T416" s="1">
        <f t="shared" si="26"/>
        <v>109.29855753391467</v>
      </c>
      <c r="U416" s="1">
        <f t="shared" si="27"/>
        <v>66.884942466085164</v>
      </c>
    </row>
    <row r="417" spans="1:21" x14ac:dyDescent="0.3">
      <c r="A417" t="s">
        <v>292</v>
      </c>
      <c r="B417" t="s">
        <v>308</v>
      </c>
      <c r="C417" t="s">
        <v>576</v>
      </c>
      <c r="D417" t="s">
        <v>598</v>
      </c>
      <c r="E417" s="2">
        <v>109.166</v>
      </c>
      <c r="F417" s="2">
        <v>0</v>
      </c>
      <c r="G417" s="2">
        <v>14.913833333333301</v>
      </c>
      <c r="H417" s="2">
        <v>-17.056166666666599</v>
      </c>
      <c r="I417" s="1">
        <v>0.90984830441712605</v>
      </c>
      <c r="J417" s="1">
        <v>0.96872194639356501</v>
      </c>
      <c r="K417" s="1">
        <v>0.84446952451558699</v>
      </c>
      <c r="L417" s="1">
        <v>0.53410072629510397</v>
      </c>
      <c r="P417" s="1">
        <f>I417-'Passo 2'!I417</f>
        <v>5.6162175036184037E-2</v>
      </c>
      <c r="Q417" s="1">
        <f>J417-'Passo 2'!J417</f>
        <v>8.1009655020794047E-2</v>
      </c>
      <c r="R417" s="8">
        <f t="shared" si="25"/>
        <v>99.324499999999986</v>
      </c>
      <c r="S417" s="8">
        <f t="shared" si="24"/>
        <v>105.75149999999992</v>
      </c>
      <c r="T417" s="1">
        <f t="shared" si="26"/>
        <v>92.187360113268568</v>
      </c>
      <c r="U417" s="1">
        <f t="shared" si="27"/>
        <v>58.305639886731321</v>
      </c>
    </row>
    <row r="418" spans="1:21" x14ac:dyDescent="0.3">
      <c r="A418" t="s">
        <v>292</v>
      </c>
      <c r="B418" t="s">
        <v>309</v>
      </c>
      <c r="C418" t="s">
        <v>580</v>
      </c>
      <c r="D418" t="s">
        <v>581</v>
      </c>
      <c r="E418" s="2">
        <v>313.82400000000001</v>
      </c>
      <c r="F418" s="2">
        <v>0</v>
      </c>
      <c r="G418" s="2">
        <v>50.0268333333333</v>
      </c>
      <c r="H418" s="2">
        <v>-49.188666666666599</v>
      </c>
      <c r="I418" s="1">
        <v>0.97823142908126803</v>
      </c>
      <c r="J418" s="1">
        <v>0.97021897624146003</v>
      </c>
      <c r="K418" s="1">
        <v>0.83326813642045505</v>
      </c>
      <c r="L418" s="1">
        <v>0.61518226890227301</v>
      </c>
      <c r="P418" s="1">
        <f>I418-'Passo 2'!I418</f>
        <v>1.2362024574284036E-2</v>
      </c>
      <c r="Q418" s="1">
        <f>J418-'Passo 2'!J418</f>
        <v>8.971270521056407E-2</v>
      </c>
      <c r="R418" s="8">
        <f t="shared" si="25"/>
        <v>306.99249999999989</v>
      </c>
      <c r="S418" s="8">
        <f t="shared" si="24"/>
        <v>304.47799999999995</v>
      </c>
      <c r="T418" s="1">
        <f t="shared" si="26"/>
        <v>261.49953964401288</v>
      </c>
      <c r="U418" s="1">
        <f t="shared" si="27"/>
        <v>193.05896035598693</v>
      </c>
    </row>
    <row r="419" spans="1:21" x14ac:dyDescent="0.3">
      <c r="A419" t="s">
        <v>292</v>
      </c>
      <c r="B419" t="s">
        <v>310</v>
      </c>
      <c r="C419" t="s">
        <v>574</v>
      </c>
      <c r="D419" t="s">
        <v>575</v>
      </c>
      <c r="E419" s="2">
        <v>96.665000000000006</v>
      </c>
      <c r="F419" s="2">
        <v>0</v>
      </c>
      <c r="G419" s="2">
        <v>14.0665</v>
      </c>
      <c r="H419" s="2">
        <v>-13.2001666666666</v>
      </c>
      <c r="I419" s="1">
        <v>0.93655407851859496</v>
      </c>
      <c r="J419" s="1">
        <v>0.90966740805875901</v>
      </c>
      <c r="K419" s="1">
        <v>0.697375801340398</v>
      </c>
      <c r="L419" s="1">
        <v>0.64884568523695596</v>
      </c>
      <c r="P419" s="1">
        <f>I419-'Passo 2'!I419</f>
        <v>0.19075673718512398</v>
      </c>
      <c r="Q419" s="1">
        <f>J419-'Passo 2'!J419</f>
        <v>7.1944343867997973E-2</v>
      </c>
      <c r="R419" s="8">
        <f t="shared" si="25"/>
        <v>90.531999999999982</v>
      </c>
      <c r="S419" s="8">
        <f t="shared" si="24"/>
        <v>87.93299999999995</v>
      </c>
      <c r="T419" s="1">
        <f t="shared" si="26"/>
        <v>67.411831836569576</v>
      </c>
      <c r="U419" s="1">
        <f t="shared" si="27"/>
        <v>62.720668163430354</v>
      </c>
    </row>
    <row r="420" spans="1:21" x14ac:dyDescent="0.3">
      <c r="A420" t="s">
        <v>292</v>
      </c>
      <c r="B420" t="s">
        <v>311</v>
      </c>
      <c r="C420" t="s">
        <v>580</v>
      </c>
      <c r="D420" t="s">
        <v>581</v>
      </c>
      <c r="E420" s="2">
        <v>237.26400000000001</v>
      </c>
      <c r="F420" s="2">
        <v>0</v>
      </c>
      <c r="G420" s="2">
        <v>35.813333333333297</v>
      </c>
      <c r="H420" s="2">
        <v>-35.661333333333303</v>
      </c>
      <c r="I420" s="1">
        <v>0.95282891631263</v>
      </c>
      <c r="J420" s="1">
        <v>0.95090700654123606</v>
      </c>
      <c r="K420" s="1">
        <v>0.80968618552105998</v>
      </c>
      <c r="L420" s="1">
        <v>0.59404973733280597</v>
      </c>
      <c r="P420" s="1">
        <f>I420-'Passo 2'!I420</f>
        <v>4.4901459977071956E-2</v>
      </c>
      <c r="Q420" s="1">
        <f>J420-'Passo 2'!J420</f>
        <v>9.0808129341156008E-2</v>
      </c>
      <c r="R420" s="8">
        <f t="shared" si="25"/>
        <v>226.07199999999986</v>
      </c>
      <c r="S420" s="8">
        <f t="shared" si="24"/>
        <v>225.61599999999984</v>
      </c>
      <c r="T420" s="1">
        <f t="shared" si="26"/>
        <v>192.1093831214688</v>
      </c>
      <c r="U420" s="1">
        <f t="shared" si="27"/>
        <v>140.94661687853088</v>
      </c>
    </row>
    <row r="421" spans="1:21" x14ac:dyDescent="0.3">
      <c r="A421" t="s">
        <v>292</v>
      </c>
      <c r="B421" t="s">
        <v>312</v>
      </c>
      <c r="C421" t="s">
        <v>580</v>
      </c>
      <c r="D421" t="s">
        <v>581</v>
      </c>
      <c r="E421" s="2">
        <v>200.74199999999999</v>
      </c>
      <c r="F421" s="2">
        <v>0</v>
      </c>
      <c r="G421" s="2">
        <v>32.730499999999999</v>
      </c>
      <c r="H421" s="2">
        <v>-32.950166666666597</v>
      </c>
      <c r="I421" s="1">
        <v>0.98914278028514202</v>
      </c>
      <c r="J421" s="1">
        <v>0.99242560102021504</v>
      </c>
      <c r="K421" s="1">
        <v>0.78943282517329905</v>
      </c>
      <c r="L421" s="1">
        <v>0.69213555613205702</v>
      </c>
      <c r="P421" s="1">
        <f>I421-'Passo 2'!I421</f>
        <v>3.9901963714620292E-3</v>
      </c>
      <c r="Q421" s="1">
        <f>J421-'Passo 2'!J421</f>
        <v>1.0784987695650061E-3</v>
      </c>
      <c r="R421" s="8">
        <f t="shared" si="25"/>
        <v>198.56249999999997</v>
      </c>
      <c r="S421" s="8">
        <f t="shared" si="24"/>
        <v>199.22149999999999</v>
      </c>
      <c r="T421" s="1">
        <f t="shared" si="26"/>
        <v>158.47232419093839</v>
      </c>
      <c r="U421" s="1">
        <f t="shared" si="27"/>
        <v>138.94067580906139</v>
      </c>
    </row>
    <row r="422" spans="1:21" x14ac:dyDescent="0.3">
      <c r="A422" t="s">
        <v>292</v>
      </c>
      <c r="B422" t="s">
        <v>313</v>
      </c>
      <c r="C422" t="s">
        <v>580</v>
      </c>
      <c r="D422" t="s">
        <v>581</v>
      </c>
      <c r="E422" s="2">
        <v>102.246</v>
      </c>
      <c r="F422" s="2">
        <v>1.7000000000000001E-2</v>
      </c>
      <c r="G422" s="2">
        <v>15.6213333333333</v>
      </c>
      <c r="H422" s="2">
        <v>-14.530333333333299</v>
      </c>
      <c r="I422" s="1">
        <v>0.95826242591397204</v>
      </c>
      <c r="J422" s="1">
        <v>0.92625139369755305</v>
      </c>
      <c r="K422" s="1">
        <v>0.77992018836226296</v>
      </c>
      <c r="L422" s="1">
        <v>0.60467676408575299</v>
      </c>
      <c r="P422" s="1">
        <f>I422-'Passo 2'!I422</f>
        <v>3.5571073685033983E-2</v>
      </c>
      <c r="Q422" s="1">
        <f>J422-'Passo 2'!J422</f>
        <v>-3.8632318134690369E-4</v>
      </c>
      <c r="R422" s="8">
        <f t="shared" si="25"/>
        <v>97.978499999999983</v>
      </c>
      <c r="S422" s="8">
        <f t="shared" si="24"/>
        <v>94.705500000000001</v>
      </c>
      <c r="T422" s="1">
        <f t="shared" si="26"/>
        <v>79.743719579287941</v>
      </c>
      <c r="U422" s="1">
        <f t="shared" si="27"/>
        <v>61.825780420711901</v>
      </c>
    </row>
    <row r="423" spans="1:21" x14ac:dyDescent="0.3">
      <c r="A423" t="s">
        <v>292</v>
      </c>
      <c r="B423" t="s">
        <v>314</v>
      </c>
      <c r="C423" t="s">
        <v>580</v>
      </c>
      <c r="D423" t="s">
        <v>581</v>
      </c>
      <c r="E423" s="2">
        <v>64.103999999999999</v>
      </c>
      <c r="F423" s="2">
        <v>0</v>
      </c>
      <c r="G423" s="2">
        <v>10.514666666666599</v>
      </c>
      <c r="H423" s="2">
        <v>-10.205166666666599</v>
      </c>
      <c r="I423" s="1">
        <v>0.99207537751154296</v>
      </c>
      <c r="J423" s="1">
        <v>0.97759110195931598</v>
      </c>
      <c r="K423" s="1">
        <v>0.81772109892116995</v>
      </c>
      <c r="L423" s="1">
        <v>0.65194538054968898</v>
      </c>
      <c r="P423" s="1">
        <f>I423-'Passo 2'!I423</f>
        <v>2.6956196181204928E-2</v>
      </c>
      <c r="Q423" s="1">
        <f>J423-'Passo 2'!J423</f>
        <v>3.7626357169599944E-2</v>
      </c>
      <c r="R423" s="8">
        <f t="shared" si="25"/>
        <v>63.595999999999947</v>
      </c>
      <c r="S423" s="8">
        <f t="shared" si="24"/>
        <v>62.66749999999999</v>
      </c>
      <c r="T423" s="1">
        <f t="shared" si="26"/>
        <v>52.419193325242681</v>
      </c>
      <c r="U423" s="1">
        <f t="shared" si="27"/>
        <v>41.792306674757263</v>
      </c>
    </row>
    <row r="424" spans="1:21" x14ac:dyDescent="0.3">
      <c r="A424" t="s">
        <v>292</v>
      </c>
      <c r="B424" t="s">
        <v>709</v>
      </c>
      <c r="C424" t="s">
        <v>580</v>
      </c>
      <c r="D424" t="s">
        <v>581</v>
      </c>
      <c r="E424" s="2">
        <v>560.98400000000004</v>
      </c>
      <c r="F424" s="2">
        <v>0</v>
      </c>
      <c r="G424" s="2">
        <v>91.545666666666605</v>
      </c>
      <c r="H424" s="2">
        <v>-89.1815</v>
      </c>
      <c r="I424" s="1">
        <v>0.98956298218843997</v>
      </c>
      <c r="J424" s="1">
        <v>0.97692001910927895</v>
      </c>
      <c r="K424" s="1">
        <v>0.81931783112309298</v>
      </c>
      <c r="L424" s="1">
        <v>0.64716517017462605</v>
      </c>
      <c r="P424" s="1">
        <f>I424-'Passo 2'!I424</f>
        <v>4.922600288065293E-2</v>
      </c>
      <c r="Q424" s="1">
        <f>J424-'Passo 2'!J424</f>
        <v>2.371814525904492E-2</v>
      </c>
      <c r="R424" s="8">
        <f t="shared" si="25"/>
        <v>555.12899999999979</v>
      </c>
      <c r="S424" s="8">
        <f t="shared" si="24"/>
        <v>548.03649999999982</v>
      </c>
      <c r="T424" s="1">
        <f t="shared" si="26"/>
        <v>459.62419417475724</v>
      </c>
      <c r="U424" s="1">
        <f t="shared" si="27"/>
        <v>363.04930582524247</v>
      </c>
    </row>
    <row r="425" spans="1:21" x14ac:dyDescent="0.3">
      <c r="A425" t="s">
        <v>292</v>
      </c>
      <c r="B425" t="s">
        <v>710</v>
      </c>
      <c r="C425" t="s">
        <v>580</v>
      </c>
      <c r="D425" t="s">
        <v>581</v>
      </c>
      <c r="E425" s="2">
        <v>58.96</v>
      </c>
      <c r="F425" s="2">
        <v>0</v>
      </c>
      <c r="G425" s="2">
        <v>9.6273333333333309</v>
      </c>
      <c r="H425" s="2">
        <v>-9.4883333333333297</v>
      </c>
      <c r="I425" s="1">
        <v>0.98985753052917202</v>
      </c>
      <c r="J425" s="1">
        <v>0.98278493894165497</v>
      </c>
      <c r="K425" s="1">
        <v>0.80634527604694906</v>
      </c>
      <c r="L425" s="1">
        <v>0.66629719342387805</v>
      </c>
      <c r="P425" s="1">
        <f>I425-'Passo 2'!I425</f>
        <v>1.856343283582107E-2</v>
      </c>
      <c r="Q425" s="1">
        <f>J425-'Passo 2'!J425</f>
        <v>2.6857191316146944E-2</v>
      </c>
      <c r="R425" s="8">
        <f t="shared" si="25"/>
        <v>58.361999999999981</v>
      </c>
      <c r="S425" s="8">
        <f t="shared" si="24"/>
        <v>57.944999999999979</v>
      </c>
      <c r="T425" s="1">
        <f t="shared" si="26"/>
        <v>47.542117475728119</v>
      </c>
      <c r="U425" s="1">
        <f t="shared" si="27"/>
        <v>39.28488252427185</v>
      </c>
    </row>
    <row r="426" spans="1:21" x14ac:dyDescent="0.3">
      <c r="A426" t="s">
        <v>292</v>
      </c>
      <c r="B426" t="s">
        <v>711</v>
      </c>
      <c r="C426" t="s">
        <v>580</v>
      </c>
      <c r="D426" t="s">
        <v>581</v>
      </c>
      <c r="E426" s="2">
        <v>127.253</v>
      </c>
      <c r="F426" s="2">
        <v>0</v>
      </c>
      <c r="G426" s="2">
        <v>19.6071666666666</v>
      </c>
      <c r="H426" s="2">
        <v>-20.2418333333333</v>
      </c>
      <c r="I426" s="1">
        <v>0.96224057586068701</v>
      </c>
      <c r="J426" s="1">
        <v>0.977202895020156</v>
      </c>
      <c r="K426" s="1">
        <v>0.80540522318291696</v>
      </c>
      <c r="L426" s="1">
        <v>0.63403824769792605</v>
      </c>
      <c r="P426" s="1">
        <f>I426-'Passo 2'!I426</f>
        <v>8.4084461662986998E-2</v>
      </c>
      <c r="Q426" s="1">
        <f>J426-'Passo 2'!J426</f>
        <v>8.8799478204829585E-3</v>
      </c>
      <c r="R426" s="8">
        <f t="shared" si="25"/>
        <v>122.44800000000001</v>
      </c>
      <c r="S426" s="8">
        <f t="shared" si="24"/>
        <v>124.35199999999992</v>
      </c>
      <c r="T426" s="1">
        <f t="shared" si="26"/>
        <v>102.49023086569574</v>
      </c>
      <c r="U426" s="1">
        <f t="shared" si="27"/>
        <v>80.683269134304183</v>
      </c>
    </row>
    <row r="427" spans="1:21" x14ac:dyDescent="0.3">
      <c r="A427" t="s">
        <v>292</v>
      </c>
      <c r="B427" t="s">
        <v>315</v>
      </c>
      <c r="C427" t="s">
        <v>574</v>
      </c>
      <c r="D427" t="s">
        <v>575</v>
      </c>
      <c r="E427" s="2">
        <v>124.45699999999999</v>
      </c>
      <c r="F427" s="2">
        <v>0</v>
      </c>
      <c r="G427" s="2">
        <v>20.4493333333333</v>
      </c>
      <c r="H427" s="2">
        <v>-19.631499999999999</v>
      </c>
      <c r="I427" s="1">
        <v>0.99292526736141795</v>
      </c>
      <c r="J427" s="1">
        <v>0.97321163132648203</v>
      </c>
      <c r="K427" s="1">
        <v>0.65039653647028395</v>
      </c>
      <c r="L427" s="1">
        <v>0.81574036221761503</v>
      </c>
      <c r="P427" s="1">
        <f>I427-'Passo 2'!I427</f>
        <v>4.0174518110003277E-6</v>
      </c>
      <c r="Q427" s="1">
        <f>J427-'Passo 2'!J427</f>
        <v>4.7112657383674983E-2</v>
      </c>
      <c r="R427" s="8">
        <f t="shared" si="25"/>
        <v>123.57649999999998</v>
      </c>
      <c r="S427" s="8">
        <f t="shared" si="24"/>
        <v>121.12299999999996</v>
      </c>
      <c r="T427" s="1">
        <f t="shared" si="26"/>
        <v>80.946401739482127</v>
      </c>
      <c r="U427" s="1">
        <f t="shared" si="27"/>
        <v>101.52459826051771</v>
      </c>
    </row>
    <row r="428" spans="1:21" x14ac:dyDescent="0.3">
      <c r="A428" t="s">
        <v>292</v>
      </c>
      <c r="B428" t="s">
        <v>712</v>
      </c>
      <c r="C428" t="s">
        <v>580</v>
      </c>
      <c r="D428" t="s">
        <v>581</v>
      </c>
      <c r="E428" s="2">
        <v>71.594999999999999</v>
      </c>
      <c r="F428" s="2">
        <v>0</v>
      </c>
      <c r="G428" s="2">
        <v>11.531833333333299</v>
      </c>
      <c r="H428" s="2">
        <v>-11.3091666666666</v>
      </c>
      <c r="I428" s="1">
        <v>0.98321111809483897</v>
      </c>
      <c r="J428" s="1">
        <v>0.973880857601787</v>
      </c>
      <c r="K428" s="1">
        <v>0.82543964149292604</v>
      </c>
      <c r="L428" s="1">
        <v>0.63165233420370004</v>
      </c>
      <c r="P428" s="1">
        <f>I428-'Passo 2'!I428</f>
        <v>4.4577135274809998E-2</v>
      </c>
      <c r="Q428" s="1">
        <f>J428-'Passo 2'!J428</f>
        <v>2.551155806969696E-2</v>
      </c>
      <c r="R428" s="8">
        <f t="shared" si="25"/>
        <v>70.393000000000001</v>
      </c>
      <c r="S428" s="8">
        <f t="shared" si="24"/>
        <v>69.724999999999937</v>
      </c>
      <c r="T428" s="1">
        <f t="shared" si="26"/>
        <v>59.097351132686036</v>
      </c>
      <c r="U428" s="1">
        <f t="shared" si="27"/>
        <v>45.223148867313903</v>
      </c>
    </row>
    <row r="429" spans="1:21" x14ac:dyDescent="0.3">
      <c r="A429" t="s">
        <v>292</v>
      </c>
      <c r="B429" t="s">
        <v>316</v>
      </c>
      <c r="C429" t="s">
        <v>576</v>
      </c>
      <c r="D429" t="s">
        <v>14</v>
      </c>
      <c r="E429" s="2">
        <v>1.3360000000000001</v>
      </c>
      <c r="F429" s="2">
        <v>0</v>
      </c>
      <c r="G429" s="2">
        <v>0.16166666666666599</v>
      </c>
      <c r="H429" s="2">
        <v>-0.22266666666666601</v>
      </c>
      <c r="I429" s="1">
        <v>0.86302395209580796</v>
      </c>
      <c r="J429" s="1">
        <v>1</v>
      </c>
      <c r="K429" s="1">
        <v>0.77588138506092796</v>
      </c>
      <c r="L429" s="1">
        <v>0.58714256703487999</v>
      </c>
      <c r="P429" s="1">
        <f>I429-'Passo 2'!I429</f>
        <v>0</v>
      </c>
      <c r="Q429" s="1">
        <f>J429-'Passo 2'!J429</f>
        <v>7.9341317365269948E-2</v>
      </c>
      <c r="R429" s="8">
        <f t="shared" si="25"/>
        <v>1.1529999999999996</v>
      </c>
      <c r="S429" s="8">
        <f t="shared" si="24"/>
        <v>1.3360000000000001</v>
      </c>
      <c r="T429" s="1">
        <f t="shared" si="26"/>
        <v>1.0365775304413998</v>
      </c>
      <c r="U429" s="1">
        <f t="shared" si="27"/>
        <v>0.78442246955859973</v>
      </c>
    </row>
    <row r="430" spans="1:21" x14ac:dyDescent="0.3">
      <c r="A430" t="s">
        <v>292</v>
      </c>
      <c r="B430" t="s">
        <v>317</v>
      </c>
      <c r="C430" t="s">
        <v>574</v>
      </c>
      <c r="D430" t="s">
        <v>575</v>
      </c>
      <c r="E430" s="2">
        <v>17.3</v>
      </c>
      <c r="F430" s="2">
        <v>17.3</v>
      </c>
      <c r="G430" s="2">
        <v>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P430" s="1">
        <f>I430-'Passo 2'!I430</f>
        <v>0</v>
      </c>
      <c r="Q430" s="1">
        <f>J430-'Passo 2'!J430</f>
        <v>0</v>
      </c>
      <c r="R430" s="8">
        <f t="shared" si="25"/>
        <v>0</v>
      </c>
      <c r="S430" s="8">
        <f t="shared" si="24"/>
        <v>0</v>
      </c>
      <c r="T430" s="1">
        <f t="shared" si="26"/>
        <v>0</v>
      </c>
      <c r="U430" s="1">
        <f t="shared" si="27"/>
        <v>0</v>
      </c>
    </row>
    <row r="431" spans="1:21" x14ac:dyDescent="0.3">
      <c r="A431" t="s">
        <v>292</v>
      </c>
      <c r="B431" t="s">
        <v>318</v>
      </c>
      <c r="C431" t="s">
        <v>574</v>
      </c>
      <c r="D431" t="s">
        <v>575</v>
      </c>
      <c r="E431" s="2">
        <v>0</v>
      </c>
      <c r="F431" s="2">
        <v>0</v>
      </c>
      <c r="G431" s="2">
        <v>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P431" s="1">
        <f>I431-'Passo 2'!I431</f>
        <v>0</v>
      </c>
      <c r="Q431" s="1">
        <f>J431-'Passo 2'!J431</f>
        <v>0</v>
      </c>
      <c r="R431" s="8">
        <f t="shared" si="25"/>
        <v>0</v>
      </c>
      <c r="S431" s="8">
        <f t="shared" si="24"/>
        <v>0</v>
      </c>
      <c r="T431" s="1">
        <f t="shared" si="26"/>
        <v>0</v>
      </c>
      <c r="U431" s="1">
        <f t="shared" si="27"/>
        <v>0</v>
      </c>
    </row>
    <row r="432" spans="1:21" x14ac:dyDescent="0.3">
      <c r="A432" t="s">
        <v>292</v>
      </c>
      <c r="B432" t="s">
        <v>319</v>
      </c>
      <c r="C432" t="s">
        <v>576</v>
      </c>
      <c r="D432" t="s">
        <v>595</v>
      </c>
      <c r="E432" s="2">
        <v>18.574000000000002</v>
      </c>
      <c r="F432" s="2">
        <v>0</v>
      </c>
      <c r="G432" s="2">
        <v>2.2313333333333301</v>
      </c>
      <c r="H432" s="2">
        <v>-2.895</v>
      </c>
      <c r="I432" s="1">
        <v>0.86039625282653098</v>
      </c>
      <c r="J432" s="1">
        <v>0.96758910304726997</v>
      </c>
      <c r="K432" s="1">
        <v>0.85475071854626405</v>
      </c>
      <c r="L432" s="1">
        <v>0.47323463732753701</v>
      </c>
      <c r="P432" s="1">
        <f>I432-'Passo 2'!I432</f>
        <v>0.22614945622913696</v>
      </c>
      <c r="Q432" s="1">
        <f>J432-'Passo 2'!J432</f>
        <v>7.4297404974699166E-3</v>
      </c>
      <c r="R432" s="8">
        <f t="shared" si="25"/>
        <v>15.980999999999987</v>
      </c>
      <c r="S432" s="8">
        <f t="shared" si="24"/>
        <v>17.971999999999994</v>
      </c>
      <c r="T432" s="1">
        <f t="shared" si="26"/>
        <v>15.87613984627831</v>
      </c>
      <c r="U432" s="1">
        <f t="shared" si="27"/>
        <v>8.7898601537216727</v>
      </c>
    </row>
    <row r="433" spans="1:21" x14ac:dyDescent="0.3">
      <c r="A433" t="s">
        <v>292</v>
      </c>
      <c r="B433" t="s">
        <v>713</v>
      </c>
      <c r="C433" t="s">
        <v>574</v>
      </c>
      <c r="D433" t="s">
        <v>575</v>
      </c>
      <c r="E433" s="2">
        <v>853.37199999999996</v>
      </c>
      <c r="F433" s="2">
        <v>0</v>
      </c>
      <c r="G433" s="2">
        <v>142.059666666666</v>
      </c>
      <c r="H433" s="2">
        <v>-141.708333333333</v>
      </c>
      <c r="I433" s="1">
        <v>0.99940588629577698</v>
      </c>
      <c r="J433" s="1">
        <v>0.99817078601125797</v>
      </c>
      <c r="K433" s="1">
        <v>0.70392138893638101</v>
      </c>
      <c r="L433" s="1">
        <v>0.79365528337065505</v>
      </c>
      <c r="P433" s="1">
        <f>I433-'Passo 2'!I433</f>
        <v>3.9816164580043001E-2</v>
      </c>
      <c r="Q433" s="1">
        <f>J433-'Passo 2'!J433</f>
        <v>1.5550662548103E-2</v>
      </c>
      <c r="R433" s="8">
        <f t="shared" si="25"/>
        <v>852.86499999999978</v>
      </c>
      <c r="S433" s="8">
        <f t="shared" si="24"/>
        <v>851.81099999999924</v>
      </c>
      <c r="T433" s="1">
        <f t="shared" si="26"/>
        <v>600.70680351941735</v>
      </c>
      <c r="U433" s="1">
        <f t="shared" si="27"/>
        <v>677.28319648058266</v>
      </c>
    </row>
    <row r="434" spans="1:21" x14ac:dyDescent="0.3">
      <c r="A434" t="s">
        <v>292</v>
      </c>
      <c r="B434" t="s">
        <v>714</v>
      </c>
      <c r="C434" t="s">
        <v>574</v>
      </c>
      <c r="D434" t="s">
        <v>575</v>
      </c>
      <c r="E434" s="2">
        <v>120.229</v>
      </c>
      <c r="F434" s="2">
        <v>0</v>
      </c>
      <c r="G434" s="2">
        <v>20.017499999999998</v>
      </c>
      <c r="H434" s="2">
        <v>-20.016666666666602</v>
      </c>
      <c r="I434" s="1">
        <v>0.99948431742757504</v>
      </c>
      <c r="J434" s="1">
        <v>0.99946352377546099</v>
      </c>
      <c r="K434" s="1">
        <v>0.73551597099181898</v>
      </c>
      <c r="L434" s="1">
        <v>0.76343187021121806</v>
      </c>
      <c r="P434" s="1">
        <f>I434-'Passo 2'!I434</f>
        <v>2.8279366874806033E-4</v>
      </c>
      <c r="Q434" s="1">
        <f>J434-'Passo 2'!J434</f>
        <v>2.9111112959001595E-5</v>
      </c>
      <c r="R434" s="8">
        <f t="shared" si="25"/>
        <v>120.16699999999992</v>
      </c>
      <c r="S434" s="8">
        <f t="shared" si="24"/>
        <v>120.1644999999999</v>
      </c>
      <c r="T434" s="1">
        <f t="shared" si="26"/>
        <v>88.4303496763754</v>
      </c>
      <c r="U434" s="1">
        <f t="shared" si="27"/>
        <v>91.786650323624528</v>
      </c>
    </row>
    <row r="435" spans="1:21" x14ac:dyDescent="0.3">
      <c r="A435" t="s">
        <v>292</v>
      </c>
      <c r="B435" t="s">
        <v>320</v>
      </c>
      <c r="C435" t="s">
        <v>574</v>
      </c>
      <c r="D435" t="s">
        <v>575</v>
      </c>
      <c r="E435" s="2">
        <v>189.28100000000001</v>
      </c>
      <c r="F435" s="2">
        <v>0</v>
      </c>
      <c r="G435" s="2">
        <v>31.297000000000001</v>
      </c>
      <c r="H435" s="2">
        <v>-24.037666666666599</v>
      </c>
      <c r="I435" s="1">
        <v>0.99604027873901702</v>
      </c>
      <c r="J435" s="1">
        <v>0.88098382827647703</v>
      </c>
      <c r="K435" s="1">
        <v>0.72616210032346995</v>
      </c>
      <c r="L435" s="1">
        <v>0.65086200669202399</v>
      </c>
      <c r="P435" s="1">
        <f>I435-'Passo 2'!I435</f>
        <v>-5.3359819527598606E-4</v>
      </c>
      <c r="Q435" s="1">
        <f>J435-'Passo 2'!J435</f>
        <v>4.6491723944808161E-4</v>
      </c>
      <c r="R435" s="8">
        <f t="shared" si="25"/>
        <v>188.53149999999988</v>
      </c>
      <c r="S435" s="8">
        <f t="shared" si="24"/>
        <v>166.75349999999986</v>
      </c>
      <c r="T435" s="1">
        <f t="shared" si="26"/>
        <v>137.44868851132671</v>
      </c>
      <c r="U435" s="1">
        <f t="shared" si="27"/>
        <v>123.195811488673</v>
      </c>
    </row>
    <row r="436" spans="1:21" x14ac:dyDescent="0.3">
      <c r="A436" t="s">
        <v>292</v>
      </c>
      <c r="B436" t="s">
        <v>321</v>
      </c>
      <c r="C436" t="s">
        <v>574</v>
      </c>
      <c r="D436" t="s">
        <v>575</v>
      </c>
      <c r="E436" s="2">
        <v>1674.9829999999999</v>
      </c>
      <c r="F436" s="2">
        <v>0</v>
      </c>
      <c r="G436" s="2">
        <v>279.163833333333</v>
      </c>
      <c r="H436" s="2">
        <v>-279.00883333333297</v>
      </c>
      <c r="I436" s="1">
        <v>1</v>
      </c>
      <c r="J436" s="1">
        <v>0.99972238524211798</v>
      </c>
      <c r="K436" s="1">
        <v>0.77532091283534799</v>
      </c>
      <c r="L436" s="1">
        <v>0.724401472406771</v>
      </c>
      <c r="P436" s="1">
        <f>I436-'Passo 2'!I436</f>
        <v>3.0727177529562999E-2</v>
      </c>
      <c r="Q436" s="1">
        <f>J436-'Passo 2'!J436</f>
        <v>5.5371009735621035E-2</v>
      </c>
      <c r="R436" s="8">
        <f t="shared" si="25"/>
        <v>1674.9829999999999</v>
      </c>
      <c r="S436" s="8">
        <f t="shared" si="24"/>
        <v>1674.5179999999984</v>
      </c>
      <c r="T436" s="1">
        <f t="shared" si="26"/>
        <v>1298.6493485436897</v>
      </c>
      <c r="U436" s="1">
        <f t="shared" si="27"/>
        <v>1213.3601514563104</v>
      </c>
    </row>
    <row r="437" spans="1:21" x14ac:dyDescent="0.3">
      <c r="A437" t="s">
        <v>292</v>
      </c>
      <c r="B437" t="s">
        <v>322</v>
      </c>
      <c r="C437" t="s">
        <v>574</v>
      </c>
      <c r="D437" t="s">
        <v>575</v>
      </c>
      <c r="E437" s="2">
        <v>363.28399999999999</v>
      </c>
      <c r="F437" s="2">
        <v>10.6</v>
      </c>
      <c r="G437" s="2">
        <v>58.242666666666601</v>
      </c>
      <c r="H437" s="2">
        <v>-58.391666666666602</v>
      </c>
      <c r="I437" s="1">
        <v>0.96637892117461799</v>
      </c>
      <c r="J437" s="1">
        <v>0.96760936347320503</v>
      </c>
      <c r="K437" s="1">
        <v>0.74454018723269</v>
      </c>
      <c r="L437" s="1">
        <v>0.70403723428876297</v>
      </c>
      <c r="P437" s="1">
        <f>I437-'Passo 2'!I437</f>
        <v>0.17838247762081494</v>
      </c>
      <c r="Q437" s="1">
        <f>J437-'Passo 2'!J437</f>
        <v>0.17187792470904306</v>
      </c>
      <c r="R437" s="8">
        <f t="shared" si="25"/>
        <v>351.06999999999994</v>
      </c>
      <c r="S437" s="8">
        <f t="shared" si="24"/>
        <v>351.51699999999983</v>
      </c>
      <c r="T437" s="1">
        <f t="shared" si="26"/>
        <v>270.47953737864054</v>
      </c>
      <c r="U437" s="1">
        <f t="shared" si="27"/>
        <v>255.76546262135895</v>
      </c>
    </row>
    <row r="438" spans="1:21" x14ac:dyDescent="0.3">
      <c r="A438" t="s">
        <v>292</v>
      </c>
      <c r="B438" t="s">
        <v>715</v>
      </c>
      <c r="C438" t="s">
        <v>574</v>
      </c>
      <c r="D438" t="s">
        <v>575</v>
      </c>
      <c r="E438" s="2">
        <v>1236.364</v>
      </c>
      <c r="F438" s="2">
        <v>0</v>
      </c>
      <c r="G438" s="2">
        <v>203.2225</v>
      </c>
      <c r="H438" s="2">
        <v>-202.46516666666599</v>
      </c>
      <c r="I438" s="1">
        <v>0.99311327408433103</v>
      </c>
      <c r="J438" s="1">
        <v>0.99127562756599097</v>
      </c>
      <c r="K438" s="1">
        <v>0.69613033036667404</v>
      </c>
      <c r="L438" s="1">
        <v>0.78825857128364796</v>
      </c>
      <c r="P438" s="1">
        <f>I438-'Passo 2'!I438</f>
        <v>3.3711754790660686E-3</v>
      </c>
      <c r="Q438" s="1">
        <f>J438-'Passo 2'!J438</f>
        <v>5.2258072865269956E-3</v>
      </c>
      <c r="R438" s="8">
        <f t="shared" si="25"/>
        <v>1227.8494999999998</v>
      </c>
      <c r="S438" s="8">
        <f t="shared" si="24"/>
        <v>1225.577499999999</v>
      </c>
      <c r="T438" s="1">
        <f t="shared" si="26"/>
        <v>860.6704797734626</v>
      </c>
      <c r="U438" s="1">
        <f t="shared" si="27"/>
        <v>974.57452022653615</v>
      </c>
    </row>
    <row r="439" spans="1:21" x14ac:dyDescent="0.3">
      <c r="A439" t="s">
        <v>292</v>
      </c>
      <c r="B439" t="s">
        <v>323</v>
      </c>
      <c r="C439" t="s">
        <v>574</v>
      </c>
      <c r="D439" t="s">
        <v>575</v>
      </c>
      <c r="E439" s="2">
        <v>1228.673</v>
      </c>
      <c r="F439" s="2">
        <v>0</v>
      </c>
      <c r="G439" s="2">
        <v>200.885666666666</v>
      </c>
      <c r="H439" s="2">
        <v>-203.34316666666601</v>
      </c>
      <c r="I439" s="1">
        <v>0.99049421611771404</v>
      </c>
      <c r="J439" s="1">
        <v>0.99649459213313796</v>
      </c>
      <c r="K439" s="1">
        <v>0.67796824317187598</v>
      </c>
      <c r="L439" s="1">
        <v>0.80902056507897602</v>
      </c>
      <c r="P439" s="1">
        <f>I439-'Passo 2'!I439</f>
        <v>2.9272638041204058E-2</v>
      </c>
      <c r="Q439" s="1">
        <f>J439-'Passo 2'!J439</f>
        <v>5.6237094816927957E-2</v>
      </c>
      <c r="R439" s="8">
        <f t="shared" si="25"/>
        <v>1216.9935</v>
      </c>
      <c r="S439" s="8">
        <f t="shared" si="24"/>
        <v>1224.3659999999991</v>
      </c>
      <c r="T439" s="1">
        <f t="shared" si="26"/>
        <v>833.00127524271841</v>
      </c>
      <c r="U439" s="1">
        <f t="shared" si="27"/>
        <v>994.02172475728071</v>
      </c>
    </row>
    <row r="440" spans="1:21" x14ac:dyDescent="0.3">
      <c r="A440" t="s">
        <v>292</v>
      </c>
      <c r="B440" t="s">
        <v>324</v>
      </c>
      <c r="C440" t="s">
        <v>574</v>
      </c>
      <c r="D440" t="s">
        <v>575</v>
      </c>
      <c r="E440" s="2">
        <v>261.23099999999999</v>
      </c>
      <c r="F440" s="2">
        <v>4.9729999999999999</v>
      </c>
      <c r="G440" s="2">
        <v>40.986833333333301</v>
      </c>
      <c r="H440" s="2">
        <v>-41.020333333333298</v>
      </c>
      <c r="I440" s="1">
        <v>0.96117803782858802</v>
      </c>
      <c r="J440" s="1">
        <v>0.96156275480321995</v>
      </c>
      <c r="K440" s="1">
        <v>0.70352442101392998</v>
      </c>
      <c r="L440" s="1">
        <v>0.72873476721411301</v>
      </c>
      <c r="P440" s="1">
        <f>I440-'Passo 2'!I440</f>
        <v>4.6893362579503162E-4</v>
      </c>
      <c r="Q440" s="1">
        <f>J440-'Passo 2'!J440</f>
        <v>-3.0624236786602754E-4</v>
      </c>
      <c r="R440" s="8">
        <f t="shared" si="25"/>
        <v>251.08949999999987</v>
      </c>
      <c r="S440" s="8">
        <f t="shared" si="24"/>
        <v>251.18999999999994</v>
      </c>
      <c r="T440" s="1">
        <f t="shared" si="26"/>
        <v>183.78238802588993</v>
      </c>
      <c r="U440" s="1">
        <f t="shared" si="27"/>
        <v>190.36811197410995</v>
      </c>
    </row>
    <row r="441" spans="1:21" x14ac:dyDescent="0.3">
      <c r="A441" t="s">
        <v>292</v>
      </c>
      <c r="B441" t="s">
        <v>716</v>
      </c>
      <c r="C441" t="s">
        <v>574</v>
      </c>
      <c r="D441" t="s">
        <v>575</v>
      </c>
      <c r="E441" s="2">
        <v>498.84</v>
      </c>
      <c r="F441" s="2">
        <v>4.5999999999999999E-2</v>
      </c>
      <c r="G441" s="2">
        <v>81.362833333333299</v>
      </c>
      <c r="H441" s="2">
        <v>-80.109499999999997</v>
      </c>
      <c r="I441" s="1">
        <v>0.98926609734584203</v>
      </c>
      <c r="J441" s="1">
        <v>0.98172861037607195</v>
      </c>
      <c r="K441" s="1">
        <v>0.76145114067549302</v>
      </c>
      <c r="L441" s="1">
        <v>0.70958967401458695</v>
      </c>
      <c r="P441" s="1">
        <f>I441-'Passo 2'!I441</f>
        <v>7.9063427150990462E-3</v>
      </c>
      <c r="Q441" s="1">
        <f>J441-'Passo 2'!J441</f>
        <v>3.4199342474539041E-3</v>
      </c>
      <c r="R441" s="8">
        <f t="shared" si="25"/>
        <v>493.48549999999983</v>
      </c>
      <c r="S441" s="8">
        <f t="shared" si="24"/>
        <v>489.72549999999973</v>
      </c>
      <c r="T441" s="1">
        <f t="shared" si="26"/>
        <v>379.84228701456294</v>
      </c>
      <c r="U441" s="1">
        <f t="shared" si="27"/>
        <v>353.97171298543651</v>
      </c>
    </row>
    <row r="442" spans="1:21" x14ac:dyDescent="0.3">
      <c r="A442" t="s">
        <v>292</v>
      </c>
      <c r="B442" t="s">
        <v>717</v>
      </c>
      <c r="C442" t="s">
        <v>574</v>
      </c>
      <c r="D442" t="s">
        <v>575</v>
      </c>
      <c r="E442" s="2">
        <v>1452.2370000000001</v>
      </c>
      <c r="F442" s="2">
        <v>0</v>
      </c>
      <c r="G442" s="2">
        <v>241.36099999999999</v>
      </c>
      <c r="H442" s="2">
        <v>-241.75800000000001</v>
      </c>
      <c r="I442" s="1">
        <v>0.99859836927443602</v>
      </c>
      <c r="J442" s="1">
        <v>0.99941848334672601</v>
      </c>
      <c r="K442" s="1">
        <v>0.68666633541228395</v>
      </c>
      <c r="L442" s="1">
        <v>0.81135051720887796</v>
      </c>
      <c r="P442" s="1">
        <f>I442-'Passo 2'!I442</f>
        <v>6.8220614128409962E-2</v>
      </c>
      <c r="Q442" s="1">
        <f>J442-'Passo 2'!J442</f>
        <v>7.4401423459119043E-2</v>
      </c>
      <c r="R442" s="8">
        <f t="shared" si="25"/>
        <v>1450.2014999999992</v>
      </c>
      <c r="S442" s="8">
        <f t="shared" si="24"/>
        <v>1451.3924999999995</v>
      </c>
      <c r="T442" s="1">
        <f t="shared" si="26"/>
        <v>997.20225894012901</v>
      </c>
      <c r="U442" s="1">
        <f t="shared" si="27"/>
        <v>1178.2732410598694</v>
      </c>
    </row>
    <row r="443" spans="1:21" x14ac:dyDescent="0.3">
      <c r="A443" t="s">
        <v>292</v>
      </c>
      <c r="B443" t="s">
        <v>718</v>
      </c>
      <c r="C443" t="s">
        <v>574</v>
      </c>
      <c r="D443" t="s">
        <v>575</v>
      </c>
      <c r="E443" s="2">
        <v>176.815</v>
      </c>
      <c r="F443" s="2">
        <v>0</v>
      </c>
      <c r="G443" s="2">
        <v>27.636499999999899</v>
      </c>
      <c r="H443" s="2">
        <v>-27.471</v>
      </c>
      <c r="I443" s="1">
        <v>0.96890535305262504</v>
      </c>
      <c r="J443" s="1">
        <v>0.96609733337103698</v>
      </c>
      <c r="K443" s="1">
        <v>0.873645929910287</v>
      </c>
      <c r="L443" s="1">
        <v>0.56135675651337602</v>
      </c>
      <c r="P443" s="1">
        <f>I443-'Passo 2'!I443</f>
        <v>1.5241919520400105E-3</v>
      </c>
      <c r="Q443" s="1">
        <f>J443-'Passo 2'!J443</f>
        <v>1.8946356361170258E-3</v>
      </c>
      <c r="R443" s="8">
        <f t="shared" si="25"/>
        <v>171.31699999999989</v>
      </c>
      <c r="S443" s="8">
        <f t="shared" si="24"/>
        <v>170.8204999999999</v>
      </c>
      <c r="T443" s="1">
        <f t="shared" si="26"/>
        <v>154.47370509708739</v>
      </c>
      <c r="U443" s="1">
        <f t="shared" si="27"/>
        <v>99.256294902912586</v>
      </c>
    </row>
    <row r="444" spans="1:21" x14ac:dyDescent="0.3">
      <c r="A444" t="s">
        <v>292</v>
      </c>
      <c r="B444" t="s">
        <v>325</v>
      </c>
      <c r="C444" t="s">
        <v>576</v>
      </c>
      <c r="D444" t="s">
        <v>595</v>
      </c>
      <c r="E444" s="2">
        <v>182.553</v>
      </c>
      <c r="F444" s="2">
        <v>0</v>
      </c>
      <c r="G444" s="2">
        <v>6.7781666666666602</v>
      </c>
      <c r="H444" s="2">
        <v>-13.019500000000001</v>
      </c>
      <c r="I444" s="1">
        <v>0.61138956905665698</v>
      </c>
      <c r="J444" s="1">
        <v>0.71395704261228199</v>
      </c>
      <c r="K444" s="1">
        <v>0.52273433493395205</v>
      </c>
      <c r="L444" s="1">
        <v>0.30261227673498797</v>
      </c>
      <c r="P444" s="1">
        <f>I444-'Passo 2'!I444</f>
        <v>4.3874929472537016E-2</v>
      </c>
      <c r="Q444" s="1">
        <f>J444-'Passo 2'!J444</f>
        <v>4.5192355096901338E-4</v>
      </c>
      <c r="R444" s="8">
        <f t="shared" si="25"/>
        <v>111.6109999999999</v>
      </c>
      <c r="S444" s="8">
        <f t="shared" si="24"/>
        <v>130.33499999999992</v>
      </c>
      <c r="T444" s="1">
        <f t="shared" si="26"/>
        <v>95.426721045197752</v>
      </c>
      <c r="U444" s="1">
        <f t="shared" si="27"/>
        <v>55.242778954802262</v>
      </c>
    </row>
    <row r="445" spans="1:21" x14ac:dyDescent="0.3">
      <c r="A445" t="s">
        <v>292</v>
      </c>
      <c r="B445" t="s">
        <v>326</v>
      </c>
      <c r="C445" t="s">
        <v>576</v>
      </c>
      <c r="D445" t="s">
        <v>595</v>
      </c>
      <c r="E445" s="2">
        <v>221.489</v>
      </c>
      <c r="F445" s="2">
        <v>0</v>
      </c>
      <c r="G445" s="2">
        <v>18.800333333333299</v>
      </c>
      <c r="H445" s="2">
        <v>-18.5066666666666</v>
      </c>
      <c r="I445" s="1">
        <v>0.75464470018827101</v>
      </c>
      <c r="J445" s="1">
        <v>0.75066707601731897</v>
      </c>
      <c r="K445" s="1">
        <v>0.62915579679729505</v>
      </c>
      <c r="L445" s="1">
        <v>0.37615597940829398</v>
      </c>
      <c r="P445" s="1">
        <f>I445-'Passo 2'!I445</f>
        <v>3.989362902898097E-2</v>
      </c>
      <c r="Q445" s="1">
        <f>J445-'Passo 2'!J445</f>
        <v>0</v>
      </c>
      <c r="R445" s="8">
        <f t="shared" si="25"/>
        <v>167.14549999999997</v>
      </c>
      <c r="S445" s="8">
        <f t="shared" si="24"/>
        <v>166.26449999999997</v>
      </c>
      <c r="T445" s="1">
        <f t="shared" si="26"/>
        <v>139.35108827683609</v>
      </c>
      <c r="U445" s="1">
        <f t="shared" si="27"/>
        <v>83.31441172316363</v>
      </c>
    </row>
    <row r="446" spans="1:21" x14ac:dyDescent="0.3">
      <c r="A446" t="s">
        <v>292</v>
      </c>
      <c r="B446" t="s">
        <v>327</v>
      </c>
      <c r="C446" t="s">
        <v>576</v>
      </c>
      <c r="D446" t="s">
        <v>595</v>
      </c>
      <c r="E446" s="2">
        <v>336.35899999999998</v>
      </c>
      <c r="F446" s="2">
        <v>0</v>
      </c>
      <c r="G446" s="2">
        <v>55.592666666666602</v>
      </c>
      <c r="H446" s="2">
        <v>-55.407499999999999</v>
      </c>
      <c r="I446" s="1">
        <v>0.99583332094577504</v>
      </c>
      <c r="J446" s="1">
        <v>0.994181811695242</v>
      </c>
      <c r="K446" s="1">
        <v>0.62209407832225505</v>
      </c>
      <c r="L446" s="1">
        <v>0.86792105431876199</v>
      </c>
      <c r="P446" s="1">
        <f>I446-'Passo 2'!I446</f>
        <v>0.20706744876753702</v>
      </c>
      <c r="Q446" s="1">
        <f>J446-'Passo 2'!J446</f>
        <v>6.2376805734349006E-2</v>
      </c>
      <c r="R446" s="8">
        <f t="shared" si="25"/>
        <v>334.95749999999992</v>
      </c>
      <c r="S446" s="8">
        <f t="shared" si="24"/>
        <v>334.40199999999987</v>
      </c>
      <c r="T446" s="1">
        <f t="shared" si="26"/>
        <v>209.24694209039538</v>
      </c>
      <c r="U446" s="1">
        <f t="shared" si="27"/>
        <v>291.93305790960443</v>
      </c>
    </row>
    <row r="447" spans="1:21" x14ac:dyDescent="0.3">
      <c r="A447" t="s">
        <v>292</v>
      </c>
      <c r="B447" t="s">
        <v>328</v>
      </c>
      <c r="C447" t="s">
        <v>576</v>
      </c>
      <c r="D447" t="s">
        <v>595</v>
      </c>
      <c r="E447" s="2">
        <v>192.94800000000001</v>
      </c>
      <c r="F447" s="2">
        <v>0</v>
      </c>
      <c r="G447" s="2">
        <v>10.992333333333301</v>
      </c>
      <c r="H447" s="2">
        <v>-25.261499999999899</v>
      </c>
      <c r="I447" s="1">
        <v>0.67091133362356703</v>
      </c>
      <c r="J447" s="1">
        <v>0.89277162758878004</v>
      </c>
      <c r="K447" s="1">
        <v>0.45512908959192</v>
      </c>
      <c r="L447" s="1">
        <v>0.60855387162042596</v>
      </c>
      <c r="P447" s="1">
        <f>I447-'Passo 2'!I447</f>
        <v>6.1151190994464977E-2</v>
      </c>
      <c r="Q447" s="1">
        <f>J447-'Passo 2'!J447</f>
        <v>1.6996807429980998E-2</v>
      </c>
      <c r="R447" s="8">
        <f t="shared" si="25"/>
        <v>129.45100000000002</v>
      </c>
      <c r="S447" s="8">
        <f t="shared" si="24"/>
        <v>172.25849999999994</v>
      </c>
      <c r="T447" s="1">
        <f t="shared" si="26"/>
        <v>87.81624757858178</v>
      </c>
      <c r="U447" s="1">
        <f t="shared" si="27"/>
        <v>117.41925242141795</v>
      </c>
    </row>
    <row r="448" spans="1:21" x14ac:dyDescent="0.3">
      <c r="A448" t="s">
        <v>292</v>
      </c>
      <c r="B448" t="s">
        <v>329</v>
      </c>
      <c r="C448" t="s">
        <v>576</v>
      </c>
      <c r="D448" t="s">
        <v>595</v>
      </c>
      <c r="E448" s="2">
        <v>224.57400000000001</v>
      </c>
      <c r="F448" s="2">
        <v>0</v>
      </c>
      <c r="G448" s="2">
        <v>36.82</v>
      </c>
      <c r="H448" s="2">
        <v>-37.217500000000001</v>
      </c>
      <c r="I448" s="1">
        <v>0.99186459697026297</v>
      </c>
      <c r="J448" s="1">
        <v>0.997174650671938</v>
      </c>
      <c r="K448" s="1">
        <v>0.69723990124355995</v>
      </c>
      <c r="L448" s="1">
        <v>0.79179934639864202</v>
      </c>
      <c r="P448" s="1">
        <f>I448-'Passo 2'!I448</f>
        <v>0.20676480803654895</v>
      </c>
      <c r="Q448" s="1">
        <f>J448-'Passo 2'!J448</f>
        <v>5.281110012735013E-3</v>
      </c>
      <c r="R448" s="8">
        <f t="shared" si="25"/>
        <v>222.74699999999984</v>
      </c>
      <c r="S448" s="8">
        <f t="shared" si="24"/>
        <v>223.93949999999981</v>
      </c>
      <c r="T448" s="1">
        <f t="shared" si="26"/>
        <v>156.58195358187123</v>
      </c>
      <c r="U448" s="1">
        <f t="shared" si="27"/>
        <v>177.81754641812864</v>
      </c>
    </row>
    <row r="449" spans="1:21" x14ac:dyDescent="0.3">
      <c r="A449" t="s">
        <v>292</v>
      </c>
      <c r="B449" t="s">
        <v>330</v>
      </c>
      <c r="C449" t="s">
        <v>576</v>
      </c>
      <c r="D449" t="s">
        <v>595</v>
      </c>
      <c r="E449" s="2">
        <v>335.33499999999998</v>
      </c>
      <c r="F449" s="2">
        <v>0</v>
      </c>
      <c r="G449" s="2">
        <v>55.863499999999902</v>
      </c>
      <c r="H449" s="2">
        <v>-55.781833333333303</v>
      </c>
      <c r="I449" s="1">
        <v>0.99977037887485598</v>
      </c>
      <c r="J449" s="1">
        <v>0.99903976620394497</v>
      </c>
      <c r="K449" s="1">
        <v>0.65189583481020996</v>
      </c>
      <c r="L449" s="1">
        <v>0.84691431026859099</v>
      </c>
      <c r="P449" s="1">
        <f>I449-'Passo 2'!I449</f>
        <v>0.13052320813514795</v>
      </c>
      <c r="Q449" s="1">
        <f>J449-'Passo 2'!J449</f>
        <v>6.945293512457984E-3</v>
      </c>
      <c r="R449" s="8">
        <f t="shared" si="25"/>
        <v>335.25799999999981</v>
      </c>
      <c r="S449" s="8">
        <f t="shared" si="24"/>
        <v>335.01299999999986</v>
      </c>
      <c r="T449" s="1">
        <f t="shared" si="26"/>
        <v>218.60348976608174</v>
      </c>
      <c r="U449" s="1">
        <f t="shared" si="27"/>
        <v>284.00001023391792</v>
      </c>
    </row>
    <row r="450" spans="1:21" x14ac:dyDescent="0.3">
      <c r="A450" t="s">
        <v>292</v>
      </c>
      <c r="B450" t="s">
        <v>331</v>
      </c>
      <c r="C450" t="s">
        <v>576</v>
      </c>
      <c r="D450" t="s">
        <v>598</v>
      </c>
      <c r="E450" s="2">
        <v>82.944999999999993</v>
      </c>
      <c r="F450" s="2">
        <v>0</v>
      </c>
      <c r="G450" s="2">
        <v>13.4638333333333</v>
      </c>
      <c r="H450" s="2">
        <v>-13.720999999999901</v>
      </c>
      <c r="I450" s="1">
        <v>0.98696726746639296</v>
      </c>
      <c r="J450" s="1">
        <v>0.99626861173066406</v>
      </c>
      <c r="K450" s="1">
        <v>0.907696833345083</v>
      </c>
      <c r="L450" s="1">
        <v>0.57553904585197502</v>
      </c>
      <c r="P450" s="1">
        <f>I450-'Passo 2'!I450</f>
        <v>2.1472059798661958E-2</v>
      </c>
      <c r="Q450" s="1">
        <f>J450-'Passo 2'!J450</f>
        <v>3.7856410874676061E-2</v>
      </c>
      <c r="R450" s="8">
        <f t="shared" si="25"/>
        <v>81.863999999999962</v>
      </c>
      <c r="S450" s="8">
        <f t="shared" ref="S450:S513" si="28">J450*E450</f>
        <v>82.635499999999922</v>
      </c>
      <c r="T450" s="1">
        <f t="shared" si="26"/>
        <v>75.288913841807897</v>
      </c>
      <c r="U450" s="1">
        <f t="shared" si="27"/>
        <v>47.738086158192061</v>
      </c>
    </row>
    <row r="451" spans="1:21" x14ac:dyDescent="0.3">
      <c r="A451" t="s">
        <v>292</v>
      </c>
      <c r="B451" t="s">
        <v>332</v>
      </c>
      <c r="C451" t="s">
        <v>574</v>
      </c>
      <c r="D451" t="s">
        <v>575</v>
      </c>
      <c r="E451" s="2">
        <v>1142.3309999999999</v>
      </c>
      <c r="F451" s="2">
        <v>0</v>
      </c>
      <c r="G451" s="2">
        <v>161.91433333333299</v>
      </c>
      <c r="H451" s="2">
        <v>-189.64750000000001</v>
      </c>
      <c r="I451" s="1">
        <v>0.92522088606542197</v>
      </c>
      <c r="J451" s="1">
        <v>0.99805397910062799</v>
      </c>
      <c r="K451" s="1">
        <v>0.63525779782303304</v>
      </c>
      <c r="L451" s="1">
        <v>0.78801706734301702</v>
      </c>
      <c r="P451" s="1">
        <f>I451-'Passo 2'!I451</f>
        <v>4.6751335646147973E-2</v>
      </c>
      <c r="Q451" s="1">
        <f>J451-'Passo 2'!J451</f>
        <v>0.14334505497968597</v>
      </c>
      <c r="R451" s="8">
        <f t="shared" ref="R451:R514" si="29">I451*E451</f>
        <v>1056.9084999999995</v>
      </c>
      <c r="S451" s="8">
        <f t="shared" si="28"/>
        <v>1140.1079999999993</v>
      </c>
      <c r="T451" s="1">
        <f t="shared" ref="T451:T514" si="30">K451*E451</f>
        <v>725.67467544498311</v>
      </c>
      <c r="U451" s="1">
        <f t="shared" ref="U451:U514" si="31">L451*E451</f>
        <v>900.17632455501587</v>
      </c>
    </row>
    <row r="452" spans="1:21" x14ac:dyDescent="0.3">
      <c r="A452" t="s">
        <v>292</v>
      </c>
      <c r="B452" t="s">
        <v>333</v>
      </c>
      <c r="C452" t="s">
        <v>574</v>
      </c>
      <c r="D452" t="s">
        <v>575</v>
      </c>
      <c r="E452" s="2">
        <v>76.515000000000001</v>
      </c>
      <c r="F452" s="2">
        <v>0</v>
      </c>
      <c r="G452" s="2">
        <v>12.729333333333299</v>
      </c>
      <c r="H452" s="2">
        <v>-12.7316666666666</v>
      </c>
      <c r="I452" s="1">
        <v>0.99909168136966597</v>
      </c>
      <c r="J452" s="1">
        <v>0.99918316669934004</v>
      </c>
      <c r="K452" s="1">
        <v>0.636526875031589</v>
      </c>
      <c r="L452" s="1">
        <v>0.86174797303741602</v>
      </c>
      <c r="P452" s="1">
        <f>I452-'Passo 2'!I452</f>
        <v>1.4376266091697953E-4</v>
      </c>
      <c r="Q452" s="1">
        <f>J452-'Passo 2'!J452</f>
        <v>0</v>
      </c>
      <c r="R452" s="8">
        <f t="shared" si="29"/>
        <v>76.445499999999996</v>
      </c>
      <c r="S452" s="8">
        <f t="shared" si="28"/>
        <v>76.452500000000001</v>
      </c>
      <c r="T452" s="1">
        <f t="shared" si="30"/>
        <v>48.703853843042033</v>
      </c>
      <c r="U452" s="1">
        <f t="shared" si="31"/>
        <v>65.936646156957892</v>
      </c>
    </row>
    <row r="453" spans="1:21" x14ac:dyDescent="0.3">
      <c r="A453" t="s">
        <v>292</v>
      </c>
      <c r="B453" t="s">
        <v>334</v>
      </c>
      <c r="C453" t="s">
        <v>574</v>
      </c>
      <c r="D453" t="s">
        <v>575</v>
      </c>
      <c r="E453" s="2">
        <v>128.464</v>
      </c>
      <c r="F453" s="2">
        <v>0</v>
      </c>
      <c r="G453" s="2">
        <v>20.032499999999999</v>
      </c>
      <c r="H453" s="2">
        <v>-20.658166666666599</v>
      </c>
      <c r="I453" s="1">
        <v>0.96781588616266001</v>
      </c>
      <c r="J453" s="1">
        <v>0.98242698343504797</v>
      </c>
      <c r="K453" s="1">
        <v>0.91150565213187495</v>
      </c>
      <c r="L453" s="1">
        <v>0.53873721746583203</v>
      </c>
      <c r="P453" s="1">
        <f>I453-'Passo 2'!I453</f>
        <v>4.1840515630839903E-3</v>
      </c>
      <c r="Q453" s="1">
        <f>J453-'Passo 2'!J453</f>
        <v>0.13115347490347495</v>
      </c>
      <c r="R453" s="8">
        <f t="shared" si="29"/>
        <v>124.32949999999995</v>
      </c>
      <c r="S453" s="8">
        <f t="shared" si="28"/>
        <v>126.20650000000001</v>
      </c>
      <c r="T453" s="1">
        <f t="shared" si="30"/>
        <v>117.09566209546918</v>
      </c>
      <c r="U453" s="1">
        <f t="shared" si="31"/>
        <v>69.208337904530651</v>
      </c>
    </row>
    <row r="454" spans="1:21" x14ac:dyDescent="0.3">
      <c r="A454" t="s">
        <v>292</v>
      </c>
      <c r="B454" t="s">
        <v>335</v>
      </c>
      <c r="C454" t="s">
        <v>580</v>
      </c>
      <c r="D454" t="s">
        <v>581</v>
      </c>
      <c r="E454" s="2">
        <v>1</v>
      </c>
      <c r="F454" s="2">
        <v>0</v>
      </c>
      <c r="G454" s="2">
        <v>0.16666666666666599</v>
      </c>
      <c r="H454" s="2">
        <v>-0.16666666666666599</v>
      </c>
      <c r="I454" s="1">
        <v>1</v>
      </c>
      <c r="J454" s="1">
        <v>1</v>
      </c>
      <c r="K454" s="1">
        <v>0.98153058252427094</v>
      </c>
      <c r="L454" s="1">
        <v>0.51846941747572795</v>
      </c>
      <c r="P454" s="1">
        <f>I454-'Passo 2'!I454</f>
        <v>0</v>
      </c>
      <c r="Q454" s="1">
        <f>J454-'Passo 2'!J454</f>
        <v>0</v>
      </c>
      <c r="R454" s="8">
        <f t="shared" si="29"/>
        <v>1</v>
      </c>
      <c r="S454" s="8">
        <f t="shared" si="28"/>
        <v>1</v>
      </c>
      <c r="T454" s="1">
        <f t="shared" si="30"/>
        <v>0.98153058252427094</v>
      </c>
      <c r="U454" s="1">
        <f t="shared" si="31"/>
        <v>0.51846941747572795</v>
      </c>
    </row>
    <row r="455" spans="1:21" x14ac:dyDescent="0.3">
      <c r="A455" t="s">
        <v>292</v>
      </c>
      <c r="B455" t="s">
        <v>336</v>
      </c>
      <c r="C455" t="s">
        <v>34</v>
      </c>
      <c r="D455" t="s">
        <v>35</v>
      </c>
      <c r="E455" s="2">
        <v>2488.42</v>
      </c>
      <c r="F455" s="2">
        <v>0</v>
      </c>
      <c r="G455" s="2">
        <v>401.55666666666599</v>
      </c>
      <c r="H455" s="2">
        <v>-402.18883333333298</v>
      </c>
      <c r="I455" s="1">
        <v>0.98411039936988098</v>
      </c>
      <c r="J455" s="1">
        <v>0.98487252955690696</v>
      </c>
      <c r="K455" s="1">
        <v>0.88848672691063502</v>
      </c>
      <c r="L455" s="1">
        <v>0.58049620201615304</v>
      </c>
      <c r="P455" s="1">
        <f>I455-'Passo 2'!I455</f>
        <v>0.24896942638300601</v>
      </c>
      <c r="Q455" s="1">
        <f>J455-'Passo 2'!J455</f>
        <v>0.22981972496604297</v>
      </c>
      <c r="R455" s="8">
        <f t="shared" si="29"/>
        <v>2448.8799999999992</v>
      </c>
      <c r="S455" s="8">
        <f t="shared" si="28"/>
        <v>2450.7764999999986</v>
      </c>
      <c r="T455" s="1">
        <f t="shared" si="30"/>
        <v>2210.9281409789623</v>
      </c>
      <c r="U455" s="1">
        <f t="shared" si="31"/>
        <v>1444.5183590210356</v>
      </c>
    </row>
    <row r="456" spans="1:21" x14ac:dyDescent="0.3">
      <c r="A456" t="s">
        <v>292</v>
      </c>
      <c r="B456" t="s">
        <v>337</v>
      </c>
      <c r="C456" t="s">
        <v>574</v>
      </c>
      <c r="D456" t="s">
        <v>575</v>
      </c>
      <c r="E456" s="2">
        <v>406</v>
      </c>
      <c r="F456" s="2">
        <v>1.224</v>
      </c>
      <c r="G456" s="2">
        <v>37.121499999999997</v>
      </c>
      <c r="H456" s="2">
        <v>-44.9626666666666</v>
      </c>
      <c r="I456" s="1">
        <v>0.77278940886699499</v>
      </c>
      <c r="J456" s="1">
        <v>0.83072906403940805</v>
      </c>
      <c r="K456" s="1">
        <v>0.46460847880498002</v>
      </c>
      <c r="L456" s="1">
        <v>0.64041738326398501</v>
      </c>
      <c r="P456" s="1">
        <f>I456-'Passo 2'!I456</f>
        <v>1.2315270935959743E-3</v>
      </c>
      <c r="Q456" s="1">
        <f>J456-'Passo 2'!J456</f>
        <v>0</v>
      </c>
      <c r="R456" s="8">
        <f t="shared" si="29"/>
        <v>313.75249999999994</v>
      </c>
      <c r="S456" s="8">
        <f t="shared" si="28"/>
        <v>337.27599999999967</v>
      </c>
      <c r="T456" s="1">
        <f t="shared" si="30"/>
        <v>188.63104239482189</v>
      </c>
      <c r="U456" s="1">
        <f t="shared" si="31"/>
        <v>260.00945760517789</v>
      </c>
    </row>
    <row r="457" spans="1:21" x14ac:dyDescent="0.3">
      <c r="A457" t="s">
        <v>292</v>
      </c>
      <c r="B457" t="s">
        <v>338</v>
      </c>
      <c r="C457" t="s">
        <v>576</v>
      </c>
      <c r="D457" t="s">
        <v>591</v>
      </c>
      <c r="E457" s="2">
        <v>172</v>
      </c>
      <c r="F457" s="2">
        <v>0.15</v>
      </c>
      <c r="G457" s="2">
        <v>22.729500000000002</v>
      </c>
      <c r="H457" s="2">
        <v>-23.896166666666598</v>
      </c>
      <c r="I457" s="1">
        <v>0.89600872093023198</v>
      </c>
      <c r="J457" s="1">
        <v>0.91635755813953401</v>
      </c>
      <c r="K457" s="1">
        <v>0.68230827923910597</v>
      </c>
      <c r="L457" s="1">
        <v>0.63049404634228901</v>
      </c>
      <c r="P457" s="1">
        <f>I457-'Passo 2'!I457</f>
        <v>-7.2674418604650182E-3</v>
      </c>
      <c r="Q457" s="1">
        <f>J457-'Passo 2'!J457</f>
        <v>-1.308139534883801E-2</v>
      </c>
      <c r="R457" s="8">
        <f t="shared" si="29"/>
        <v>154.1134999999999</v>
      </c>
      <c r="S457" s="8">
        <f t="shared" si="28"/>
        <v>157.61349999999985</v>
      </c>
      <c r="T457" s="1">
        <f t="shared" si="30"/>
        <v>117.35702402912622</v>
      </c>
      <c r="U457" s="1">
        <f t="shared" si="31"/>
        <v>108.44497597087371</v>
      </c>
    </row>
    <row r="458" spans="1:21" x14ac:dyDescent="0.3">
      <c r="A458" t="s">
        <v>292</v>
      </c>
      <c r="B458" t="s">
        <v>339</v>
      </c>
      <c r="C458" t="s">
        <v>580</v>
      </c>
      <c r="D458" t="s">
        <v>581</v>
      </c>
      <c r="E458" s="2">
        <v>16.82</v>
      </c>
      <c r="F458" s="2">
        <v>3.0000000000000001E-3</v>
      </c>
      <c r="G458" s="2">
        <v>2.6366666666666601</v>
      </c>
      <c r="H458" s="2">
        <v>-2.6366666666666601</v>
      </c>
      <c r="I458" s="1">
        <v>0.97018430439952397</v>
      </c>
      <c r="J458" s="1">
        <v>0.97018430439952397</v>
      </c>
      <c r="K458" s="1">
        <v>0.91511345139281697</v>
      </c>
      <c r="L458" s="1">
        <v>0.52534433695438798</v>
      </c>
      <c r="P458" s="1">
        <f>I458-'Passo 2'!I458</f>
        <v>0</v>
      </c>
      <c r="Q458" s="1">
        <f>J458-'Passo 2'!J458</f>
        <v>0</v>
      </c>
      <c r="R458" s="8">
        <f t="shared" si="29"/>
        <v>16.318499999999993</v>
      </c>
      <c r="S458" s="8">
        <f t="shared" si="28"/>
        <v>16.318499999999993</v>
      </c>
      <c r="T458" s="1">
        <f t="shared" si="30"/>
        <v>15.392208252427181</v>
      </c>
      <c r="U458" s="1">
        <f t="shared" si="31"/>
        <v>8.8362917475728064</v>
      </c>
    </row>
    <row r="459" spans="1:21" x14ac:dyDescent="0.3">
      <c r="A459" t="s">
        <v>292</v>
      </c>
      <c r="B459" t="s">
        <v>340</v>
      </c>
      <c r="C459" t="s">
        <v>574</v>
      </c>
      <c r="D459" t="s">
        <v>575</v>
      </c>
      <c r="E459" s="2">
        <v>108</v>
      </c>
      <c r="F459" s="2">
        <v>7.9000000000000001E-2</v>
      </c>
      <c r="G459" s="2">
        <v>13.475</v>
      </c>
      <c r="H459" s="2">
        <v>-15.8201666666666</v>
      </c>
      <c r="I459" s="1">
        <v>0.87393981481481398</v>
      </c>
      <c r="J459" s="1">
        <v>0.93908333333333305</v>
      </c>
      <c r="K459" s="1">
        <v>0.55181036984597798</v>
      </c>
      <c r="L459" s="1">
        <v>0.76157851904290996</v>
      </c>
      <c r="P459" s="1">
        <f>I459-'Passo 2'!I459</f>
        <v>0</v>
      </c>
      <c r="Q459" s="1">
        <f>J459-'Passo 2'!J459</f>
        <v>0</v>
      </c>
      <c r="R459" s="8">
        <f t="shared" si="29"/>
        <v>94.385499999999908</v>
      </c>
      <c r="S459" s="8">
        <f t="shared" si="28"/>
        <v>101.42099999999996</v>
      </c>
      <c r="T459" s="1">
        <f t="shared" si="30"/>
        <v>59.595519943365623</v>
      </c>
      <c r="U459" s="1">
        <f t="shared" si="31"/>
        <v>82.250480056634274</v>
      </c>
    </row>
    <row r="460" spans="1:21" x14ac:dyDescent="0.3">
      <c r="A460" t="s">
        <v>292</v>
      </c>
      <c r="B460" t="s">
        <v>341</v>
      </c>
      <c r="C460" t="s">
        <v>580</v>
      </c>
      <c r="D460" t="s">
        <v>581</v>
      </c>
      <c r="E460" s="2">
        <v>40</v>
      </c>
      <c r="F460" s="2">
        <v>0</v>
      </c>
      <c r="G460" s="2">
        <v>3.83</v>
      </c>
      <c r="H460" s="2">
        <v>-4.9166666666666599</v>
      </c>
      <c r="I460" s="1">
        <v>0.78725000000000001</v>
      </c>
      <c r="J460" s="1">
        <v>0.86875000000000002</v>
      </c>
      <c r="K460" s="1">
        <v>0.57956509506472398</v>
      </c>
      <c r="L460" s="1">
        <v>0.57643490493527505</v>
      </c>
      <c r="P460" s="1">
        <f>I460-'Passo 2'!I460</f>
        <v>-2.5000000000000022E-2</v>
      </c>
      <c r="Q460" s="1">
        <f>J460-'Passo 2'!J460</f>
        <v>2.5000000000000022E-2</v>
      </c>
      <c r="R460" s="8">
        <f t="shared" si="29"/>
        <v>31.490000000000002</v>
      </c>
      <c r="S460" s="8">
        <f t="shared" si="28"/>
        <v>34.75</v>
      </c>
      <c r="T460" s="1">
        <f t="shared" si="30"/>
        <v>23.182603802588957</v>
      </c>
      <c r="U460" s="1">
        <f t="shared" si="31"/>
        <v>23.057396197411002</v>
      </c>
    </row>
    <row r="461" spans="1:21" x14ac:dyDescent="0.3">
      <c r="A461" t="s">
        <v>292</v>
      </c>
      <c r="B461" t="s">
        <v>342</v>
      </c>
      <c r="C461" t="s">
        <v>34</v>
      </c>
      <c r="D461" t="s">
        <v>35</v>
      </c>
      <c r="E461" s="2">
        <v>2556.5810000000001</v>
      </c>
      <c r="F461" s="2">
        <v>0</v>
      </c>
      <c r="G461" s="2">
        <v>416.67516666666597</v>
      </c>
      <c r="H461" s="2">
        <v>-402.36683333333298</v>
      </c>
      <c r="I461" s="1">
        <v>0.988944218861049</v>
      </c>
      <c r="J461" s="1">
        <v>0.97215421690140003</v>
      </c>
      <c r="K461" s="1">
        <v>0.89943588602338997</v>
      </c>
      <c r="L461" s="1">
        <v>0.56166254973905905</v>
      </c>
      <c r="P461" s="1">
        <f>I461-'Passo 2'!I461</f>
        <v>0.25832664797242899</v>
      </c>
      <c r="Q461" s="1">
        <f>J461-'Passo 2'!J461</f>
        <v>0.22230490643558698</v>
      </c>
      <c r="R461" s="8">
        <f t="shared" si="29"/>
        <v>2528.3159999999998</v>
      </c>
      <c r="S461" s="8">
        <f t="shared" si="28"/>
        <v>2485.3909999999983</v>
      </c>
      <c r="T461" s="1">
        <f t="shared" si="30"/>
        <v>2299.4806969255646</v>
      </c>
      <c r="U461" s="1">
        <f t="shared" si="31"/>
        <v>1435.9358030744334</v>
      </c>
    </row>
    <row r="462" spans="1:21" x14ac:dyDescent="0.3">
      <c r="A462" t="s">
        <v>292</v>
      </c>
      <c r="B462" t="s">
        <v>343</v>
      </c>
      <c r="C462" t="s">
        <v>574</v>
      </c>
      <c r="D462" t="s">
        <v>575</v>
      </c>
      <c r="E462" s="2">
        <v>407</v>
      </c>
      <c r="F462" s="2">
        <v>6.2050000000000001</v>
      </c>
      <c r="G462" s="2">
        <v>43.799166666666601</v>
      </c>
      <c r="H462" s="2">
        <v>-41.049166666666601</v>
      </c>
      <c r="I462" s="1">
        <v>0.81522113022112996</v>
      </c>
      <c r="J462" s="1">
        <v>0.79495085995086001</v>
      </c>
      <c r="K462" s="1">
        <v>0.55091067305169195</v>
      </c>
      <c r="L462" s="1">
        <v>0.56688416724314705</v>
      </c>
      <c r="P462" s="1">
        <f>I462-'Passo 2'!I462</f>
        <v>-2.4570024570020887E-3</v>
      </c>
      <c r="Q462" s="1">
        <f>J462-'Passo 2'!J462</f>
        <v>0</v>
      </c>
      <c r="R462" s="8">
        <f t="shared" si="29"/>
        <v>331.7949999999999</v>
      </c>
      <c r="S462" s="8">
        <f t="shared" si="28"/>
        <v>323.54500000000002</v>
      </c>
      <c r="T462" s="1">
        <f t="shared" si="30"/>
        <v>224.22064393203863</v>
      </c>
      <c r="U462" s="1">
        <f t="shared" si="31"/>
        <v>230.72185606796086</v>
      </c>
    </row>
    <row r="463" spans="1:21" x14ac:dyDescent="0.3">
      <c r="A463" t="s">
        <v>292</v>
      </c>
      <c r="B463" t="s">
        <v>344</v>
      </c>
      <c r="C463" t="s">
        <v>576</v>
      </c>
      <c r="D463" t="s">
        <v>591</v>
      </c>
      <c r="E463" s="2">
        <v>23</v>
      </c>
      <c r="F463" s="2">
        <v>0.01</v>
      </c>
      <c r="G463" s="2">
        <v>2.3316666666666599</v>
      </c>
      <c r="H463" s="2">
        <v>-1.99833333333333</v>
      </c>
      <c r="I463" s="1">
        <v>0.80391304347825998</v>
      </c>
      <c r="J463" s="1">
        <v>0.76043478260869501</v>
      </c>
      <c r="K463" s="1">
        <v>0.58858604017166105</v>
      </c>
      <c r="L463" s="1">
        <v>0.475979177219642</v>
      </c>
      <c r="P463" s="1">
        <f>I463-'Passo 2'!I463</f>
        <v>2.1739130434781928E-2</v>
      </c>
      <c r="Q463" s="1">
        <f>J463-'Passo 2'!J463</f>
        <v>0</v>
      </c>
      <c r="R463" s="8">
        <f t="shared" si="29"/>
        <v>18.489999999999981</v>
      </c>
      <c r="S463" s="8">
        <f t="shared" si="28"/>
        <v>17.489999999999984</v>
      </c>
      <c r="T463" s="1">
        <f t="shared" si="30"/>
        <v>13.537478923948203</v>
      </c>
      <c r="U463" s="1">
        <f t="shared" si="31"/>
        <v>10.947521076051766</v>
      </c>
    </row>
    <row r="464" spans="1:21" x14ac:dyDescent="0.3">
      <c r="A464" t="s">
        <v>292</v>
      </c>
      <c r="B464" t="s">
        <v>345</v>
      </c>
      <c r="C464" t="s">
        <v>574</v>
      </c>
      <c r="D464" t="s">
        <v>575</v>
      </c>
      <c r="E464" s="2">
        <v>34</v>
      </c>
      <c r="F464" s="2">
        <v>1.6E-2</v>
      </c>
      <c r="G464" s="2">
        <v>3.452</v>
      </c>
      <c r="H464" s="2">
        <v>-3.452</v>
      </c>
      <c r="I464" s="1">
        <v>0.80435294117647005</v>
      </c>
      <c r="J464" s="1">
        <v>0.80435294117647005</v>
      </c>
      <c r="K464" s="1">
        <v>0.58080353488482706</v>
      </c>
      <c r="L464" s="1">
        <v>0.52813764158576004</v>
      </c>
      <c r="P464" s="1">
        <f>I464-'Passo 2'!I464</f>
        <v>0</v>
      </c>
      <c r="Q464" s="1">
        <f>J464-'Passo 2'!J464</f>
        <v>0</v>
      </c>
      <c r="R464" s="8">
        <f t="shared" si="29"/>
        <v>27.347999999999981</v>
      </c>
      <c r="S464" s="8">
        <f t="shared" si="28"/>
        <v>27.347999999999981</v>
      </c>
      <c r="T464" s="1">
        <f t="shared" si="30"/>
        <v>19.747320186084121</v>
      </c>
      <c r="U464" s="1">
        <f t="shared" si="31"/>
        <v>17.956679813915841</v>
      </c>
    </row>
    <row r="465" spans="1:21" x14ac:dyDescent="0.3">
      <c r="A465" t="s">
        <v>292</v>
      </c>
      <c r="B465" t="s">
        <v>346</v>
      </c>
      <c r="C465" t="s">
        <v>580</v>
      </c>
      <c r="D465" t="s">
        <v>581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P465" s="1">
        <f>I465-'Passo 2'!I465</f>
        <v>0</v>
      </c>
      <c r="Q465" s="1">
        <f>J465-'Passo 2'!J465</f>
        <v>0</v>
      </c>
      <c r="R465" s="8">
        <f t="shared" si="29"/>
        <v>0</v>
      </c>
      <c r="S465" s="8">
        <f t="shared" si="28"/>
        <v>0</v>
      </c>
      <c r="T465" s="1">
        <f t="shared" si="30"/>
        <v>0</v>
      </c>
      <c r="U465" s="1">
        <f t="shared" si="31"/>
        <v>0</v>
      </c>
    </row>
    <row r="466" spans="1:21" x14ac:dyDescent="0.3">
      <c r="A466" t="s">
        <v>292</v>
      </c>
      <c r="B466" t="s">
        <v>347</v>
      </c>
      <c r="C466" t="s">
        <v>34</v>
      </c>
      <c r="D466" t="s">
        <v>35</v>
      </c>
      <c r="E466" s="2">
        <v>3</v>
      </c>
      <c r="F466" s="2">
        <v>0</v>
      </c>
      <c r="G466" s="2">
        <v>0.5</v>
      </c>
      <c r="H466" s="2">
        <v>-0.33333333333333298</v>
      </c>
      <c r="I466" s="1">
        <v>1</v>
      </c>
      <c r="J466" s="1">
        <v>0.83333333333333304</v>
      </c>
      <c r="K466" s="1">
        <v>0.81837075242718404</v>
      </c>
      <c r="L466" s="1">
        <v>0.51496258090614799</v>
      </c>
      <c r="P466" s="1">
        <f>I466-'Passo 2'!I466</f>
        <v>0</v>
      </c>
      <c r="Q466" s="1">
        <f>J466-'Passo 2'!J466</f>
        <v>-0.16666666666666696</v>
      </c>
      <c r="R466" s="8">
        <f t="shared" si="29"/>
        <v>3</v>
      </c>
      <c r="S466" s="8">
        <f t="shared" si="28"/>
        <v>2.4999999999999991</v>
      </c>
      <c r="T466" s="1">
        <f t="shared" si="30"/>
        <v>2.4551122572815522</v>
      </c>
      <c r="U466" s="1">
        <f t="shared" si="31"/>
        <v>1.544887742718444</v>
      </c>
    </row>
    <row r="467" spans="1:21" x14ac:dyDescent="0.3">
      <c r="A467" t="s">
        <v>292</v>
      </c>
      <c r="B467" t="s">
        <v>348</v>
      </c>
      <c r="C467" t="s">
        <v>34</v>
      </c>
      <c r="D467" t="s">
        <v>35</v>
      </c>
      <c r="E467" s="2">
        <v>1126.22</v>
      </c>
      <c r="F467" s="2">
        <v>0</v>
      </c>
      <c r="G467" s="2">
        <v>183.50833333333301</v>
      </c>
      <c r="H467" s="2">
        <v>-180.49449999999999</v>
      </c>
      <c r="I467" s="1">
        <v>0.98882545151036205</v>
      </c>
      <c r="J467" s="1">
        <v>0.98079726873967699</v>
      </c>
      <c r="K467" s="1">
        <v>0.89161259308783203</v>
      </c>
      <c r="L467" s="1">
        <v>0.57801012716220701</v>
      </c>
      <c r="P467" s="1">
        <f>I467-'Passo 2'!I467</f>
        <v>0.25743904388130201</v>
      </c>
      <c r="Q467" s="1">
        <f>J467-'Passo 2'!J467</f>
        <v>0.15806725151391299</v>
      </c>
      <c r="R467" s="8">
        <f t="shared" si="29"/>
        <v>1113.635</v>
      </c>
      <c r="S467" s="8">
        <f t="shared" si="28"/>
        <v>1104.593499999999</v>
      </c>
      <c r="T467" s="1">
        <f t="shared" si="30"/>
        <v>1004.1519345873783</v>
      </c>
      <c r="U467" s="1">
        <f t="shared" si="31"/>
        <v>650.96656541262075</v>
      </c>
    </row>
    <row r="468" spans="1:21" x14ac:dyDescent="0.3">
      <c r="A468" t="s">
        <v>292</v>
      </c>
      <c r="B468" t="s">
        <v>349</v>
      </c>
      <c r="C468" t="s">
        <v>574</v>
      </c>
      <c r="D468" t="s">
        <v>575</v>
      </c>
      <c r="E468" s="2">
        <v>618</v>
      </c>
      <c r="F468" s="2">
        <v>8.3940000000000001</v>
      </c>
      <c r="G468" s="2">
        <v>58.017666666666599</v>
      </c>
      <c r="H468" s="2">
        <v>-79.100999999999999</v>
      </c>
      <c r="I468" s="1">
        <v>0.77484789644012897</v>
      </c>
      <c r="J468" s="1">
        <v>0.87719417475728101</v>
      </c>
      <c r="K468" s="1">
        <v>0.49224901047066899</v>
      </c>
      <c r="L468" s="1">
        <v>0.666584322862663</v>
      </c>
      <c r="P468" s="1">
        <f>I468-'Passo 2'!I468</f>
        <v>-2.0226537216829765E-3</v>
      </c>
      <c r="Q468" s="1">
        <f>J468-'Passo 2'!J468</f>
        <v>8.0906148867299077E-4</v>
      </c>
      <c r="R468" s="8">
        <f t="shared" si="29"/>
        <v>478.85599999999971</v>
      </c>
      <c r="S468" s="8">
        <f t="shared" si="28"/>
        <v>542.10599999999965</v>
      </c>
      <c r="T468" s="1">
        <f t="shared" si="30"/>
        <v>304.20988847087341</v>
      </c>
      <c r="U468" s="1">
        <f t="shared" si="31"/>
        <v>411.94911152912573</v>
      </c>
    </row>
    <row r="469" spans="1:21" x14ac:dyDescent="0.3">
      <c r="A469" t="s">
        <v>292</v>
      </c>
      <c r="B469" t="s">
        <v>350</v>
      </c>
      <c r="C469" t="s">
        <v>576</v>
      </c>
      <c r="D469" t="s">
        <v>591</v>
      </c>
      <c r="E469" s="2">
        <v>28</v>
      </c>
      <c r="F469" s="2">
        <v>0</v>
      </c>
      <c r="G469" s="2">
        <v>3</v>
      </c>
      <c r="H469" s="2">
        <v>-1.6666666666666601</v>
      </c>
      <c r="I469" s="1">
        <v>0.82142857142857095</v>
      </c>
      <c r="J469" s="1">
        <v>0.67857142857142805</v>
      </c>
      <c r="K469" s="1">
        <v>0.65669827207581999</v>
      </c>
      <c r="L469" s="1">
        <v>0.34330172792417901</v>
      </c>
      <c r="P469" s="1">
        <f>I469-'Passo 2'!I469</f>
        <v>0</v>
      </c>
      <c r="Q469" s="1">
        <f>J469-'Passo 2'!J469</f>
        <v>0</v>
      </c>
      <c r="R469" s="8">
        <f t="shared" si="29"/>
        <v>22.999999999999986</v>
      </c>
      <c r="S469" s="8">
        <f t="shared" si="28"/>
        <v>18.999999999999986</v>
      </c>
      <c r="T469" s="1">
        <f t="shared" si="30"/>
        <v>18.387551618122959</v>
      </c>
      <c r="U469" s="1">
        <f t="shared" si="31"/>
        <v>9.6124483818770123</v>
      </c>
    </row>
    <row r="470" spans="1:21" x14ac:dyDescent="0.3">
      <c r="A470" t="s">
        <v>292</v>
      </c>
      <c r="B470" t="s">
        <v>351</v>
      </c>
      <c r="C470" t="s">
        <v>576</v>
      </c>
      <c r="D470" t="s">
        <v>595</v>
      </c>
      <c r="E470" s="2">
        <v>347.46899999999999</v>
      </c>
      <c r="F470" s="2">
        <v>0</v>
      </c>
      <c r="G470" s="2">
        <v>57.699166666666599</v>
      </c>
      <c r="H470" s="2">
        <v>-57.5223333333333</v>
      </c>
      <c r="I470" s="1">
        <v>0.99816674293246299</v>
      </c>
      <c r="J470" s="1">
        <v>0.99663998802770903</v>
      </c>
      <c r="K470" s="1">
        <v>0.66279389818863998</v>
      </c>
      <c r="L470" s="1">
        <v>0.83201283277153104</v>
      </c>
      <c r="P470" s="1">
        <f>I470-'Passo 2'!I470</f>
        <v>0.27509936138187896</v>
      </c>
      <c r="Q470" s="1">
        <f>J470-'Passo 2'!J470</f>
        <v>7.2380557690099323E-4</v>
      </c>
      <c r="R470" s="8">
        <f t="shared" si="29"/>
        <v>346.83199999999999</v>
      </c>
      <c r="S470" s="8">
        <f t="shared" si="28"/>
        <v>346.30150000000003</v>
      </c>
      <c r="T470" s="1">
        <f t="shared" si="30"/>
        <v>230.30033300970854</v>
      </c>
      <c r="U470" s="1">
        <f t="shared" si="31"/>
        <v>289.09866699029112</v>
      </c>
    </row>
    <row r="471" spans="1:21" x14ac:dyDescent="0.3">
      <c r="A471" t="s">
        <v>292</v>
      </c>
      <c r="B471" t="s">
        <v>352</v>
      </c>
      <c r="C471" t="s">
        <v>574</v>
      </c>
      <c r="D471" t="s">
        <v>575</v>
      </c>
      <c r="E471" s="2">
        <v>226.97800000000001</v>
      </c>
      <c r="F471" s="2">
        <v>0</v>
      </c>
      <c r="G471" s="2">
        <v>37.814999999999998</v>
      </c>
      <c r="H471" s="2">
        <v>-37.692500000000003</v>
      </c>
      <c r="I471" s="1">
        <v>0.99980614861352202</v>
      </c>
      <c r="J471" s="1">
        <v>0.99818704896509802</v>
      </c>
      <c r="K471" s="1">
        <v>0.66144410770916795</v>
      </c>
      <c r="L471" s="1">
        <v>0.83654908986945098</v>
      </c>
      <c r="P471" s="1">
        <f>I471-'Passo 2'!I471</f>
        <v>0</v>
      </c>
      <c r="Q471" s="1">
        <f>J471-'Passo 2'!J471</f>
        <v>1.9583395747609922E-3</v>
      </c>
      <c r="R471" s="8">
        <f t="shared" si="29"/>
        <v>226.934</v>
      </c>
      <c r="S471" s="8">
        <f t="shared" si="28"/>
        <v>226.56650000000002</v>
      </c>
      <c r="T471" s="1">
        <f t="shared" si="30"/>
        <v>150.13326067961154</v>
      </c>
      <c r="U471" s="1">
        <f t="shared" si="31"/>
        <v>189.87823932038825</v>
      </c>
    </row>
    <row r="472" spans="1:21" x14ac:dyDescent="0.3">
      <c r="A472" t="s">
        <v>292</v>
      </c>
      <c r="B472" t="s">
        <v>353</v>
      </c>
      <c r="C472" t="s">
        <v>574</v>
      </c>
      <c r="D472" t="s">
        <v>575</v>
      </c>
      <c r="E472" s="2">
        <v>158.75200000000001</v>
      </c>
      <c r="F472" s="2">
        <v>0</v>
      </c>
      <c r="G472" s="2">
        <v>26.082166666666598</v>
      </c>
      <c r="H472" s="2">
        <v>-25.929500000000001</v>
      </c>
      <c r="I472" s="1">
        <v>0.99288512900624804</v>
      </c>
      <c r="J472" s="1">
        <v>0.99000012598266396</v>
      </c>
      <c r="K472" s="1">
        <v>0.71197998922338501</v>
      </c>
      <c r="L472" s="1">
        <v>0.77090526576552698</v>
      </c>
      <c r="P472" s="1">
        <f>I472-'Passo 2'!I472</f>
        <v>6.7085768998198514E-4</v>
      </c>
      <c r="Q472" s="1">
        <f>J472-'Passo 2'!J472</f>
        <v>1.7322616407899893E-4</v>
      </c>
      <c r="R472" s="8">
        <f t="shared" si="29"/>
        <v>157.62249999999989</v>
      </c>
      <c r="S472" s="8">
        <f t="shared" si="28"/>
        <v>157.16449999999989</v>
      </c>
      <c r="T472" s="1">
        <f t="shared" si="30"/>
        <v>113.02824724919083</v>
      </c>
      <c r="U472" s="1">
        <f t="shared" si="31"/>
        <v>122.38275275080895</v>
      </c>
    </row>
    <row r="473" spans="1:21" x14ac:dyDescent="0.3">
      <c r="A473" t="s">
        <v>292</v>
      </c>
      <c r="B473" t="s">
        <v>719</v>
      </c>
      <c r="C473" t="s">
        <v>574</v>
      </c>
      <c r="D473" t="s">
        <v>575</v>
      </c>
      <c r="E473" s="2">
        <v>77.637</v>
      </c>
      <c r="F473" s="2">
        <v>0</v>
      </c>
      <c r="G473" s="2">
        <v>12.853166666666599</v>
      </c>
      <c r="H473" s="2">
        <v>-12.869</v>
      </c>
      <c r="I473" s="1">
        <v>0.99666396177080496</v>
      </c>
      <c r="J473" s="1">
        <v>0.997275783453765</v>
      </c>
      <c r="K473" s="1">
        <v>0.73020176401394699</v>
      </c>
      <c r="L473" s="1">
        <v>0.76373798121062297</v>
      </c>
      <c r="P473" s="1">
        <f>I473-'Passo 2'!I473</f>
        <v>1.9513891572319197E-3</v>
      </c>
      <c r="Q473" s="1">
        <f>J473-'Passo 2'!J473</f>
        <v>5.6609606244449884E-3</v>
      </c>
      <c r="R473" s="8">
        <f t="shared" si="29"/>
        <v>77.377999999999986</v>
      </c>
      <c r="S473" s="8">
        <f t="shared" si="28"/>
        <v>77.425499999999957</v>
      </c>
      <c r="T473" s="1">
        <f t="shared" si="30"/>
        <v>56.690674352750804</v>
      </c>
      <c r="U473" s="1">
        <f t="shared" si="31"/>
        <v>59.294325647249138</v>
      </c>
    </row>
    <row r="474" spans="1:21" x14ac:dyDescent="0.3">
      <c r="A474" t="s">
        <v>292</v>
      </c>
      <c r="B474" t="s">
        <v>720</v>
      </c>
      <c r="C474" t="s">
        <v>574</v>
      </c>
      <c r="D474" t="s">
        <v>575</v>
      </c>
      <c r="E474" s="2">
        <v>0</v>
      </c>
      <c r="F474" s="2">
        <v>0</v>
      </c>
      <c r="G474" s="2">
        <v>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P474" s="1">
        <f>I474-'Passo 2'!I474</f>
        <v>0</v>
      </c>
      <c r="Q474" s="1">
        <f>J474-'Passo 2'!J474</f>
        <v>0</v>
      </c>
      <c r="R474" s="8">
        <f t="shared" si="29"/>
        <v>0</v>
      </c>
      <c r="S474" s="8">
        <f t="shared" si="28"/>
        <v>0</v>
      </c>
      <c r="T474" s="1">
        <f t="shared" si="30"/>
        <v>0</v>
      </c>
      <c r="U474" s="1">
        <f t="shared" si="31"/>
        <v>0</v>
      </c>
    </row>
    <row r="475" spans="1:21" x14ac:dyDescent="0.3">
      <c r="A475" t="s">
        <v>292</v>
      </c>
      <c r="B475" t="s">
        <v>354</v>
      </c>
      <c r="C475" t="s">
        <v>576</v>
      </c>
      <c r="D475" t="s">
        <v>598</v>
      </c>
      <c r="E475" s="2">
        <v>0</v>
      </c>
      <c r="F475" s="2">
        <v>0</v>
      </c>
      <c r="G475" s="2">
        <v>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P475" s="1">
        <f>I475-'Passo 2'!I475</f>
        <v>0</v>
      </c>
      <c r="Q475" s="1">
        <f>J475-'Passo 2'!J475</f>
        <v>0</v>
      </c>
      <c r="R475" s="8">
        <f t="shared" si="29"/>
        <v>0</v>
      </c>
      <c r="S475" s="8">
        <f t="shared" si="28"/>
        <v>0</v>
      </c>
      <c r="T475" s="1">
        <f t="shared" si="30"/>
        <v>0</v>
      </c>
      <c r="U475" s="1">
        <f t="shared" si="31"/>
        <v>0</v>
      </c>
    </row>
    <row r="476" spans="1:21" x14ac:dyDescent="0.3">
      <c r="A476" t="s">
        <v>292</v>
      </c>
      <c r="B476" t="s">
        <v>355</v>
      </c>
      <c r="C476" t="s">
        <v>574</v>
      </c>
      <c r="D476" t="s">
        <v>575</v>
      </c>
      <c r="E476" s="2">
        <v>122.598</v>
      </c>
      <c r="F476" s="2">
        <v>0</v>
      </c>
      <c r="G476" s="2">
        <v>20.382999999999999</v>
      </c>
      <c r="H476" s="2">
        <v>-20.433</v>
      </c>
      <c r="I476" s="1">
        <v>0.99877648901287097</v>
      </c>
      <c r="J476" s="1">
        <v>1</v>
      </c>
      <c r="K476" s="1">
        <v>0.70037326522112298</v>
      </c>
      <c r="L476" s="1">
        <v>0.798403223791748</v>
      </c>
      <c r="P476" s="1">
        <f>I476-'Passo 2'!I476</f>
        <v>1.9576175794100426E-4</v>
      </c>
      <c r="Q476" s="1">
        <f>J476-'Passo 2'!J476</f>
        <v>0</v>
      </c>
      <c r="R476" s="8">
        <f t="shared" si="29"/>
        <v>122.44799999999995</v>
      </c>
      <c r="S476" s="8">
        <f t="shared" si="28"/>
        <v>122.598</v>
      </c>
      <c r="T476" s="1">
        <f t="shared" si="30"/>
        <v>85.864361569579231</v>
      </c>
      <c r="U476" s="1">
        <f t="shared" si="31"/>
        <v>97.882638430420727</v>
      </c>
    </row>
    <row r="477" spans="1:21" x14ac:dyDescent="0.3">
      <c r="A477" t="s">
        <v>292</v>
      </c>
      <c r="B477" t="s">
        <v>721</v>
      </c>
      <c r="C477" t="s">
        <v>574</v>
      </c>
      <c r="D477" t="s">
        <v>575</v>
      </c>
      <c r="E477" s="2">
        <v>1099.386</v>
      </c>
      <c r="F477" s="2">
        <v>0</v>
      </c>
      <c r="G477" s="2">
        <v>168.41099999999901</v>
      </c>
      <c r="H477" s="2">
        <v>-153.71066666666599</v>
      </c>
      <c r="I477" s="1">
        <v>0.95955924488760003</v>
      </c>
      <c r="J477" s="1">
        <v>0.91944503568355396</v>
      </c>
      <c r="K477" s="1">
        <v>0.66996764955068699</v>
      </c>
      <c r="L477" s="1">
        <v>0.70903663102046699</v>
      </c>
      <c r="P477" s="1">
        <f>I477-'Passo 2'!I477</f>
        <v>7.7857549577672991E-2</v>
      </c>
      <c r="Q477" s="1">
        <f>J477-'Passo 2'!J477</f>
        <v>6.8143036203844987E-2</v>
      </c>
      <c r="R477" s="8">
        <f t="shared" si="29"/>
        <v>1054.925999999999</v>
      </c>
      <c r="S477" s="8">
        <f t="shared" si="28"/>
        <v>1010.8249999999996</v>
      </c>
      <c r="T477" s="1">
        <f t="shared" si="30"/>
        <v>736.5530543689315</v>
      </c>
      <c r="U477" s="1">
        <f t="shared" si="31"/>
        <v>779.50494563106713</v>
      </c>
    </row>
    <row r="478" spans="1:21" x14ac:dyDescent="0.3">
      <c r="A478" t="s">
        <v>292</v>
      </c>
      <c r="B478" t="s">
        <v>722</v>
      </c>
      <c r="C478" t="s">
        <v>574</v>
      </c>
      <c r="D478" t="s">
        <v>575</v>
      </c>
      <c r="E478" s="2">
        <v>192.047</v>
      </c>
      <c r="F478" s="2">
        <v>0</v>
      </c>
      <c r="G478" s="2">
        <v>31.885833333333299</v>
      </c>
      <c r="H478" s="2">
        <v>-31.938666666666599</v>
      </c>
      <c r="I478" s="1">
        <v>0.99809421651991403</v>
      </c>
      <c r="J478" s="1">
        <v>0.998919535322082</v>
      </c>
      <c r="K478" s="1">
        <v>0.67803159106497701</v>
      </c>
      <c r="L478" s="1">
        <v>0.81898216077701902</v>
      </c>
      <c r="P478" s="1">
        <f>I478-'Passo 2'!I478</f>
        <v>1.9526470082797953E-4</v>
      </c>
      <c r="Q478" s="1">
        <f>J478-'Passo 2'!J478</f>
        <v>1.7573823074560346E-3</v>
      </c>
      <c r="R478" s="8">
        <f t="shared" si="29"/>
        <v>191.68099999999993</v>
      </c>
      <c r="S478" s="8">
        <f t="shared" si="28"/>
        <v>191.83949999999987</v>
      </c>
      <c r="T478" s="1">
        <f t="shared" si="30"/>
        <v>130.21393296925564</v>
      </c>
      <c r="U478" s="1">
        <f t="shared" si="31"/>
        <v>157.28306703074418</v>
      </c>
    </row>
    <row r="479" spans="1:21" x14ac:dyDescent="0.3">
      <c r="A479" t="s">
        <v>292</v>
      </c>
      <c r="B479" t="s">
        <v>356</v>
      </c>
      <c r="C479" t="s">
        <v>574</v>
      </c>
      <c r="D479" t="s">
        <v>575</v>
      </c>
      <c r="E479" s="2">
        <v>1421.5260000000001</v>
      </c>
      <c r="F479" s="2">
        <v>0</v>
      </c>
      <c r="G479" s="2">
        <v>236.47799999999901</v>
      </c>
      <c r="H479" s="2">
        <v>-236.56299999999999</v>
      </c>
      <c r="I479" s="1">
        <v>0.99906508920695003</v>
      </c>
      <c r="J479" s="1">
        <v>0.99924447389636195</v>
      </c>
      <c r="K479" s="1">
        <v>0.68778683334660795</v>
      </c>
      <c r="L479" s="1">
        <v>0.81052272975670403</v>
      </c>
      <c r="P479" s="1">
        <f>I479-'Passo 2'!I479</f>
        <v>3.1618486049499017E-2</v>
      </c>
      <c r="Q479" s="1">
        <f>J479-'Passo 2'!J479</f>
        <v>2.3217303095405928E-2</v>
      </c>
      <c r="R479" s="8">
        <f t="shared" si="29"/>
        <v>1420.196999999999</v>
      </c>
      <c r="S479" s="8">
        <f t="shared" si="28"/>
        <v>1420.452</v>
      </c>
      <c r="T479" s="1">
        <f t="shared" si="30"/>
        <v>977.70686605987021</v>
      </c>
      <c r="U479" s="1">
        <f t="shared" si="31"/>
        <v>1152.1791339401284</v>
      </c>
    </row>
    <row r="480" spans="1:21" x14ac:dyDescent="0.3">
      <c r="A480" t="s">
        <v>292</v>
      </c>
      <c r="B480" t="s">
        <v>357</v>
      </c>
      <c r="C480" t="s">
        <v>574</v>
      </c>
      <c r="D480" t="s">
        <v>575</v>
      </c>
      <c r="E480" s="2">
        <v>121.19</v>
      </c>
      <c r="F480" s="2">
        <v>0</v>
      </c>
      <c r="G480" s="2">
        <v>20.184333333333299</v>
      </c>
      <c r="H480" s="2">
        <v>-20.141999999999999</v>
      </c>
      <c r="I480" s="1">
        <v>0.99965343675220697</v>
      </c>
      <c r="J480" s="1">
        <v>0.99860549550292899</v>
      </c>
      <c r="K480" s="1">
        <v>0.74406670761710103</v>
      </c>
      <c r="L480" s="1">
        <v>0.75419222463803504</v>
      </c>
      <c r="P480" s="1">
        <f>I480-'Passo 2'!I480</f>
        <v>1.7328162389695922E-4</v>
      </c>
      <c r="Q480" s="1">
        <f>J480-'Passo 2'!J480</f>
        <v>2.764254476439465E-4</v>
      </c>
      <c r="R480" s="8">
        <f t="shared" si="29"/>
        <v>121.14799999999995</v>
      </c>
      <c r="S480" s="8">
        <f t="shared" si="28"/>
        <v>121.02099999999996</v>
      </c>
      <c r="T480" s="1">
        <f t="shared" si="30"/>
        <v>90.173444296116472</v>
      </c>
      <c r="U480" s="1">
        <f t="shared" si="31"/>
        <v>91.40055570388347</v>
      </c>
    </row>
    <row r="481" spans="1:21" x14ac:dyDescent="0.3">
      <c r="A481" t="s">
        <v>292</v>
      </c>
      <c r="B481" t="s">
        <v>723</v>
      </c>
      <c r="C481" t="s">
        <v>574</v>
      </c>
      <c r="D481" t="s">
        <v>575</v>
      </c>
      <c r="E481" s="2">
        <v>50.994</v>
      </c>
      <c r="F481" s="2">
        <v>0</v>
      </c>
      <c r="G481" s="2">
        <v>8.4154999999999998</v>
      </c>
      <c r="H481" s="2">
        <v>-8.4086666666666599</v>
      </c>
      <c r="I481" s="1">
        <v>0.99508765737145499</v>
      </c>
      <c r="J481" s="1">
        <v>0.99468564929207304</v>
      </c>
      <c r="K481" s="1">
        <v>0.83615464999604405</v>
      </c>
      <c r="L481" s="1">
        <v>0.65361865666748398</v>
      </c>
      <c r="P481" s="1">
        <f>I481-'Passo 2'!I481</f>
        <v>3.3827509118720123E-3</v>
      </c>
      <c r="Q481" s="1">
        <f>J481-'Passo 2'!J481</f>
        <v>2.4218535513980122E-3</v>
      </c>
      <c r="R481" s="8">
        <f t="shared" si="29"/>
        <v>50.743499999999976</v>
      </c>
      <c r="S481" s="8">
        <f t="shared" si="28"/>
        <v>50.722999999999971</v>
      </c>
      <c r="T481" s="1">
        <f t="shared" si="30"/>
        <v>42.638870221898273</v>
      </c>
      <c r="U481" s="1">
        <f t="shared" si="31"/>
        <v>33.330629778101681</v>
      </c>
    </row>
    <row r="482" spans="1:21" x14ac:dyDescent="0.3">
      <c r="A482" t="s">
        <v>292</v>
      </c>
      <c r="B482" t="s">
        <v>724</v>
      </c>
      <c r="C482" t="s">
        <v>574</v>
      </c>
      <c r="D482" t="s">
        <v>575</v>
      </c>
      <c r="E482" s="2">
        <v>142.078</v>
      </c>
      <c r="F482" s="2">
        <v>0</v>
      </c>
      <c r="G482" s="2">
        <v>23.417000000000002</v>
      </c>
      <c r="H482" s="2">
        <v>-23.423833333333299</v>
      </c>
      <c r="I482" s="1">
        <v>0.99445375075662601</v>
      </c>
      <c r="J482" s="1">
        <v>0.99459803769760202</v>
      </c>
      <c r="K482" s="1">
        <v>0.67700268115863704</v>
      </c>
      <c r="L482" s="1">
        <v>0.81204910729559099</v>
      </c>
      <c r="P482" s="1">
        <f>I482-'Passo 2'!I482</f>
        <v>5.9122453863302837E-4</v>
      </c>
      <c r="Q482" s="1">
        <f>J482-'Passo 2'!J482</f>
        <v>7.3903067329017524E-5</v>
      </c>
      <c r="R482" s="8">
        <f t="shared" si="29"/>
        <v>141.28999999999991</v>
      </c>
      <c r="S482" s="8">
        <f t="shared" si="28"/>
        <v>141.31049999999991</v>
      </c>
      <c r="T482" s="1">
        <f t="shared" si="30"/>
        <v>96.187186933656832</v>
      </c>
      <c r="U482" s="1">
        <f t="shared" si="31"/>
        <v>115.37431306634298</v>
      </c>
    </row>
    <row r="483" spans="1:21" x14ac:dyDescent="0.3">
      <c r="A483" t="s">
        <v>292</v>
      </c>
      <c r="B483" t="s">
        <v>725</v>
      </c>
      <c r="C483" t="s">
        <v>576</v>
      </c>
      <c r="D483" t="s">
        <v>14</v>
      </c>
      <c r="E483" s="2">
        <v>8.1859999999999999</v>
      </c>
      <c r="F483" s="2">
        <v>0</v>
      </c>
      <c r="G483" s="2">
        <v>1.3643333333333301</v>
      </c>
      <c r="H483" s="2">
        <v>-1.3643333333333301</v>
      </c>
      <c r="I483" s="1">
        <v>1</v>
      </c>
      <c r="J483" s="1">
        <v>1</v>
      </c>
      <c r="K483" s="1">
        <v>0.85828439035151105</v>
      </c>
      <c r="L483" s="1">
        <v>0.64171560964848795</v>
      </c>
      <c r="P483" s="1">
        <f>I483-'Passo 2'!I483</f>
        <v>1.594185194234099E-2</v>
      </c>
      <c r="Q483" s="1">
        <f>J483-'Passo 2'!J483</f>
        <v>0</v>
      </c>
      <c r="R483" s="8">
        <f t="shared" si="29"/>
        <v>8.1859999999999999</v>
      </c>
      <c r="S483" s="8">
        <f t="shared" si="28"/>
        <v>8.1859999999999999</v>
      </c>
      <c r="T483" s="1">
        <f t="shared" si="30"/>
        <v>7.025916019417469</v>
      </c>
      <c r="U483" s="1">
        <f t="shared" si="31"/>
        <v>5.253083980582522</v>
      </c>
    </row>
    <row r="484" spans="1:21" x14ac:dyDescent="0.3">
      <c r="A484" t="s">
        <v>292</v>
      </c>
      <c r="B484" t="s">
        <v>358</v>
      </c>
      <c r="C484" t="s">
        <v>576</v>
      </c>
      <c r="D484" t="s">
        <v>577</v>
      </c>
      <c r="E484" s="2">
        <v>0.2</v>
      </c>
      <c r="F484" s="2">
        <v>0</v>
      </c>
      <c r="G484" s="2">
        <v>1.6666666666666601E-2</v>
      </c>
      <c r="H484" s="2">
        <v>-3.2500000000000001E-2</v>
      </c>
      <c r="I484" s="1">
        <v>0.75</v>
      </c>
      <c r="J484" s="1">
        <v>0.98750000000000004</v>
      </c>
      <c r="K484" s="1">
        <v>0.74863309061488603</v>
      </c>
      <c r="L484" s="1">
        <v>0.48886690938511301</v>
      </c>
      <c r="P484" s="1">
        <f>I484-'Passo 2'!I484</f>
        <v>0</v>
      </c>
      <c r="Q484" s="1">
        <f>J484-'Passo 2'!J484</f>
        <v>0.23750000000000004</v>
      </c>
      <c r="R484" s="8">
        <f t="shared" si="29"/>
        <v>0.15000000000000002</v>
      </c>
      <c r="S484" s="8">
        <f t="shared" si="28"/>
        <v>0.19750000000000001</v>
      </c>
      <c r="T484" s="1">
        <f t="shared" si="30"/>
        <v>0.14972661812297722</v>
      </c>
      <c r="U484" s="1">
        <f t="shared" si="31"/>
        <v>9.7773381877022614E-2</v>
      </c>
    </row>
    <row r="485" spans="1:21" x14ac:dyDescent="0.3">
      <c r="A485" t="s">
        <v>292</v>
      </c>
      <c r="B485" t="s">
        <v>726</v>
      </c>
      <c r="C485" t="s">
        <v>580</v>
      </c>
      <c r="D485" t="s">
        <v>581</v>
      </c>
      <c r="E485" s="2">
        <v>30.155000000000001</v>
      </c>
      <c r="F485" s="2">
        <v>0</v>
      </c>
      <c r="G485" s="2">
        <v>4.7798333333333298</v>
      </c>
      <c r="H485" s="2">
        <v>-4.8191666666666597</v>
      </c>
      <c r="I485" s="1">
        <v>0.97552644669208999</v>
      </c>
      <c r="J485" s="1">
        <v>0.97943956226164797</v>
      </c>
      <c r="K485" s="1">
        <v>0.82271675764751595</v>
      </c>
      <c r="L485" s="1">
        <v>0.632249251306223</v>
      </c>
      <c r="P485" s="1">
        <f>I485-'Passo 2'!I485</f>
        <v>4.2613165312549439E-3</v>
      </c>
      <c r="Q485" s="1">
        <f>J485-'Passo 2'!J485</f>
        <v>1.9151052893384923E-2</v>
      </c>
      <c r="R485" s="8">
        <f t="shared" si="29"/>
        <v>29.416999999999973</v>
      </c>
      <c r="S485" s="8">
        <f t="shared" si="28"/>
        <v>29.534999999999997</v>
      </c>
      <c r="T485" s="1">
        <f t="shared" si="30"/>
        <v>24.809023826860845</v>
      </c>
      <c r="U485" s="1">
        <f t="shared" si="31"/>
        <v>19.065476173139157</v>
      </c>
    </row>
    <row r="486" spans="1:21" x14ac:dyDescent="0.3">
      <c r="A486" t="s">
        <v>359</v>
      </c>
      <c r="B486" t="s">
        <v>727</v>
      </c>
      <c r="C486" t="s">
        <v>574</v>
      </c>
      <c r="D486" t="s">
        <v>575</v>
      </c>
      <c r="E486" s="2">
        <v>315.86099999999999</v>
      </c>
      <c r="F486" s="2">
        <v>0</v>
      </c>
      <c r="G486" s="2">
        <v>48.867666666666601</v>
      </c>
      <c r="H486" s="2">
        <v>-50.810166666666603</v>
      </c>
      <c r="I486" s="1">
        <v>0.96413770614289196</v>
      </c>
      <c r="J486" s="1">
        <v>0.98258727731502105</v>
      </c>
      <c r="K486" s="1">
        <v>0.78631450864324204</v>
      </c>
      <c r="L486" s="1">
        <v>0.66041047481467097</v>
      </c>
      <c r="P486" s="1">
        <f>I486-'Passo 2'!I486</f>
        <v>2.9696607051836965E-2</v>
      </c>
      <c r="Q486" s="1">
        <f>J486-'Passo 2'!J486</f>
        <v>1.2909159408727056E-2</v>
      </c>
      <c r="R486" s="8">
        <f t="shared" si="29"/>
        <v>304.5335</v>
      </c>
      <c r="S486" s="8">
        <f t="shared" si="28"/>
        <v>310.36099999999988</v>
      </c>
      <c r="T486" s="1">
        <f t="shared" si="30"/>
        <v>248.36608701456308</v>
      </c>
      <c r="U486" s="1">
        <f t="shared" si="31"/>
        <v>208.59791298543678</v>
      </c>
    </row>
    <row r="487" spans="1:21" x14ac:dyDescent="0.3">
      <c r="A487" t="s">
        <v>359</v>
      </c>
      <c r="B487" t="s">
        <v>360</v>
      </c>
      <c r="C487" t="s">
        <v>576</v>
      </c>
      <c r="D487" t="s">
        <v>14</v>
      </c>
      <c r="E487" s="2">
        <v>1</v>
      </c>
      <c r="F487" s="2">
        <v>0</v>
      </c>
      <c r="G487" s="2">
        <v>0.16666666666666599</v>
      </c>
      <c r="H487" s="2">
        <v>-0.16666666666666599</v>
      </c>
      <c r="I487" s="1">
        <v>1</v>
      </c>
      <c r="J487" s="1">
        <v>1</v>
      </c>
      <c r="K487" s="1">
        <v>0.99995954692556599</v>
      </c>
      <c r="L487" s="1">
        <v>0.50004045307443301</v>
      </c>
      <c r="P487" s="1">
        <f>I487-'Passo 2'!I487</f>
        <v>0</v>
      </c>
      <c r="Q487" s="1">
        <f>J487-'Passo 2'!J487</f>
        <v>0</v>
      </c>
      <c r="R487" s="8">
        <f t="shared" si="29"/>
        <v>1</v>
      </c>
      <c r="S487" s="8">
        <f t="shared" si="28"/>
        <v>1</v>
      </c>
      <c r="T487" s="1">
        <f t="shared" si="30"/>
        <v>0.99995954692556599</v>
      </c>
      <c r="U487" s="1">
        <f t="shared" si="31"/>
        <v>0.50004045307443301</v>
      </c>
    </row>
    <row r="488" spans="1:21" x14ac:dyDescent="0.3">
      <c r="A488" t="s">
        <v>359</v>
      </c>
      <c r="B488" t="s">
        <v>361</v>
      </c>
      <c r="C488" t="s">
        <v>574</v>
      </c>
      <c r="D488" t="s">
        <v>575</v>
      </c>
      <c r="E488" s="2">
        <v>245.01300000000001</v>
      </c>
      <c r="F488" s="2">
        <v>0</v>
      </c>
      <c r="G488" s="2">
        <v>32.860333333333301</v>
      </c>
      <c r="H488" s="2">
        <v>-30.305499999999999</v>
      </c>
      <c r="I488" s="1">
        <v>0.90235007938354295</v>
      </c>
      <c r="J488" s="1">
        <v>0.87106806577610096</v>
      </c>
      <c r="K488" s="1">
        <v>0.63193215644313505</v>
      </c>
      <c r="L488" s="1">
        <v>0.64148598871650897</v>
      </c>
      <c r="P488" s="1">
        <f>I488-'Passo 2'!I488</f>
        <v>4.789541779415929E-3</v>
      </c>
      <c r="Q488" s="1">
        <f>J488-'Passo 2'!J488</f>
        <v>3.6202160701679365E-3</v>
      </c>
      <c r="R488" s="8">
        <f t="shared" si="29"/>
        <v>221.08750000000001</v>
      </c>
      <c r="S488" s="8">
        <f t="shared" si="28"/>
        <v>213.42299999999983</v>
      </c>
      <c r="T488" s="1">
        <f t="shared" si="30"/>
        <v>154.83159344660186</v>
      </c>
      <c r="U488" s="1">
        <f t="shared" si="31"/>
        <v>157.17240655339802</v>
      </c>
    </row>
    <row r="489" spans="1:21" x14ac:dyDescent="0.3">
      <c r="A489" t="s">
        <v>359</v>
      </c>
      <c r="B489" t="s">
        <v>362</v>
      </c>
      <c r="C489" t="s">
        <v>574</v>
      </c>
      <c r="D489" t="s">
        <v>575</v>
      </c>
      <c r="E489" s="2">
        <v>211.64099999999999</v>
      </c>
      <c r="F489" s="2">
        <v>21.594000000000001</v>
      </c>
      <c r="G489" s="2">
        <v>29.897666666666598</v>
      </c>
      <c r="H489" s="2">
        <v>-28.901166666666601</v>
      </c>
      <c r="I489" s="1">
        <v>0.872782211386262</v>
      </c>
      <c r="J489" s="1">
        <v>0.85865687650313405</v>
      </c>
      <c r="K489" s="1">
        <v>0.670805667146948</v>
      </c>
      <c r="L489" s="1">
        <v>0.61164905570920902</v>
      </c>
      <c r="P489" s="1">
        <f>I489-'Passo 2'!I489</f>
        <v>1.5868853388520954E-2</v>
      </c>
      <c r="Q489" s="1">
        <f>J489-'Passo 2'!J489</f>
        <v>2.4175372446737065E-2</v>
      </c>
      <c r="R489" s="8">
        <f t="shared" si="29"/>
        <v>184.71649999999985</v>
      </c>
      <c r="S489" s="8">
        <f t="shared" si="28"/>
        <v>181.72699999999978</v>
      </c>
      <c r="T489" s="1">
        <f t="shared" si="30"/>
        <v>141.96998220064722</v>
      </c>
      <c r="U489" s="1">
        <f t="shared" si="31"/>
        <v>129.45001779935271</v>
      </c>
    </row>
    <row r="490" spans="1:21" x14ac:dyDescent="0.3">
      <c r="A490" t="s">
        <v>359</v>
      </c>
      <c r="B490" t="s">
        <v>363</v>
      </c>
      <c r="C490" t="s">
        <v>576</v>
      </c>
      <c r="D490" t="s">
        <v>14</v>
      </c>
      <c r="E490" s="2">
        <v>38.283999999999999</v>
      </c>
      <c r="F490" s="2">
        <v>0</v>
      </c>
      <c r="G490" s="2">
        <v>5.6298333333333304</v>
      </c>
      <c r="H490" s="2">
        <v>-5.1144999999999996</v>
      </c>
      <c r="I490" s="1">
        <v>0.94116341030195305</v>
      </c>
      <c r="J490" s="1">
        <v>0.90078100511963199</v>
      </c>
      <c r="K490" s="1">
        <v>0.658210813828496</v>
      </c>
      <c r="L490" s="1">
        <v>0.68373360159308905</v>
      </c>
      <c r="P490" s="1">
        <f>I490-'Passo 2'!I490</f>
        <v>8.1822693553442072E-2</v>
      </c>
      <c r="Q490" s="1">
        <f>J490-'Passo 2'!J490</f>
        <v>-2.0909518336642008E-2</v>
      </c>
      <c r="R490" s="8">
        <f t="shared" si="29"/>
        <v>36.031499999999973</v>
      </c>
      <c r="S490" s="8">
        <f t="shared" si="28"/>
        <v>34.485499999999988</v>
      </c>
      <c r="T490" s="1">
        <f t="shared" si="30"/>
        <v>25.19894279661014</v>
      </c>
      <c r="U490" s="1">
        <f t="shared" si="31"/>
        <v>26.176057203389821</v>
      </c>
    </row>
    <row r="491" spans="1:21" x14ac:dyDescent="0.3">
      <c r="A491" t="s">
        <v>359</v>
      </c>
      <c r="B491" t="s">
        <v>364</v>
      </c>
      <c r="C491" t="s">
        <v>576</v>
      </c>
      <c r="D491" t="s">
        <v>14</v>
      </c>
      <c r="E491" s="2">
        <v>38.283999999999999</v>
      </c>
      <c r="F491" s="2">
        <v>0</v>
      </c>
      <c r="G491" s="2">
        <v>5.6298333333333304</v>
      </c>
      <c r="H491" s="2">
        <v>-5.1144999999999996</v>
      </c>
      <c r="I491" s="1">
        <v>0.94116341030195305</v>
      </c>
      <c r="J491" s="1">
        <v>0.90078100511963199</v>
      </c>
      <c r="K491" s="1">
        <v>0.65821080460513004</v>
      </c>
      <c r="L491" s="1">
        <v>0.68373361081645501</v>
      </c>
      <c r="P491" s="1">
        <f>I491-'Passo 2'!I491</f>
        <v>8.1822693553442072E-2</v>
      </c>
      <c r="Q491" s="1">
        <f>J491-'Passo 2'!J491</f>
        <v>-2.0909518336642008E-2</v>
      </c>
      <c r="R491" s="8">
        <f t="shared" si="29"/>
        <v>36.031499999999973</v>
      </c>
      <c r="S491" s="8">
        <f t="shared" si="28"/>
        <v>34.485499999999988</v>
      </c>
      <c r="T491" s="1">
        <f t="shared" si="30"/>
        <v>25.198942443502798</v>
      </c>
      <c r="U491" s="1">
        <f t="shared" si="31"/>
        <v>26.176057556497163</v>
      </c>
    </row>
    <row r="492" spans="1:21" x14ac:dyDescent="0.3">
      <c r="A492" t="s">
        <v>359</v>
      </c>
      <c r="B492" t="s">
        <v>365</v>
      </c>
      <c r="C492" t="s">
        <v>366</v>
      </c>
      <c r="D492" t="s">
        <v>367</v>
      </c>
      <c r="E492" s="2">
        <v>651.34699999999998</v>
      </c>
      <c r="F492" s="2">
        <v>0</v>
      </c>
      <c r="G492" s="2">
        <v>107.36983333333301</v>
      </c>
      <c r="H492" s="2">
        <v>-107.83433333333301</v>
      </c>
      <c r="I492" s="1">
        <v>0.99452826220125301</v>
      </c>
      <c r="J492" s="1">
        <v>0.996667674833844</v>
      </c>
      <c r="K492" s="1">
        <v>0.58430310925793005</v>
      </c>
      <c r="L492" s="1">
        <v>0.90689282777716695</v>
      </c>
      <c r="P492" s="1">
        <f>I492-'Passo 2'!I492</f>
        <v>9.4419717907023859E-5</v>
      </c>
      <c r="Q492" s="1">
        <f>J492-'Passo 2'!J492</f>
        <v>2.1071717533049927E-3</v>
      </c>
      <c r="R492" s="8">
        <f t="shared" si="29"/>
        <v>647.78299999999956</v>
      </c>
      <c r="S492" s="8">
        <f t="shared" si="28"/>
        <v>649.17649999999981</v>
      </c>
      <c r="T492" s="1">
        <f t="shared" si="30"/>
        <v>380.58407730582496</v>
      </c>
      <c r="U492" s="1">
        <f t="shared" si="31"/>
        <v>590.7019226941743</v>
      </c>
    </row>
    <row r="493" spans="1:21" x14ac:dyDescent="0.3">
      <c r="A493" t="s">
        <v>359</v>
      </c>
      <c r="B493" t="s">
        <v>368</v>
      </c>
      <c r="C493" t="s">
        <v>366</v>
      </c>
      <c r="D493" t="s">
        <v>367</v>
      </c>
      <c r="E493" s="2">
        <v>1367.24</v>
      </c>
      <c r="F493" s="2">
        <v>0</v>
      </c>
      <c r="G493" s="2">
        <v>217.99916666666601</v>
      </c>
      <c r="H493" s="2">
        <v>-220.0745</v>
      </c>
      <c r="I493" s="1">
        <v>0.97833408911383501</v>
      </c>
      <c r="J493" s="1">
        <v>0.98288778853749104</v>
      </c>
      <c r="K493" s="1">
        <v>0.52784069974930703</v>
      </c>
      <c r="L493" s="1">
        <v>0.93338117790201902</v>
      </c>
      <c r="P493" s="1">
        <f>I493-'Passo 2'!I493</f>
        <v>0.19891789298148099</v>
      </c>
      <c r="Q493" s="1">
        <f>J493-'Passo 2'!J493</f>
        <v>3.7175989584857017E-2</v>
      </c>
      <c r="R493" s="8">
        <f t="shared" si="29"/>
        <v>1337.6174999999998</v>
      </c>
      <c r="S493" s="8">
        <f t="shared" si="28"/>
        <v>1343.8434999999993</v>
      </c>
      <c r="T493" s="1">
        <f t="shared" si="30"/>
        <v>721.68491832524251</v>
      </c>
      <c r="U493" s="1">
        <f t="shared" si="31"/>
        <v>1276.1560816747565</v>
      </c>
    </row>
    <row r="494" spans="1:21" x14ac:dyDescent="0.3">
      <c r="A494" t="s">
        <v>359</v>
      </c>
      <c r="B494" t="s">
        <v>728</v>
      </c>
      <c r="C494" t="s">
        <v>576</v>
      </c>
      <c r="D494" t="s">
        <v>14</v>
      </c>
      <c r="E494" s="2">
        <v>62.94</v>
      </c>
      <c r="F494" s="2">
        <v>62.94</v>
      </c>
      <c r="G494" s="2">
        <v>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P494" s="1">
        <f>I494-'Passo 2'!I494</f>
        <v>0</v>
      </c>
      <c r="Q494" s="1">
        <f>J494-'Passo 2'!J494</f>
        <v>0</v>
      </c>
      <c r="R494" s="8">
        <f t="shared" si="29"/>
        <v>0</v>
      </c>
      <c r="S494" s="8">
        <f t="shared" si="28"/>
        <v>0</v>
      </c>
      <c r="T494" s="1">
        <f t="shared" si="30"/>
        <v>0</v>
      </c>
      <c r="U494" s="1">
        <f t="shared" si="31"/>
        <v>0</v>
      </c>
    </row>
    <row r="495" spans="1:21" x14ac:dyDescent="0.3">
      <c r="A495" t="s">
        <v>359</v>
      </c>
      <c r="B495" t="s">
        <v>369</v>
      </c>
      <c r="C495" t="s">
        <v>574</v>
      </c>
      <c r="D495" t="s">
        <v>575</v>
      </c>
      <c r="E495" s="2">
        <v>27.7</v>
      </c>
      <c r="F495" s="2">
        <v>0</v>
      </c>
      <c r="G495" s="2">
        <v>4.4118333333333304</v>
      </c>
      <c r="H495" s="2">
        <v>-4.3951666666666602</v>
      </c>
      <c r="I495" s="1">
        <v>0.977815884476534</v>
      </c>
      <c r="J495" s="1">
        <v>0.97601083032490898</v>
      </c>
      <c r="K495" s="1">
        <v>0.72588813921699102</v>
      </c>
      <c r="L495" s="1">
        <v>0.72793857558445196</v>
      </c>
      <c r="P495" s="1">
        <f>I495-'Passo 2'!I495</f>
        <v>9.9422382671479959E-2</v>
      </c>
      <c r="Q495" s="1">
        <f>J495-'Passo 2'!J495</f>
        <v>0</v>
      </c>
      <c r="R495" s="8">
        <f t="shared" si="29"/>
        <v>27.085499999999993</v>
      </c>
      <c r="S495" s="8">
        <f t="shared" si="28"/>
        <v>27.035499999999978</v>
      </c>
      <c r="T495" s="1">
        <f t="shared" si="30"/>
        <v>20.107101456310652</v>
      </c>
      <c r="U495" s="1">
        <f t="shared" si="31"/>
        <v>20.163898543689317</v>
      </c>
    </row>
    <row r="496" spans="1:21" x14ac:dyDescent="0.3">
      <c r="A496" t="s">
        <v>359</v>
      </c>
      <c r="B496" t="s">
        <v>370</v>
      </c>
      <c r="C496" t="s">
        <v>574</v>
      </c>
      <c r="D496" t="s">
        <v>575</v>
      </c>
      <c r="E496" s="2">
        <v>134.56</v>
      </c>
      <c r="F496" s="2">
        <v>0</v>
      </c>
      <c r="G496" s="2">
        <v>15.803333333333301</v>
      </c>
      <c r="H496" s="2">
        <v>-16.646666666666601</v>
      </c>
      <c r="I496" s="1">
        <v>0.85233353151010605</v>
      </c>
      <c r="J496" s="1">
        <v>0.871135552913198</v>
      </c>
      <c r="K496" s="1">
        <v>0.63504460570758703</v>
      </c>
      <c r="L496" s="1">
        <v>0.58842447871571801</v>
      </c>
      <c r="P496" s="1">
        <f>I496-'Passo 2'!I496</f>
        <v>2.4921967895362052E-2</v>
      </c>
      <c r="Q496" s="1">
        <f>J496-'Passo 2'!J496</f>
        <v>2.0897740784780017E-2</v>
      </c>
      <c r="R496" s="8">
        <f t="shared" si="29"/>
        <v>114.68999999999987</v>
      </c>
      <c r="S496" s="8">
        <f t="shared" si="28"/>
        <v>117.21999999999993</v>
      </c>
      <c r="T496" s="1">
        <f t="shared" si="30"/>
        <v>85.451602144012909</v>
      </c>
      <c r="U496" s="1">
        <f t="shared" si="31"/>
        <v>79.178397855987015</v>
      </c>
    </row>
    <row r="497" spans="1:21" x14ac:dyDescent="0.3">
      <c r="A497" t="s">
        <v>359</v>
      </c>
      <c r="B497" t="s">
        <v>371</v>
      </c>
      <c r="C497" t="s">
        <v>576</v>
      </c>
      <c r="D497" t="s">
        <v>577</v>
      </c>
      <c r="E497" s="2">
        <v>538.18899999999996</v>
      </c>
      <c r="F497" s="2">
        <v>0</v>
      </c>
      <c r="G497" s="2">
        <v>87.245000000000005</v>
      </c>
      <c r="H497" s="2">
        <v>-87.543666666666596</v>
      </c>
      <c r="I497" s="1">
        <v>0.98632543585989296</v>
      </c>
      <c r="J497" s="1">
        <v>0.98799027850810694</v>
      </c>
      <c r="K497" s="1">
        <v>0.87557434129398104</v>
      </c>
      <c r="L497" s="1">
        <v>0.59874137307401898</v>
      </c>
      <c r="P497" s="1">
        <f>I497-'Passo 2'!I497</f>
        <v>4.2735916192970791E-5</v>
      </c>
      <c r="Q497" s="1">
        <f>J497-'Passo 2'!J497</f>
        <v>4.5746011159639721E-3</v>
      </c>
      <c r="R497" s="8">
        <f t="shared" si="29"/>
        <v>530.82949999999994</v>
      </c>
      <c r="S497" s="8">
        <f t="shared" si="28"/>
        <v>531.72549999999956</v>
      </c>
      <c r="T497" s="1">
        <f t="shared" si="30"/>
        <v>471.22447916666636</v>
      </c>
      <c r="U497" s="1">
        <f t="shared" si="31"/>
        <v>322.23602083333316</v>
      </c>
    </row>
    <row r="498" spans="1:21" x14ac:dyDescent="0.3">
      <c r="A498" t="s">
        <v>359</v>
      </c>
      <c r="B498" t="s">
        <v>372</v>
      </c>
      <c r="C498" t="s">
        <v>574</v>
      </c>
      <c r="D498" t="s">
        <v>575</v>
      </c>
      <c r="E498" s="2">
        <v>140.85599999999999</v>
      </c>
      <c r="F498" s="2">
        <v>7.0000000000000007E-2</v>
      </c>
      <c r="G498" s="2">
        <v>22.483666666666601</v>
      </c>
      <c r="H498" s="2">
        <v>-22.8183333333333</v>
      </c>
      <c r="I498" s="1">
        <v>0.97861645936275299</v>
      </c>
      <c r="J498" s="1">
        <v>0.98574430624183496</v>
      </c>
      <c r="K498" s="1">
        <v>0.78012057012757696</v>
      </c>
      <c r="L498" s="1">
        <v>0.68448867619490805</v>
      </c>
      <c r="P498" s="1">
        <f>I498-'Passo 2'!I498</f>
        <v>6.194624297154494E-2</v>
      </c>
      <c r="Q498" s="1">
        <f>J498-'Passo 2'!J498</f>
        <v>9.2292838075991313E-5</v>
      </c>
      <c r="R498" s="8">
        <f t="shared" si="29"/>
        <v>137.84399999999994</v>
      </c>
      <c r="S498" s="8">
        <f t="shared" si="28"/>
        <v>138.8479999999999</v>
      </c>
      <c r="T498" s="1">
        <f t="shared" si="30"/>
        <v>109.88466302588998</v>
      </c>
      <c r="U498" s="1">
        <f t="shared" si="31"/>
        <v>96.414336974109972</v>
      </c>
    </row>
    <row r="499" spans="1:21" x14ac:dyDescent="0.3">
      <c r="A499" t="s">
        <v>359</v>
      </c>
      <c r="B499" t="s">
        <v>373</v>
      </c>
      <c r="C499" t="s">
        <v>576</v>
      </c>
      <c r="D499" t="s">
        <v>14</v>
      </c>
      <c r="E499" s="2">
        <v>25.407</v>
      </c>
      <c r="F499" s="2">
        <v>0</v>
      </c>
      <c r="G499" s="2">
        <v>3.2621666666666602</v>
      </c>
      <c r="H499" s="2">
        <v>-3.49016666666666</v>
      </c>
      <c r="I499" s="1">
        <v>0.88518912110835601</v>
      </c>
      <c r="J499" s="1">
        <v>0.91211083559648898</v>
      </c>
      <c r="K499" s="1">
        <v>0.83737015593261399</v>
      </c>
      <c r="L499" s="1">
        <v>0.45992980077223</v>
      </c>
      <c r="P499" s="1">
        <f>I499-'Passo 2'!I499</f>
        <v>-3.7194473963859664E-3</v>
      </c>
      <c r="Q499" s="1">
        <f>J499-'Passo 2'!J499</f>
        <v>6.3348683433699926E-2</v>
      </c>
      <c r="R499" s="8">
        <f t="shared" si="29"/>
        <v>22.490000000000002</v>
      </c>
      <c r="S499" s="8">
        <f t="shared" si="28"/>
        <v>23.173999999999996</v>
      </c>
      <c r="T499" s="1">
        <f t="shared" si="30"/>
        <v>21.275063551779922</v>
      </c>
      <c r="U499" s="1">
        <f t="shared" si="31"/>
        <v>11.685436448220047</v>
      </c>
    </row>
    <row r="500" spans="1:21" x14ac:dyDescent="0.3">
      <c r="A500" t="s">
        <v>359</v>
      </c>
      <c r="B500" t="s">
        <v>374</v>
      </c>
      <c r="C500" t="s">
        <v>574</v>
      </c>
      <c r="D500" t="s">
        <v>575</v>
      </c>
      <c r="E500" s="2">
        <v>137.071</v>
      </c>
      <c r="F500" s="2">
        <v>1.9E-2</v>
      </c>
      <c r="G500" s="2">
        <v>18.0603333333333</v>
      </c>
      <c r="H500" s="2">
        <v>-19.263166666666599</v>
      </c>
      <c r="I500" s="1">
        <v>0.89520759314515796</v>
      </c>
      <c r="J500" s="1">
        <v>0.92153336591985102</v>
      </c>
      <c r="K500" s="1">
        <v>0.75456610414431202</v>
      </c>
      <c r="L500" s="1">
        <v>0.56224416206808803</v>
      </c>
      <c r="P500" s="1">
        <f>I500-'Passo 2'!I500</f>
        <v>1.088851762955001E-2</v>
      </c>
      <c r="Q500" s="1">
        <f>J500-'Passo 2'!J500</f>
        <v>4.4761473980637012E-2</v>
      </c>
      <c r="R500" s="8">
        <f t="shared" si="29"/>
        <v>122.70699999999995</v>
      </c>
      <c r="S500" s="8">
        <f t="shared" si="28"/>
        <v>126.3154999999999</v>
      </c>
      <c r="T500" s="1">
        <f t="shared" si="30"/>
        <v>103.42913046116499</v>
      </c>
      <c r="U500" s="1">
        <f t="shared" si="31"/>
        <v>77.067369538834896</v>
      </c>
    </row>
    <row r="501" spans="1:21" x14ac:dyDescent="0.3">
      <c r="A501" t="s">
        <v>359</v>
      </c>
      <c r="B501" t="s">
        <v>729</v>
      </c>
      <c r="C501" t="s">
        <v>574</v>
      </c>
      <c r="D501" t="s">
        <v>575</v>
      </c>
      <c r="E501" s="2">
        <v>38.701999999999998</v>
      </c>
      <c r="F501" s="2">
        <v>0</v>
      </c>
      <c r="G501" s="2">
        <v>2.504</v>
      </c>
      <c r="H501" s="2">
        <v>-2.2089999999999899</v>
      </c>
      <c r="I501" s="1">
        <v>0.69409849620174602</v>
      </c>
      <c r="J501" s="1">
        <v>0.67123146090641295</v>
      </c>
      <c r="K501" s="1">
        <v>0.45850331735697097</v>
      </c>
      <c r="L501" s="1">
        <v>0.40682663975118799</v>
      </c>
      <c r="P501" s="1">
        <f>I501-'Passo 2'!I501</f>
        <v>2.1988527724664975E-2</v>
      </c>
      <c r="Q501" s="1">
        <f>J501-'Passo 2'!J501</f>
        <v>2.8293111467109222E-3</v>
      </c>
      <c r="R501" s="8">
        <f t="shared" si="29"/>
        <v>26.862999999999975</v>
      </c>
      <c r="S501" s="8">
        <f t="shared" si="28"/>
        <v>25.977999999999991</v>
      </c>
      <c r="T501" s="1">
        <f t="shared" si="30"/>
        <v>17.744995388349491</v>
      </c>
      <c r="U501" s="1">
        <f t="shared" si="31"/>
        <v>15.745004611650478</v>
      </c>
    </row>
    <row r="502" spans="1:21" x14ac:dyDescent="0.3">
      <c r="A502" t="s">
        <v>359</v>
      </c>
      <c r="B502" t="s">
        <v>375</v>
      </c>
      <c r="C502" t="s">
        <v>574</v>
      </c>
      <c r="D502" t="s">
        <v>575</v>
      </c>
      <c r="E502" s="2">
        <v>90.290999999999997</v>
      </c>
      <c r="F502" s="2">
        <v>0</v>
      </c>
      <c r="G502" s="2">
        <v>11.4176666666666</v>
      </c>
      <c r="H502" s="2">
        <v>-14.662999999999901</v>
      </c>
      <c r="I502" s="1">
        <v>0.87936228417007201</v>
      </c>
      <c r="J502" s="1">
        <v>0.98719141442668701</v>
      </c>
      <c r="K502" s="1">
        <v>0.61331619188571795</v>
      </c>
      <c r="L502" s="1">
        <v>0.75323750671104095</v>
      </c>
      <c r="P502" s="1">
        <f>I502-'Passo 2'!I502</f>
        <v>-1.0300029903309582E-3</v>
      </c>
      <c r="Q502" s="1">
        <f>J502-'Passo 2'!J502</f>
        <v>5.939130145861804E-2</v>
      </c>
      <c r="R502" s="8">
        <f t="shared" si="29"/>
        <v>79.39849999999997</v>
      </c>
      <c r="S502" s="8">
        <f t="shared" si="28"/>
        <v>89.134499999999989</v>
      </c>
      <c r="T502" s="1">
        <f t="shared" si="30"/>
        <v>55.376932281553358</v>
      </c>
      <c r="U502" s="1">
        <f t="shared" si="31"/>
        <v>68.010567718446595</v>
      </c>
    </row>
    <row r="503" spans="1:21" x14ac:dyDescent="0.3">
      <c r="A503" t="s">
        <v>359</v>
      </c>
      <c r="B503" t="s">
        <v>376</v>
      </c>
      <c r="C503" t="s">
        <v>574</v>
      </c>
      <c r="D503" t="s">
        <v>575</v>
      </c>
      <c r="E503" s="2">
        <v>52.1</v>
      </c>
      <c r="F503" s="2">
        <v>0</v>
      </c>
      <c r="G503" s="2">
        <v>8.3016666666666605</v>
      </c>
      <c r="H503" s="2">
        <v>-8.6483333333333299</v>
      </c>
      <c r="I503" s="1">
        <v>0.97802303262955803</v>
      </c>
      <c r="J503" s="1">
        <v>0.99798464491362704</v>
      </c>
      <c r="K503" s="1">
        <v>0.74013807465106296</v>
      </c>
      <c r="L503" s="1">
        <v>0.735869602892123</v>
      </c>
      <c r="P503" s="1">
        <f>I503-'Passo 2'!I503</f>
        <v>0.10123800383877102</v>
      </c>
      <c r="Q503" s="1">
        <f>J503-'Passo 2'!J503</f>
        <v>0</v>
      </c>
      <c r="R503" s="8">
        <f t="shared" si="29"/>
        <v>50.954999999999977</v>
      </c>
      <c r="S503" s="8">
        <f t="shared" si="28"/>
        <v>51.994999999999969</v>
      </c>
      <c r="T503" s="1">
        <f t="shared" si="30"/>
        <v>38.561193689320383</v>
      </c>
      <c r="U503" s="1">
        <f t="shared" si="31"/>
        <v>38.338806310679608</v>
      </c>
    </row>
    <row r="504" spans="1:21" x14ac:dyDescent="0.3">
      <c r="A504" t="s">
        <v>359</v>
      </c>
      <c r="B504" t="s">
        <v>377</v>
      </c>
      <c r="C504" t="s">
        <v>576</v>
      </c>
      <c r="D504" t="s">
        <v>589</v>
      </c>
      <c r="E504" s="2">
        <v>0</v>
      </c>
      <c r="F504" s="2">
        <v>0</v>
      </c>
      <c r="G504" s="2">
        <v>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P504" s="1">
        <f>I504-'Passo 2'!I504</f>
        <v>0</v>
      </c>
      <c r="Q504" s="1">
        <f>J504-'Passo 2'!J504</f>
        <v>0</v>
      </c>
      <c r="R504" s="8">
        <f t="shared" si="29"/>
        <v>0</v>
      </c>
      <c r="S504" s="8">
        <f t="shared" si="28"/>
        <v>0</v>
      </c>
      <c r="T504" s="1">
        <f t="shared" si="30"/>
        <v>0</v>
      </c>
      <c r="U504" s="1">
        <f t="shared" si="31"/>
        <v>0</v>
      </c>
    </row>
    <row r="505" spans="1:21" x14ac:dyDescent="0.3">
      <c r="A505" t="s">
        <v>359</v>
      </c>
      <c r="B505" t="s">
        <v>378</v>
      </c>
      <c r="C505" t="s">
        <v>576</v>
      </c>
      <c r="D505" t="s">
        <v>14</v>
      </c>
      <c r="E505" s="2">
        <v>0</v>
      </c>
      <c r="F505" s="2">
        <v>0</v>
      </c>
      <c r="G505" s="2">
        <v>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P505" s="1">
        <f>I505-'Passo 2'!I505</f>
        <v>0</v>
      </c>
      <c r="Q505" s="1">
        <f>J505-'Passo 2'!J505</f>
        <v>0</v>
      </c>
      <c r="R505" s="8">
        <f t="shared" si="29"/>
        <v>0</v>
      </c>
      <c r="S505" s="8">
        <f t="shared" si="28"/>
        <v>0</v>
      </c>
      <c r="T505" s="1">
        <f t="shared" si="30"/>
        <v>0</v>
      </c>
      <c r="U505" s="1">
        <f t="shared" si="31"/>
        <v>0</v>
      </c>
    </row>
    <row r="506" spans="1:21" x14ac:dyDescent="0.3">
      <c r="A506" t="s">
        <v>359</v>
      </c>
      <c r="B506" t="s">
        <v>730</v>
      </c>
      <c r="C506" t="s">
        <v>574</v>
      </c>
      <c r="D506" t="s">
        <v>575</v>
      </c>
      <c r="E506" s="2">
        <v>10.712999999999999</v>
      </c>
      <c r="F506" s="2">
        <v>0</v>
      </c>
      <c r="G506" s="2">
        <v>0</v>
      </c>
      <c r="H506" s="2">
        <v>-1.7854999999999901</v>
      </c>
      <c r="I506" s="1">
        <v>0.5</v>
      </c>
      <c r="J506" s="1">
        <v>1</v>
      </c>
      <c r="K506" s="1">
        <v>0.15728155339805799</v>
      </c>
      <c r="L506" s="1">
        <v>0.84271844660194095</v>
      </c>
      <c r="P506" s="1">
        <f>I506-'Passo 2'!I506</f>
        <v>0</v>
      </c>
      <c r="Q506" s="1">
        <f>J506-'Passo 2'!J506</f>
        <v>0</v>
      </c>
      <c r="R506" s="8">
        <f t="shared" si="29"/>
        <v>5.3564999999999996</v>
      </c>
      <c r="S506" s="8">
        <f t="shared" si="28"/>
        <v>10.712999999999999</v>
      </c>
      <c r="T506" s="1">
        <f t="shared" si="30"/>
        <v>1.6849572815533951</v>
      </c>
      <c r="U506" s="1">
        <f t="shared" si="31"/>
        <v>9.0280427184465921</v>
      </c>
    </row>
    <row r="507" spans="1:21" x14ac:dyDescent="0.3">
      <c r="A507" t="s">
        <v>359</v>
      </c>
      <c r="B507" t="s">
        <v>379</v>
      </c>
      <c r="C507" t="s">
        <v>576</v>
      </c>
      <c r="D507" t="s">
        <v>14</v>
      </c>
      <c r="E507" s="2">
        <v>0</v>
      </c>
      <c r="F507" s="2">
        <v>0</v>
      </c>
      <c r="G507" s="2">
        <v>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P507" s="1">
        <f>I507-'Passo 2'!I507</f>
        <v>0</v>
      </c>
      <c r="Q507" s="1">
        <f>J507-'Passo 2'!J507</f>
        <v>0</v>
      </c>
      <c r="R507" s="8">
        <f t="shared" si="29"/>
        <v>0</v>
      </c>
      <c r="S507" s="8">
        <f t="shared" si="28"/>
        <v>0</v>
      </c>
      <c r="T507" s="1">
        <f t="shared" si="30"/>
        <v>0</v>
      </c>
      <c r="U507" s="1">
        <f t="shared" si="31"/>
        <v>0</v>
      </c>
    </row>
    <row r="508" spans="1:21" x14ac:dyDescent="0.3">
      <c r="A508" t="s">
        <v>359</v>
      </c>
      <c r="B508" t="s">
        <v>731</v>
      </c>
      <c r="C508" t="s">
        <v>576</v>
      </c>
      <c r="D508" t="s">
        <v>14</v>
      </c>
      <c r="E508" s="2">
        <v>27.82</v>
      </c>
      <c r="F508" s="2">
        <v>0</v>
      </c>
      <c r="G508" s="2">
        <v>0</v>
      </c>
      <c r="H508" s="2">
        <v>-4.6366666666666596</v>
      </c>
      <c r="I508" s="1">
        <v>0.5</v>
      </c>
      <c r="J508" s="1">
        <v>1</v>
      </c>
      <c r="K508" s="1">
        <v>0.15728155339805799</v>
      </c>
      <c r="L508" s="1">
        <v>0.84271844660194095</v>
      </c>
      <c r="P508" s="1">
        <f>I508-'Passo 2'!I508</f>
        <v>0</v>
      </c>
      <c r="Q508" s="1">
        <f>J508-'Passo 2'!J508</f>
        <v>0</v>
      </c>
      <c r="R508" s="8">
        <f t="shared" si="29"/>
        <v>13.91</v>
      </c>
      <c r="S508" s="8">
        <f t="shared" si="28"/>
        <v>27.82</v>
      </c>
      <c r="T508" s="1">
        <f t="shared" si="30"/>
        <v>4.3755728155339737</v>
      </c>
      <c r="U508" s="1">
        <f t="shared" si="31"/>
        <v>23.444427184465997</v>
      </c>
    </row>
    <row r="509" spans="1:21" x14ac:dyDescent="0.3">
      <c r="A509" t="s">
        <v>359</v>
      </c>
      <c r="B509" t="s">
        <v>380</v>
      </c>
      <c r="C509" t="s">
        <v>574</v>
      </c>
      <c r="D509" t="s">
        <v>575</v>
      </c>
      <c r="E509" s="2">
        <v>633.30100000000004</v>
      </c>
      <c r="F509" s="2">
        <v>2.8260000000000001</v>
      </c>
      <c r="G509" s="2">
        <v>91.555000000000007</v>
      </c>
      <c r="H509" s="2">
        <v>-90.47</v>
      </c>
      <c r="I509" s="1">
        <v>0.93147255412513097</v>
      </c>
      <c r="J509" s="1">
        <v>0.92633281804386802</v>
      </c>
      <c r="K509" s="1">
        <v>0.70201348558627696</v>
      </c>
      <c r="L509" s="1">
        <v>0.658023053121225</v>
      </c>
      <c r="P509" s="1">
        <f>I509-'Passo 2'!I509</f>
        <v>1.3341207419535928E-2</v>
      </c>
      <c r="Q509" s="1">
        <f>J509-'Passo 2'!J509</f>
        <v>4.9786752271040458E-3</v>
      </c>
      <c r="R509" s="8">
        <f t="shared" si="29"/>
        <v>589.90249999999958</v>
      </c>
      <c r="S509" s="8">
        <f t="shared" si="28"/>
        <v>586.6474999999997</v>
      </c>
      <c r="T509" s="1">
        <f t="shared" si="30"/>
        <v>444.5858424352748</v>
      </c>
      <c r="U509" s="1">
        <f t="shared" si="31"/>
        <v>416.72665756472492</v>
      </c>
    </row>
    <row r="510" spans="1:21" x14ac:dyDescent="0.3">
      <c r="A510" t="s">
        <v>359</v>
      </c>
      <c r="B510" t="s">
        <v>381</v>
      </c>
      <c r="C510" t="s">
        <v>574</v>
      </c>
      <c r="D510" t="s">
        <v>575</v>
      </c>
      <c r="E510" s="2">
        <v>69.984999999999999</v>
      </c>
      <c r="F510" s="2">
        <v>0</v>
      </c>
      <c r="G510" s="2">
        <v>6.71</v>
      </c>
      <c r="H510" s="2">
        <v>-6.7755000000000001</v>
      </c>
      <c r="I510" s="1">
        <v>0.78763306422804802</v>
      </c>
      <c r="J510" s="1">
        <v>0.79044080874473099</v>
      </c>
      <c r="K510" s="1">
        <v>0.59196768701938596</v>
      </c>
      <c r="L510" s="1">
        <v>0.486106185953393</v>
      </c>
      <c r="P510" s="1">
        <f>I510-'Passo 2'!I510</f>
        <v>-3.3435736229199264E-3</v>
      </c>
      <c r="Q510" s="1">
        <f>J510-'Passo 2'!J510</f>
        <v>-9.3591483889399196E-4</v>
      </c>
      <c r="R510" s="8">
        <f t="shared" si="29"/>
        <v>55.122499999999938</v>
      </c>
      <c r="S510" s="8">
        <f t="shared" si="28"/>
        <v>55.318999999999996</v>
      </c>
      <c r="T510" s="1">
        <f t="shared" si="30"/>
        <v>41.428858576051724</v>
      </c>
      <c r="U510" s="1">
        <f t="shared" si="31"/>
        <v>34.020141423948211</v>
      </c>
    </row>
    <row r="511" spans="1:21" x14ac:dyDescent="0.3">
      <c r="A511" t="s">
        <v>359</v>
      </c>
      <c r="B511" t="s">
        <v>382</v>
      </c>
      <c r="C511" t="s">
        <v>574</v>
      </c>
      <c r="D511" t="s">
        <v>575</v>
      </c>
      <c r="E511" s="2">
        <v>47.781999999999996</v>
      </c>
      <c r="F511" s="2">
        <v>0</v>
      </c>
      <c r="G511" s="2">
        <v>3.8058333333333301</v>
      </c>
      <c r="H511" s="2">
        <v>-3.74583333333333</v>
      </c>
      <c r="I511" s="1">
        <v>0.73894981373738999</v>
      </c>
      <c r="J511" s="1">
        <v>0.73518270478422798</v>
      </c>
      <c r="K511" s="1">
        <v>0.54874657695637297</v>
      </c>
      <c r="L511" s="1">
        <v>0.42538594156524501</v>
      </c>
      <c r="P511" s="1">
        <f>I511-'Passo 2'!I511</f>
        <v>1.000376710895301E-2</v>
      </c>
      <c r="Q511" s="1">
        <f>J511-'Passo 2'!J511</f>
        <v>8.4759951446149451E-3</v>
      </c>
      <c r="R511" s="8">
        <f t="shared" si="29"/>
        <v>35.308499999999967</v>
      </c>
      <c r="S511" s="8">
        <f t="shared" si="28"/>
        <v>35.128499999999981</v>
      </c>
      <c r="T511" s="1">
        <f t="shared" si="30"/>
        <v>26.22020894012941</v>
      </c>
      <c r="U511" s="1">
        <f t="shared" si="31"/>
        <v>20.325791059870536</v>
      </c>
    </row>
    <row r="512" spans="1:21" x14ac:dyDescent="0.3">
      <c r="A512" t="s">
        <v>359</v>
      </c>
      <c r="B512" t="s">
        <v>383</v>
      </c>
      <c r="C512" t="s">
        <v>576</v>
      </c>
      <c r="D512" t="s">
        <v>577</v>
      </c>
      <c r="E512" s="2">
        <v>3.6779999999999999</v>
      </c>
      <c r="F512" s="2">
        <v>0</v>
      </c>
      <c r="G512" s="2">
        <v>0.61299999999999999</v>
      </c>
      <c r="H512" s="2">
        <v>-0.61299999999999999</v>
      </c>
      <c r="I512" s="1">
        <v>1</v>
      </c>
      <c r="J512" s="1">
        <v>1</v>
      </c>
      <c r="K512" s="1">
        <v>0.99995954692556599</v>
      </c>
      <c r="L512" s="1">
        <v>0.50004045307443301</v>
      </c>
      <c r="P512" s="1">
        <f>I512-'Passo 2'!I512</f>
        <v>0</v>
      </c>
      <c r="Q512" s="1">
        <f>J512-'Passo 2'!J512</f>
        <v>0</v>
      </c>
      <c r="R512" s="8">
        <f t="shared" si="29"/>
        <v>3.6779999999999999</v>
      </c>
      <c r="S512" s="8">
        <f t="shared" si="28"/>
        <v>3.6779999999999999</v>
      </c>
      <c r="T512" s="1">
        <f t="shared" si="30"/>
        <v>3.6778512135922314</v>
      </c>
      <c r="U512" s="1">
        <f t="shared" si="31"/>
        <v>1.8391487864077647</v>
      </c>
    </row>
    <row r="513" spans="1:21" x14ac:dyDescent="0.3">
      <c r="A513" t="s">
        <v>359</v>
      </c>
      <c r="B513" t="s">
        <v>384</v>
      </c>
      <c r="C513" t="s">
        <v>574</v>
      </c>
      <c r="D513" t="s">
        <v>575</v>
      </c>
      <c r="E513" s="2">
        <v>456.41699999999997</v>
      </c>
      <c r="F513" s="2">
        <v>0</v>
      </c>
      <c r="G513" s="2">
        <v>74.886166666666597</v>
      </c>
      <c r="H513" s="2">
        <v>-53.603333333333303</v>
      </c>
      <c r="I513" s="1">
        <v>0.99222202503412404</v>
      </c>
      <c r="J513" s="1">
        <v>0.85233131105984195</v>
      </c>
      <c r="K513" s="1">
        <v>0.701488744080076</v>
      </c>
      <c r="L513" s="1">
        <v>0.64306459201388999</v>
      </c>
      <c r="P513" s="1">
        <f>I513-'Passo 2'!I513</f>
        <v>0.141505465396775</v>
      </c>
      <c r="Q513" s="1">
        <f>J513-'Passo 2'!J513</f>
        <v>1.8645230129469281E-3</v>
      </c>
      <c r="R513" s="8">
        <f t="shared" si="29"/>
        <v>452.86699999999979</v>
      </c>
      <c r="S513" s="8">
        <f t="shared" si="28"/>
        <v>389.01849999999985</v>
      </c>
      <c r="T513" s="1">
        <f t="shared" si="30"/>
        <v>320.17138810679603</v>
      </c>
      <c r="U513" s="1">
        <f t="shared" si="31"/>
        <v>293.50561189320359</v>
      </c>
    </row>
    <row r="514" spans="1:21" x14ac:dyDescent="0.3">
      <c r="A514" t="s">
        <v>359</v>
      </c>
      <c r="B514" t="s">
        <v>385</v>
      </c>
      <c r="C514" t="s">
        <v>574</v>
      </c>
      <c r="D514" t="s">
        <v>575</v>
      </c>
      <c r="E514" s="2">
        <v>80.709000000000003</v>
      </c>
      <c r="F514" s="2">
        <v>8.9999999999999993E-3</v>
      </c>
      <c r="G514" s="2">
        <v>9.4553333333333303</v>
      </c>
      <c r="H514" s="2">
        <v>-8.1355000000000004</v>
      </c>
      <c r="I514" s="1">
        <v>0.85140442825459295</v>
      </c>
      <c r="J514" s="1">
        <v>0.80234546333122703</v>
      </c>
      <c r="K514" s="1">
        <v>0.60816101844330195</v>
      </c>
      <c r="L514" s="1">
        <v>0.54564462900617705</v>
      </c>
      <c r="P514" s="1">
        <f>I514-'Passo 2'!I514</f>
        <v>4.7429654685350986E-2</v>
      </c>
      <c r="Q514" s="1">
        <f>J514-'Passo 2'!J514</f>
        <v>8.1093806143059943E-3</v>
      </c>
      <c r="R514" s="8">
        <f t="shared" si="29"/>
        <v>68.715999999999951</v>
      </c>
      <c r="S514" s="8">
        <f t="shared" ref="S514:S577" si="32">J514*E514</f>
        <v>64.756500000000003</v>
      </c>
      <c r="T514" s="1">
        <f t="shared" si="30"/>
        <v>49.084067637540457</v>
      </c>
      <c r="U514" s="1">
        <f t="shared" si="31"/>
        <v>44.038432362459545</v>
      </c>
    </row>
    <row r="515" spans="1:21" x14ac:dyDescent="0.3">
      <c r="A515" t="s">
        <v>359</v>
      </c>
      <c r="B515" t="s">
        <v>386</v>
      </c>
      <c r="C515" t="s">
        <v>574</v>
      </c>
      <c r="D515" t="s">
        <v>575</v>
      </c>
      <c r="E515" s="2">
        <v>70.248000000000005</v>
      </c>
      <c r="F515" s="2">
        <v>0.36799999999999999</v>
      </c>
      <c r="G515" s="2">
        <v>7.9811666666666596</v>
      </c>
      <c r="H515" s="2">
        <v>-8.0633333333333308</v>
      </c>
      <c r="I515" s="1">
        <v>0.83822315226056199</v>
      </c>
      <c r="J515" s="1">
        <v>0.84173214895797699</v>
      </c>
      <c r="K515" s="1">
        <v>0.60567838725510204</v>
      </c>
      <c r="L515" s="1">
        <v>0.57689620561586896</v>
      </c>
      <c r="P515" s="1">
        <f>I515-'Passo 2'!I515</f>
        <v>-4.0143491629660577E-3</v>
      </c>
      <c r="Q515" s="1">
        <f>J515-'Passo 2'!J515</f>
        <v>1.2313517822569731E-3</v>
      </c>
      <c r="R515" s="8">
        <f t="shared" ref="R515:R578" si="33">I515*E515</f>
        <v>58.883499999999962</v>
      </c>
      <c r="S515" s="8">
        <f t="shared" si="32"/>
        <v>59.129999999999974</v>
      </c>
      <c r="T515" s="1">
        <f t="shared" ref="T515:T578" si="34">K515*E515</f>
        <v>42.547695347896408</v>
      </c>
      <c r="U515" s="1">
        <f t="shared" ref="U515:U578" si="35">L515*E515</f>
        <v>40.525804652103567</v>
      </c>
    </row>
    <row r="516" spans="1:21" x14ac:dyDescent="0.3">
      <c r="A516" t="s">
        <v>359</v>
      </c>
      <c r="B516" t="s">
        <v>387</v>
      </c>
      <c r="C516" t="s">
        <v>574</v>
      </c>
      <c r="D516" t="s">
        <v>575</v>
      </c>
      <c r="E516" s="2">
        <v>609.96500000000003</v>
      </c>
      <c r="F516" s="2">
        <v>0</v>
      </c>
      <c r="G516" s="2">
        <v>79.264166666666597</v>
      </c>
      <c r="H516" s="2">
        <v>-88.774833333333305</v>
      </c>
      <c r="I516" s="1">
        <v>0.88984613871287699</v>
      </c>
      <c r="J516" s="1">
        <v>0.93662259309960405</v>
      </c>
      <c r="K516" s="1">
        <v>0.66789877924716101</v>
      </c>
      <c r="L516" s="1">
        <v>0.65856995256531903</v>
      </c>
      <c r="P516" s="1">
        <f>I516-'Passo 2'!I516</f>
        <v>3.1568204733058991E-2</v>
      </c>
      <c r="Q516" s="1">
        <f>J516-'Passo 2'!J516</f>
        <v>2.3490692088891096E-2</v>
      </c>
      <c r="R516" s="8">
        <f t="shared" si="33"/>
        <v>542.77500000000009</v>
      </c>
      <c r="S516" s="8">
        <f t="shared" si="32"/>
        <v>571.30700000000002</v>
      </c>
      <c r="T516" s="1">
        <f t="shared" si="34"/>
        <v>407.39487888349458</v>
      </c>
      <c r="U516" s="1">
        <f t="shared" si="35"/>
        <v>401.70462111650482</v>
      </c>
    </row>
    <row r="517" spans="1:21" x14ac:dyDescent="0.3">
      <c r="A517" t="s">
        <v>359</v>
      </c>
      <c r="B517" t="s">
        <v>388</v>
      </c>
      <c r="C517" t="s">
        <v>576</v>
      </c>
      <c r="D517" t="s">
        <v>14</v>
      </c>
      <c r="E517" s="2">
        <v>7.0750000000000002</v>
      </c>
      <c r="F517" s="2">
        <v>0</v>
      </c>
      <c r="G517" s="2">
        <v>1.17916666666666</v>
      </c>
      <c r="H517" s="2">
        <v>0</v>
      </c>
      <c r="I517" s="1">
        <v>1</v>
      </c>
      <c r="J517" s="1">
        <v>0.5</v>
      </c>
      <c r="K517" s="1">
        <v>0.79417475728155296</v>
      </c>
      <c r="L517" s="1">
        <v>0.20582524271844599</v>
      </c>
      <c r="P517" s="1">
        <f>I517-'Passo 2'!I517</f>
        <v>0</v>
      </c>
      <c r="Q517" s="1">
        <f>J517-'Passo 2'!J517</f>
        <v>0</v>
      </c>
      <c r="R517" s="8">
        <f t="shared" si="33"/>
        <v>7.0750000000000002</v>
      </c>
      <c r="S517" s="8">
        <f t="shared" si="32"/>
        <v>3.5375000000000001</v>
      </c>
      <c r="T517" s="1">
        <f t="shared" si="34"/>
        <v>5.6187864077669873</v>
      </c>
      <c r="U517" s="1">
        <f t="shared" si="35"/>
        <v>1.4562135922330055</v>
      </c>
    </row>
    <row r="518" spans="1:21" x14ac:dyDescent="0.3">
      <c r="A518" t="s">
        <v>359</v>
      </c>
      <c r="B518" t="s">
        <v>732</v>
      </c>
      <c r="C518" t="s">
        <v>574</v>
      </c>
      <c r="D518" t="s">
        <v>575</v>
      </c>
      <c r="E518" s="2">
        <v>63.926000000000002</v>
      </c>
      <c r="F518" s="2">
        <v>0</v>
      </c>
      <c r="G518" s="2">
        <v>10.4526666666666</v>
      </c>
      <c r="H518" s="2">
        <v>-10.490833333333301</v>
      </c>
      <c r="I518" s="1">
        <v>0.99053593217157299</v>
      </c>
      <c r="J518" s="1">
        <v>0.99232706566967999</v>
      </c>
      <c r="K518" s="1">
        <v>0.71502795202017</v>
      </c>
      <c r="L518" s="1">
        <v>0.76783504582108297</v>
      </c>
      <c r="P518" s="1">
        <f>I518-'Passo 2'!I518</f>
        <v>2.1415386540687975E-2</v>
      </c>
      <c r="Q518" s="1">
        <f>J518-'Passo 2'!J518</f>
        <v>-1.7754904107880609E-3</v>
      </c>
      <c r="R518" s="8">
        <f t="shared" si="33"/>
        <v>63.320999999999977</v>
      </c>
      <c r="S518" s="8">
        <f t="shared" si="32"/>
        <v>63.435499999999962</v>
      </c>
      <c r="T518" s="1">
        <f t="shared" si="34"/>
        <v>45.708876860841386</v>
      </c>
      <c r="U518" s="1">
        <f t="shared" si="35"/>
        <v>49.084623139158552</v>
      </c>
    </row>
    <row r="519" spans="1:21" x14ac:dyDescent="0.3">
      <c r="A519" t="s">
        <v>359</v>
      </c>
      <c r="B519" t="s">
        <v>733</v>
      </c>
      <c r="C519" t="s">
        <v>576</v>
      </c>
      <c r="D519" t="s">
        <v>14</v>
      </c>
      <c r="E519" s="2">
        <v>65.418999999999997</v>
      </c>
      <c r="F519" s="2">
        <v>0</v>
      </c>
      <c r="G519" s="2">
        <v>7.4435000000000002</v>
      </c>
      <c r="H519" s="2">
        <v>-8.9440000000000008</v>
      </c>
      <c r="I519" s="1">
        <v>0.84134578639233204</v>
      </c>
      <c r="J519" s="1">
        <v>0.91015607086626205</v>
      </c>
      <c r="K519" s="1">
        <v>0.72302951744322097</v>
      </c>
      <c r="L519" s="1">
        <v>0.52847233981537201</v>
      </c>
      <c r="P519" s="1">
        <f>I519-'Passo 2'!I519</f>
        <v>1.8893593604304093E-2</v>
      </c>
      <c r="Q519" s="1">
        <f>J519-'Passo 2'!J519</f>
        <v>-4.9985478224979785E-3</v>
      </c>
      <c r="R519" s="8">
        <f t="shared" si="33"/>
        <v>55.039999999999964</v>
      </c>
      <c r="S519" s="8">
        <f t="shared" si="32"/>
        <v>59.541499999999992</v>
      </c>
      <c r="T519" s="1">
        <f t="shared" si="34"/>
        <v>47.299868001618073</v>
      </c>
      <c r="U519" s="1">
        <f t="shared" si="35"/>
        <v>34.57213199838182</v>
      </c>
    </row>
    <row r="520" spans="1:21" x14ac:dyDescent="0.3">
      <c r="A520" t="s">
        <v>359</v>
      </c>
      <c r="B520" t="s">
        <v>389</v>
      </c>
      <c r="C520" t="s">
        <v>574</v>
      </c>
      <c r="D520" t="s">
        <v>575</v>
      </c>
      <c r="E520" s="2">
        <v>400.846</v>
      </c>
      <c r="F520" s="2">
        <v>0.223</v>
      </c>
      <c r="G520" s="2">
        <v>53.188833333333299</v>
      </c>
      <c r="H520" s="2">
        <v>-53.814</v>
      </c>
      <c r="I520" s="1">
        <v>0.89779616111923199</v>
      </c>
      <c r="J520" s="1">
        <v>0.90247501534255004</v>
      </c>
      <c r="K520" s="1">
        <v>0.74809817537283996</v>
      </c>
      <c r="L520" s="1">
        <v>0.55245116277697204</v>
      </c>
      <c r="P520" s="1">
        <f>I520-'Passo 2'!I520</f>
        <v>1.2138077965103022E-2</v>
      </c>
      <c r="Q520" s="1">
        <f>J520-'Passo 2'!J520</f>
        <v>8.8758525718106052E-2</v>
      </c>
      <c r="R520" s="8">
        <f t="shared" si="33"/>
        <v>359.87799999999964</v>
      </c>
      <c r="S520" s="8">
        <f t="shared" si="32"/>
        <v>361.7534999999998</v>
      </c>
      <c r="T520" s="1">
        <f t="shared" si="34"/>
        <v>299.87216120550141</v>
      </c>
      <c r="U520" s="1">
        <f t="shared" si="35"/>
        <v>221.44783879449813</v>
      </c>
    </row>
    <row r="521" spans="1:21" x14ac:dyDescent="0.3">
      <c r="A521" t="s">
        <v>359</v>
      </c>
      <c r="B521" t="s">
        <v>390</v>
      </c>
      <c r="C521" t="s">
        <v>576</v>
      </c>
      <c r="D521" t="s">
        <v>14</v>
      </c>
      <c r="E521" s="2">
        <v>0</v>
      </c>
      <c r="F521" s="2">
        <v>0</v>
      </c>
      <c r="G521" s="2">
        <v>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P521" s="1">
        <f>I521-'Passo 2'!I521</f>
        <v>0</v>
      </c>
      <c r="Q521" s="1">
        <f>J521-'Passo 2'!J521</f>
        <v>0</v>
      </c>
      <c r="R521" s="8">
        <f t="shared" si="33"/>
        <v>0</v>
      </c>
      <c r="S521" s="8">
        <f t="shared" si="32"/>
        <v>0</v>
      </c>
      <c r="T521" s="1">
        <f t="shared" si="34"/>
        <v>0</v>
      </c>
      <c r="U521" s="1">
        <f t="shared" si="35"/>
        <v>0</v>
      </c>
    </row>
    <row r="522" spans="1:21" x14ac:dyDescent="0.3">
      <c r="A522" t="s">
        <v>359</v>
      </c>
      <c r="B522" t="s">
        <v>391</v>
      </c>
      <c r="C522" t="s">
        <v>576</v>
      </c>
      <c r="D522" t="s">
        <v>14</v>
      </c>
      <c r="E522" s="2">
        <v>34.356000000000002</v>
      </c>
      <c r="F522" s="2">
        <v>0</v>
      </c>
      <c r="G522" s="2">
        <v>5.4944999999999897</v>
      </c>
      <c r="H522" s="2">
        <v>-5.5004999999999997</v>
      </c>
      <c r="I522" s="1">
        <v>0.97978519035976197</v>
      </c>
      <c r="J522" s="1">
        <v>0.98030911631156104</v>
      </c>
      <c r="K522" s="1">
        <v>0.79531971728721995</v>
      </c>
      <c r="L522" s="1">
        <v>0.66477458938410305</v>
      </c>
      <c r="P522" s="1">
        <f>I522-'Passo 2'!I522</f>
        <v>8.7160903481196983E-2</v>
      </c>
      <c r="Q522" s="1">
        <f>J522-'Passo 2'!J522</f>
        <v>1.1730119920829063E-2</v>
      </c>
      <c r="R522" s="8">
        <f t="shared" si="33"/>
        <v>33.661499999999982</v>
      </c>
      <c r="S522" s="8">
        <f t="shared" si="32"/>
        <v>33.67949999999999</v>
      </c>
      <c r="T522" s="1">
        <f t="shared" si="34"/>
        <v>27.324004207119732</v>
      </c>
      <c r="U522" s="1">
        <f t="shared" si="35"/>
        <v>22.838995792880247</v>
      </c>
    </row>
    <row r="523" spans="1:21" x14ac:dyDescent="0.3">
      <c r="A523" t="s">
        <v>359</v>
      </c>
      <c r="B523" t="s">
        <v>734</v>
      </c>
      <c r="C523" t="s">
        <v>574</v>
      </c>
      <c r="D523" t="s">
        <v>575</v>
      </c>
      <c r="E523" s="2">
        <v>301.02600000000001</v>
      </c>
      <c r="F523" s="2">
        <v>0</v>
      </c>
      <c r="G523" s="2">
        <v>49.438833333333299</v>
      </c>
      <c r="H523" s="2">
        <v>-47.080166666666599</v>
      </c>
      <c r="I523" s="1">
        <v>0.99270328808807196</v>
      </c>
      <c r="J523" s="1">
        <v>0.96919701288260796</v>
      </c>
      <c r="K523" s="1">
        <v>0.72430559949911899</v>
      </c>
      <c r="L523" s="1">
        <v>0.73759470147156003</v>
      </c>
      <c r="P523" s="1">
        <f>I523-'Passo 2'!I523</f>
        <v>0.18019373741803091</v>
      </c>
      <c r="Q523" s="1">
        <f>J523-'Passo 2'!J523</f>
        <v>5.5350700603934988E-2</v>
      </c>
      <c r="R523" s="8">
        <f t="shared" si="33"/>
        <v>298.82949999999994</v>
      </c>
      <c r="S523" s="8">
        <f t="shared" si="32"/>
        <v>291.75349999999997</v>
      </c>
      <c r="T523" s="1">
        <f t="shared" si="34"/>
        <v>218.0348173948218</v>
      </c>
      <c r="U523" s="1">
        <f t="shared" si="35"/>
        <v>222.03518260517785</v>
      </c>
    </row>
    <row r="524" spans="1:21" x14ac:dyDescent="0.3">
      <c r="A524" t="s">
        <v>359</v>
      </c>
      <c r="B524" t="s">
        <v>392</v>
      </c>
      <c r="C524" t="s">
        <v>576</v>
      </c>
      <c r="D524" t="s">
        <v>14</v>
      </c>
      <c r="E524" s="2">
        <v>0</v>
      </c>
      <c r="F524" s="2">
        <v>0</v>
      </c>
      <c r="G524" s="2">
        <v>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P524" s="1">
        <f>I524-'Passo 2'!I524</f>
        <v>0</v>
      </c>
      <c r="Q524" s="1">
        <f>J524-'Passo 2'!J524</f>
        <v>0</v>
      </c>
      <c r="R524" s="8">
        <f t="shared" si="33"/>
        <v>0</v>
      </c>
      <c r="S524" s="8">
        <f t="shared" si="32"/>
        <v>0</v>
      </c>
      <c r="T524" s="1">
        <f t="shared" si="34"/>
        <v>0</v>
      </c>
      <c r="U524" s="1">
        <f t="shared" si="35"/>
        <v>0</v>
      </c>
    </row>
    <row r="525" spans="1:21" x14ac:dyDescent="0.3">
      <c r="A525" t="s">
        <v>359</v>
      </c>
      <c r="B525" t="s">
        <v>735</v>
      </c>
      <c r="C525" t="s">
        <v>34</v>
      </c>
      <c r="D525" t="s">
        <v>35</v>
      </c>
      <c r="E525" s="2">
        <v>88.128</v>
      </c>
      <c r="F525" s="2">
        <v>0</v>
      </c>
      <c r="G525" s="2">
        <v>14.684666666666599</v>
      </c>
      <c r="H525" s="2">
        <v>-14.6853333333333</v>
      </c>
      <c r="I525" s="1">
        <v>0.99988652868554795</v>
      </c>
      <c r="J525" s="1">
        <v>0.99990922294843798</v>
      </c>
      <c r="K525" s="1">
        <v>0.87882819210965202</v>
      </c>
      <c r="L525" s="1">
        <v>0.62096755952433402</v>
      </c>
      <c r="P525" s="1">
        <f>I525-'Passo 2'!I525</f>
        <v>2.2359522512708896E-2</v>
      </c>
      <c r="Q525" s="1">
        <f>J525-'Passo 2'!J525</f>
        <v>2.1582244008715001E-2</v>
      </c>
      <c r="R525" s="8">
        <f t="shared" si="33"/>
        <v>88.117999999999967</v>
      </c>
      <c r="S525" s="8">
        <f t="shared" si="32"/>
        <v>88.119999999999948</v>
      </c>
      <c r="T525" s="1">
        <f t="shared" si="34"/>
        <v>77.44937091423941</v>
      </c>
      <c r="U525" s="1">
        <f t="shared" si="35"/>
        <v>54.724629085760512</v>
      </c>
    </row>
    <row r="526" spans="1:21" x14ac:dyDescent="0.3">
      <c r="A526" t="s">
        <v>359</v>
      </c>
      <c r="B526" t="s">
        <v>393</v>
      </c>
      <c r="C526" t="s">
        <v>34</v>
      </c>
      <c r="D526" t="s">
        <v>35</v>
      </c>
      <c r="E526" s="2">
        <v>1166.4860000000001</v>
      </c>
      <c r="F526" s="2">
        <v>0</v>
      </c>
      <c r="G526" s="2">
        <v>194.33533333333301</v>
      </c>
      <c r="H526" s="2">
        <v>-192.70316666666599</v>
      </c>
      <c r="I526" s="1">
        <v>0.99979682567986194</v>
      </c>
      <c r="J526" s="1">
        <v>0.99559917564377098</v>
      </c>
      <c r="K526" s="1">
        <v>0.92662835260385801</v>
      </c>
      <c r="L526" s="1">
        <v>0.56876764871977503</v>
      </c>
      <c r="P526" s="1">
        <f>I526-'Passo 2'!I526</f>
        <v>4.9500808410901986E-2</v>
      </c>
      <c r="Q526" s="1">
        <f>J526-'Passo 2'!J526</f>
        <v>6.985124553573796E-2</v>
      </c>
      <c r="R526" s="8">
        <f t="shared" si="33"/>
        <v>1166.2489999999996</v>
      </c>
      <c r="S526" s="8">
        <f t="shared" si="32"/>
        <v>1161.3525</v>
      </c>
      <c r="T526" s="1">
        <f t="shared" si="34"/>
        <v>1080.899000515464</v>
      </c>
      <c r="U526" s="1">
        <f t="shared" si="35"/>
        <v>663.45949948453551</v>
      </c>
    </row>
    <row r="527" spans="1:21" x14ac:dyDescent="0.3">
      <c r="A527" t="s">
        <v>359</v>
      </c>
      <c r="B527" t="s">
        <v>736</v>
      </c>
      <c r="C527" t="s">
        <v>576</v>
      </c>
      <c r="D527" t="s">
        <v>14</v>
      </c>
      <c r="E527" s="2">
        <v>47.787999999999997</v>
      </c>
      <c r="F527" s="2">
        <v>0</v>
      </c>
      <c r="G527" s="2">
        <v>6.8584999999999896</v>
      </c>
      <c r="H527" s="2">
        <v>-7.6704999999999997</v>
      </c>
      <c r="I527" s="1">
        <v>0.93055788063949096</v>
      </c>
      <c r="J527" s="1">
        <v>0.98153302084205196</v>
      </c>
      <c r="K527" s="1">
        <v>0.64853442425594299</v>
      </c>
      <c r="L527" s="1">
        <v>0.76355647722559905</v>
      </c>
      <c r="P527" s="1">
        <f>I527-'Passo 2'!I527</f>
        <v>-1.987946764870907E-4</v>
      </c>
      <c r="Q527" s="1">
        <f>J527-'Passo 2'!J527</f>
        <v>-5.0221813007400584E-4</v>
      </c>
      <c r="R527" s="8">
        <f t="shared" si="33"/>
        <v>44.469499999999989</v>
      </c>
      <c r="S527" s="8">
        <f t="shared" si="32"/>
        <v>46.905499999999975</v>
      </c>
      <c r="T527" s="1">
        <f t="shared" si="34"/>
        <v>30.992163066343</v>
      </c>
      <c r="U527" s="1">
        <f t="shared" si="35"/>
        <v>36.488836933656927</v>
      </c>
    </row>
    <row r="528" spans="1:21" x14ac:dyDescent="0.3">
      <c r="A528" t="s">
        <v>359</v>
      </c>
      <c r="B528" t="s">
        <v>394</v>
      </c>
      <c r="C528" t="s">
        <v>576</v>
      </c>
      <c r="D528" t="s">
        <v>14</v>
      </c>
      <c r="E528" s="2">
        <v>0</v>
      </c>
      <c r="F528" s="2">
        <v>0</v>
      </c>
      <c r="G528" s="2">
        <v>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P528" s="1">
        <f>I528-'Passo 2'!I528</f>
        <v>0</v>
      </c>
      <c r="Q528" s="1">
        <f>J528-'Passo 2'!J528</f>
        <v>0</v>
      </c>
      <c r="R528" s="8">
        <f t="shared" si="33"/>
        <v>0</v>
      </c>
      <c r="S528" s="8">
        <f t="shared" si="32"/>
        <v>0</v>
      </c>
      <c r="T528" s="1">
        <f t="shared" si="34"/>
        <v>0</v>
      </c>
      <c r="U528" s="1">
        <f t="shared" si="35"/>
        <v>0</v>
      </c>
    </row>
    <row r="529" spans="1:21" x14ac:dyDescent="0.3">
      <c r="A529" t="s">
        <v>359</v>
      </c>
      <c r="B529" t="s">
        <v>395</v>
      </c>
      <c r="C529" t="s">
        <v>34</v>
      </c>
      <c r="D529" t="s">
        <v>35</v>
      </c>
      <c r="E529" s="2">
        <v>202.44300000000001</v>
      </c>
      <c r="F529" s="2">
        <v>0</v>
      </c>
      <c r="G529" s="2">
        <v>33.559666666666601</v>
      </c>
      <c r="H529" s="2">
        <v>-33.740499999999997</v>
      </c>
      <c r="I529" s="1">
        <v>0.99732023334963404</v>
      </c>
      <c r="J529" s="1">
        <v>1</v>
      </c>
      <c r="K529" s="1">
        <v>0.90990297548615195</v>
      </c>
      <c r="L529" s="1">
        <v>0.58741725786348198</v>
      </c>
      <c r="P529" s="1">
        <f>I529-'Passo 2'!I529</f>
        <v>5.0530272718740998E-2</v>
      </c>
      <c r="Q529" s="1">
        <f>J529-'Passo 2'!J529</f>
        <v>5.6606057013580013E-2</v>
      </c>
      <c r="R529" s="8">
        <f t="shared" si="33"/>
        <v>201.90049999999997</v>
      </c>
      <c r="S529" s="8">
        <f t="shared" si="32"/>
        <v>202.44300000000001</v>
      </c>
      <c r="T529" s="1">
        <f t="shared" si="34"/>
        <v>184.20348806634308</v>
      </c>
      <c r="U529" s="1">
        <f t="shared" si="35"/>
        <v>118.91851193365689</v>
      </c>
    </row>
    <row r="530" spans="1:21" x14ac:dyDescent="0.3">
      <c r="A530" t="s">
        <v>359</v>
      </c>
      <c r="B530" t="s">
        <v>396</v>
      </c>
      <c r="C530" t="s">
        <v>34</v>
      </c>
      <c r="D530" t="s">
        <v>35</v>
      </c>
      <c r="E530" s="2">
        <v>358.60700000000003</v>
      </c>
      <c r="F530" s="2">
        <v>0</v>
      </c>
      <c r="G530" s="2">
        <v>59.7678333333333</v>
      </c>
      <c r="H530" s="2">
        <v>-59.756833333333297</v>
      </c>
      <c r="I530" s="1">
        <v>1</v>
      </c>
      <c r="J530" s="1">
        <v>0.99990797725643898</v>
      </c>
      <c r="K530" s="1">
        <v>0.87921503461338701</v>
      </c>
      <c r="L530" s="1">
        <v>0.62069294264305197</v>
      </c>
      <c r="P530" s="1">
        <f>I530-'Passo 2'!I530</f>
        <v>4.2856107103319996E-2</v>
      </c>
      <c r="Q530" s="1">
        <f>J530-'Passo 2'!J530</f>
        <v>1.6410722601622019E-2</v>
      </c>
      <c r="R530" s="8">
        <f t="shared" si="33"/>
        <v>358.60700000000003</v>
      </c>
      <c r="S530" s="8">
        <f t="shared" si="32"/>
        <v>358.57399999999984</v>
      </c>
      <c r="T530" s="1">
        <f t="shared" si="34"/>
        <v>315.2926659176029</v>
      </c>
      <c r="U530" s="1">
        <f t="shared" si="35"/>
        <v>222.58483408239695</v>
      </c>
    </row>
    <row r="531" spans="1:21" x14ac:dyDescent="0.3">
      <c r="A531" t="s">
        <v>359</v>
      </c>
      <c r="B531" t="s">
        <v>397</v>
      </c>
      <c r="C531" t="s">
        <v>576</v>
      </c>
      <c r="D531" t="s">
        <v>14</v>
      </c>
      <c r="E531" s="2">
        <v>154.38499999999999</v>
      </c>
      <c r="F531" s="2">
        <v>0</v>
      </c>
      <c r="G531" s="2">
        <v>19.7998333333333</v>
      </c>
      <c r="H531" s="2">
        <v>-13.106</v>
      </c>
      <c r="I531" s="1">
        <v>0.88474916604592402</v>
      </c>
      <c r="J531" s="1">
        <v>0.75467500080966399</v>
      </c>
      <c r="K531" s="1">
        <v>0.62591525903016598</v>
      </c>
      <c r="L531" s="1">
        <v>0.51350890782542202</v>
      </c>
      <c r="P531" s="1">
        <f>I531-'Passo 2'!I531</f>
        <v>0</v>
      </c>
      <c r="Q531" s="1">
        <f>J531-'Passo 2'!J531</f>
        <v>0</v>
      </c>
      <c r="R531" s="8">
        <f t="shared" si="33"/>
        <v>136.59199999999998</v>
      </c>
      <c r="S531" s="8">
        <f t="shared" si="32"/>
        <v>116.51049999999996</v>
      </c>
      <c r="T531" s="1">
        <f t="shared" si="34"/>
        <v>96.63192726537217</v>
      </c>
      <c r="U531" s="1">
        <f t="shared" si="35"/>
        <v>79.27807273462777</v>
      </c>
    </row>
    <row r="532" spans="1:21" x14ac:dyDescent="0.3">
      <c r="A532" t="s">
        <v>359</v>
      </c>
      <c r="B532" t="s">
        <v>398</v>
      </c>
      <c r="C532" t="s">
        <v>576</v>
      </c>
      <c r="D532" t="s">
        <v>14</v>
      </c>
      <c r="E532" s="2">
        <v>64.072999999999993</v>
      </c>
      <c r="F532" s="2">
        <v>0</v>
      </c>
      <c r="G532" s="2">
        <v>10.011666666666599</v>
      </c>
      <c r="H532" s="2">
        <v>-10.2113333333333</v>
      </c>
      <c r="I532" s="1">
        <v>0.96876219312346801</v>
      </c>
      <c r="J532" s="1">
        <v>0.97811090474926998</v>
      </c>
      <c r="K532" s="1">
        <v>0.70922694643857098</v>
      </c>
      <c r="L532" s="1">
        <v>0.73764615143416701</v>
      </c>
      <c r="P532" s="1">
        <f>I532-'Passo 2'!I532</f>
        <v>0.119168760632404</v>
      </c>
      <c r="Q532" s="1">
        <f>J532-'Passo 2'!J532</f>
        <v>1.2696455605324952E-2</v>
      </c>
      <c r="R532" s="8">
        <f t="shared" si="33"/>
        <v>62.071499999999958</v>
      </c>
      <c r="S532" s="8">
        <f t="shared" si="32"/>
        <v>62.670499999999969</v>
      </c>
      <c r="T532" s="1">
        <f t="shared" si="34"/>
        <v>45.442298139158552</v>
      </c>
      <c r="U532" s="1">
        <f t="shared" si="35"/>
        <v>47.263201860841377</v>
      </c>
    </row>
    <row r="533" spans="1:21" x14ac:dyDescent="0.3">
      <c r="A533" t="s">
        <v>359</v>
      </c>
      <c r="B533" t="s">
        <v>399</v>
      </c>
      <c r="C533" t="s">
        <v>34</v>
      </c>
      <c r="D533" t="s">
        <v>35</v>
      </c>
      <c r="E533" s="2">
        <v>204.155</v>
      </c>
      <c r="F533" s="2">
        <v>0</v>
      </c>
      <c r="G533" s="2">
        <v>34.001666666666601</v>
      </c>
      <c r="H533" s="2">
        <v>-33.954166666666602</v>
      </c>
      <c r="I533" s="1">
        <v>0.99964487766647803</v>
      </c>
      <c r="J533" s="1">
        <v>0.99894687859714404</v>
      </c>
      <c r="K533" s="1">
        <v>0.87581899369878702</v>
      </c>
      <c r="L533" s="1">
        <v>0.62277276256483505</v>
      </c>
      <c r="P533" s="1">
        <f>I533-'Passo 2'!I533</f>
        <v>2.3117239352452024E-2</v>
      </c>
      <c r="Q533" s="1">
        <f>J533-'Passo 2'!J533</f>
        <v>4.7992946535721059E-2</v>
      </c>
      <c r="R533" s="8">
        <f t="shared" si="33"/>
        <v>204.08249999999981</v>
      </c>
      <c r="S533" s="8">
        <f t="shared" si="32"/>
        <v>203.93999999999994</v>
      </c>
      <c r="T533" s="1">
        <f t="shared" si="34"/>
        <v>178.80282665857587</v>
      </c>
      <c r="U533" s="1">
        <f t="shared" si="35"/>
        <v>127.1421733414239</v>
      </c>
    </row>
    <row r="534" spans="1:21" x14ac:dyDescent="0.3">
      <c r="A534" t="s">
        <v>359</v>
      </c>
      <c r="B534" t="s">
        <v>737</v>
      </c>
      <c r="C534" t="s">
        <v>576</v>
      </c>
      <c r="D534" t="s">
        <v>14</v>
      </c>
      <c r="E534" s="2">
        <v>207.916</v>
      </c>
      <c r="F534" s="2">
        <v>21.035</v>
      </c>
      <c r="G534" s="2">
        <v>11.1014999999999</v>
      </c>
      <c r="H534" s="2">
        <v>-14.6413333333333</v>
      </c>
      <c r="I534" s="1">
        <v>0.60959714500086504</v>
      </c>
      <c r="J534" s="1">
        <v>0.66067306027434103</v>
      </c>
      <c r="K534" s="1">
        <v>0.38703855758029199</v>
      </c>
      <c r="L534" s="1">
        <v>0.43381698023305498</v>
      </c>
      <c r="P534" s="1">
        <f>I534-'Passo 2'!I534</f>
        <v>1.6600454029512046E-2</v>
      </c>
      <c r="Q534" s="1">
        <f>J534-'Passo 2'!J534</f>
        <v>3.6933184555301035E-2</v>
      </c>
      <c r="R534" s="8">
        <f t="shared" si="33"/>
        <v>126.74499999999985</v>
      </c>
      <c r="S534" s="8">
        <f t="shared" si="32"/>
        <v>137.36449999999988</v>
      </c>
      <c r="T534" s="1">
        <f t="shared" si="34"/>
        <v>80.471508737863985</v>
      </c>
      <c r="U534" s="1">
        <f t="shared" si="35"/>
        <v>90.197491262135856</v>
      </c>
    </row>
    <row r="535" spans="1:21" x14ac:dyDescent="0.3">
      <c r="A535" t="s">
        <v>359</v>
      </c>
      <c r="B535" t="s">
        <v>400</v>
      </c>
      <c r="C535" t="s">
        <v>574</v>
      </c>
      <c r="D535" t="s">
        <v>575</v>
      </c>
      <c r="E535" s="2">
        <v>0</v>
      </c>
      <c r="F535" s="2">
        <v>0</v>
      </c>
      <c r="G535" s="2">
        <v>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P535" s="1">
        <f>I535-'Passo 2'!I535</f>
        <v>0</v>
      </c>
      <c r="Q535" s="1">
        <f>J535-'Passo 2'!J535</f>
        <v>0</v>
      </c>
      <c r="R535" s="8">
        <f t="shared" si="33"/>
        <v>0</v>
      </c>
      <c r="S535" s="8">
        <f t="shared" si="32"/>
        <v>0</v>
      </c>
      <c r="T535" s="1">
        <f t="shared" si="34"/>
        <v>0</v>
      </c>
      <c r="U535" s="1">
        <f t="shared" si="35"/>
        <v>0</v>
      </c>
    </row>
    <row r="536" spans="1:21" x14ac:dyDescent="0.3">
      <c r="A536" t="s">
        <v>359</v>
      </c>
      <c r="B536" t="s">
        <v>401</v>
      </c>
      <c r="C536" t="s">
        <v>576</v>
      </c>
      <c r="D536" t="s">
        <v>14</v>
      </c>
      <c r="E536" s="2">
        <v>57.061</v>
      </c>
      <c r="F536" s="2">
        <v>0</v>
      </c>
      <c r="G536" s="2">
        <v>8.4863333333333308</v>
      </c>
      <c r="H536" s="2">
        <v>-7.4744999999999999</v>
      </c>
      <c r="I536" s="1">
        <v>0.94617164087555405</v>
      </c>
      <c r="J536" s="1">
        <v>0.89297418552075802</v>
      </c>
      <c r="K536" s="1">
        <v>0.77000527993405499</v>
      </c>
      <c r="L536" s="1">
        <v>0.56914054646225698</v>
      </c>
      <c r="P536" s="1">
        <f>I536-'Passo 2'!I536</f>
        <v>0.10371356968857903</v>
      </c>
      <c r="Q536" s="1">
        <f>J536-'Passo 2'!J536</f>
        <v>-1.7630255340776002E-2</v>
      </c>
      <c r="R536" s="8">
        <f t="shared" si="33"/>
        <v>53.989499999999992</v>
      </c>
      <c r="S536" s="8">
        <f t="shared" si="32"/>
        <v>50.953999999999972</v>
      </c>
      <c r="T536" s="1">
        <f t="shared" si="34"/>
        <v>43.937271278317112</v>
      </c>
      <c r="U536" s="1">
        <f t="shared" si="35"/>
        <v>32.475728721682849</v>
      </c>
    </row>
    <row r="537" spans="1:21" x14ac:dyDescent="0.3">
      <c r="A537" t="s">
        <v>359</v>
      </c>
      <c r="B537" t="s">
        <v>402</v>
      </c>
      <c r="C537" t="s">
        <v>576</v>
      </c>
      <c r="D537" t="s">
        <v>14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P537" s="1">
        <f>I537-'Passo 2'!I537</f>
        <v>0</v>
      </c>
      <c r="Q537" s="1">
        <f>J537-'Passo 2'!J537</f>
        <v>0</v>
      </c>
      <c r="R537" s="8">
        <f t="shared" si="33"/>
        <v>0</v>
      </c>
      <c r="S537" s="8">
        <f t="shared" si="32"/>
        <v>0</v>
      </c>
      <c r="T537" s="1">
        <f t="shared" si="34"/>
        <v>0</v>
      </c>
      <c r="U537" s="1">
        <f t="shared" si="35"/>
        <v>0</v>
      </c>
    </row>
    <row r="538" spans="1:21" x14ac:dyDescent="0.3">
      <c r="A538" t="s">
        <v>359</v>
      </c>
      <c r="B538" t="s">
        <v>403</v>
      </c>
      <c r="C538" t="s">
        <v>34</v>
      </c>
      <c r="D538" t="s">
        <v>35</v>
      </c>
      <c r="E538" s="2">
        <v>75.156999999999996</v>
      </c>
      <c r="F538" s="2">
        <v>0</v>
      </c>
      <c r="G538" s="2">
        <v>12.3901666666666</v>
      </c>
      <c r="H538" s="2">
        <v>-12.526166666666599</v>
      </c>
      <c r="I538" s="1">
        <v>0.99457136394480805</v>
      </c>
      <c r="J538" s="1">
        <v>1</v>
      </c>
      <c r="K538" s="1">
        <v>0.88427638133386599</v>
      </c>
      <c r="L538" s="1">
        <v>0.61029498261094195</v>
      </c>
      <c r="P538" s="1">
        <f>I538-'Passo 2'!I538</f>
        <v>3.0336495602538038E-2</v>
      </c>
      <c r="Q538" s="1">
        <f>J538-'Passo 2'!J538</f>
        <v>5.729339915111098E-2</v>
      </c>
      <c r="R538" s="8">
        <f t="shared" si="33"/>
        <v>74.748999999999938</v>
      </c>
      <c r="S538" s="8">
        <f t="shared" si="32"/>
        <v>75.156999999999996</v>
      </c>
      <c r="T538" s="1">
        <f t="shared" si="34"/>
        <v>66.459559991909359</v>
      </c>
      <c r="U538" s="1">
        <f t="shared" si="35"/>
        <v>45.867940008090564</v>
      </c>
    </row>
    <row r="539" spans="1:21" x14ac:dyDescent="0.3">
      <c r="A539" t="s">
        <v>359</v>
      </c>
      <c r="B539" t="s">
        <v>738</v>
      </c>
      <c r="C539" t="s">
        <v>576</v>
      </c>
      <c r="D539" t="s">
        <v>14</v>
      </c>
      <c r="E539" s="2">
        <v>55.787999999999997</v>
      </c>
      <c r="F539" s="2">
        <v>0</v>
      </c>
      <c r="G539" s="2">
        <v>7.6468333333333298</v>
      </c>
      <c r="H539" s="2">
        <v>-7.8861666666666599</v>
      </c>
      <c r="I539" s="1">
        <v>0.91120850362085004</v>
      </c>
      <c r="J539" s="1">
        <v>0.924078654907865</v>
      </c>
      <c r="K539" s="1">
        <v>0.71973360111777696</v>
      </c>
      <c r="L539" s="1">
        <v>0.61555355741093798</v>
      </c>
      <c r="P539" s="1">
        <f>I539-'Passo 2'!I539</f>
        <v>7.1009894600990053E-2</v>
      </c>
      <c r="Q539" s="1">
        <f>J539-'Passo 2'!J539</f>
        <v>1.045923854592401E-2</v>
      </c>
      <c r="R539" s="8">
        <f t="shared" si="33"/>
        <v>50.834499999999977</v>
      </c>
      <c r="S539" s="8">
        <f t="shared" si="32"/>
        <v>51.552499999999966</v>
      </c>
      <c r="T539" s="1">
        <f t="shared" si="34"/>
        <v>40.152498139158538</v>
      </c>
      <c r="U539" s="1">
        <f t="shared" si="35"/>
        <v>34.340501860841407</v>
      </c>
    </row>
    <row r="540" spans="1:21" x14ac:dyDescent="0.3">
      <c r="A540" t="s">
        <v>359</v>
      </c>
      <c r="B540" t="s">
        <v>404</v>
      </c>
      <c r="C540" t="s">
        <v>574</v>
      </c>
      <c r="D540" t="s">
        <v>575</v>
      </c>
      <c r="E540" s="2">
        <v>56.759</v>
      </c>
      <c r="F540" s="2">
        <v>0</v>
      </c>
      <c r="G540" s="2">
        <v>8.5774999999999899</v>
      </c>
      <c r="H540" s="2">
        <v>-9.2969999999999899</v>
      </c>
      <c r="I540" s="1">
        <v>0.95336422417590105</v>
      </c>
      <c r="J540" s="1">
        <v>0.99139343540231495</v>
      </c>
      <c r="K540" s="1">
        <v>0.71205534759439004</v>
      </c>
      <c r="L540" s="1">
        <v>0.73270231198382496</v>
      </c>
      <c r="P540" s="1">
        <f>I540-'Passo 2'!I540</f>
        <v>7.6569354639793086E-2</v>
      </c>
      <c r="Q540" s="1">
        <f>J540-'Passo 2'!J540</f>
        <v>6.1223770679539324E-3</v>
      </c>
      <c r="R540" s="8">
        <f t="shared" si="33"/>
        <v>54.111999999999966</v>
      </c>
      <c r="S540" s="8">
        <f t="shared" si="32"/>
        <v>56.270499999999991</v>
      </c>
      <c r="T540" s="1">
        <f t="shared" si="34"/>
        <v>40.415549474109987</v>
      </c>
      <c r="U540" s="1">
        <f t="shared" si="35"/>
        <v>41.587450525889921</v>
      </c>
    </row>
    <row r="541" spans="1:21" x14ac:dyDescent="0.3">
      <c r="A541" t="s">
        <v>359</v>
      </c>
      <c r="B541" t="s">
        <v>739</v>
      </c>
      <c r="C541" t="s">
        <v>34</v>
      </c>
      <c r="D541" t="s">
        <v>35</v>
      </c>
      <c r="E541" s="2">
        <v>86.245999999999995</v>
      </c>
      <c r="F541" s="2">
        <v>0</v>
      </c>
      <c r="G541" s="2">
        <v>14.374333333333301</v>
      </c>
      <c r="H541" s="2">
        <v>-14.3541666666666</v>
      </c>
      <c r="I541" s="1">
        <v>1</v>
      </c>
      <c r="J541" s="1">
        <v>0.99929851819214799</v>
      </c>
      <c r="K541" s="1">
        <v>0.872560340399821</v>
      </c>
      <c r="L541" s="1">
        <v>0.62673817779232599</v>
      </c>
      <c r="P541" s="1">
        <f>I541-'Passo 2'!I541</f>
        <v>7.426431370730957E-3</v>
      </c>
      <c r="Q541" s="1">
        <f>J541-'Passo 2'!J541</f>
        <v>1.4325302042993981E-2</v>
      </c>
      <c r="R541" s="8">
        <f t="shared" si="33"/>
        <v>86.245999999999995</v>
      </c>
      <c r="S541" s="8">
        <f t="shared" si="32"/>
        <v>86.18549999999999</v>
      </c>
      <c r="T541" s="1">
        <f t="shared" si="34"/>
        <v>75.254839118122959</v>
      </c>
      <c r="U541" s="1">
        <f t="shared" si="35"/>
        <v>54.053660881876944</v>
      </c>
    </row>
    <row r="542" spans="1:21" x14ac:dyDescent="0.3">
      <c r="A542" t="s">
        <v>359</v>
      </c>
      <c r="B542" t="s">
        <v>740</v>
      </c>
      <c r="C542" t="s">
        <v>576</v>
      </c>
      <c r="D542" t="s">
        <v>598</v>
      </c>
      <c r="E542" s="2">
        <v>166.18199999999999</v>
      </c>
      <c r="F542" s="2">
        <v>0</v>
      </c>
      <c r="G542" s="2">
        <v>14.0226666666666</v>
      </c>
      <c r="H542" s="2">
        <v>-19.879166666666599</v>
      </c>
      <c r="I542" s="1">
        <v>0.753144143168333</v>
      </c>
      <c r="J542" s="1">
        <v>0.85886858985931003</v>
      </c>
      <c r="K542" s="1">
        <v>0.43595807822740701</v>
      </c>
      <c r="L542" s="1">
        <v>0.67605465480023597</v>
      </c>
      <c r="P542" s="1">
        <f>I542-'Passo 2'!I542</f>
        <v>1.4953484733605027E-2</v>
      </c>
      <c r="Q542" s="1">
        <f>J542-'Passo 2'!J542</f>
        <v>2.0910808631500077E-2</v>
      </c>
      <c r="R542" s="8">
        <f t="shared" si="33"/>
        <v>125.15899999999991</v>
      </c>
      <c r="S542" s="8">
        <f t="shared" si="32"/>
        <v>142.72849999999985</v>
      </c>
      <c r="T542" s="1">
        <f t="shared" si="34"/>
        <v>72.448385355986943</v>
      </c>
      <c r="U542" s="1">
        <f t="shared" si="35"/>
        <v>112.34811464401281</v>
      </c>
    </row>
    <row r="543" spans="1:21" x14ac:dyDescent="0.3">
      <c r="A543" t="s">
        <v>359</v>
      </c>
      <c r="B543" t="s">
        <v>741</v>
      </c>
      <c r="C543" t="s">
        <v>34</v>
      </c>
      <c r="D543" t="s">
        <v>35</v>
      </c>
      <c r="E543" s="2">
        <v>143.28200000000001</v>
      </c>
      <c r="F543" s="2">
        <v>0</v>
      </c>
      <c r="G543" s="2">
        <v>23.759499999999999</v>
      </c>
      <c r="H543" s="2">
        <v>-23.880333333333301</v>
      </c>
      <c r="I543" s="1">
        <v>0.99747002414818298</v>
      </c>
      <c r="J543" s="1">
        <v>1</v>
      </c>
      <c r="K543" s="1">
        <v>0.898289456815624</v>
      </c>
      <c r="L543" s="1">
        <v>0.59918056733255798</v>
      </c>
      <c r="P543" s="1">
        <f>I543-'Passo 2'!I543</f>
        <v>8.3412431428929956E-2</v>
      </c>
      <c r="Q543" s="1">
        <f>J543-'Passo 2'!J543</f>
        <v>0.11870297734537505</v>
      </c>
      <c r="R543" s="8">
        <f t="shared" si="33"/>
        <v>142.91949999999997</v>
      </c>
      <c r="S543" s="8">
        <f t="shared" si="32"/>
        <v>143.28200000000001</v>
      </c>
      <c r="T543" s="1">
        <f t="shared" si="34"/>
        <v>128.70870995145626</v>
      </c>
      <c r="U543" s="1">
        <f t="shared" si="35"/>
        <v>85.851790048543577</v>
      </c>
    </row>
    <row r="544" spans="1:21" x14ac:dyDescent="0.3">
      <c r="A544" t="s">
        <v>359</v>
      </c>
      <c r="B544" t="s">
        <v>405</v>
      </c>
      <c r="C544" t="s">
        <v>576</v>
      </c>
      <c r="D544" t="s">
        <v>14</v>
      </c>
      <c r="E544" s="2">
        <v>107.691</v>
      </c>
      <c r="F544" s="2">
        <v>0</v>
      </c>
      <c r="G544" s="2">
        <v>10.757499999999901</v>
      </c>
      <c r="H544" s="2">
        <v>-13.475166666666601</v>
      </c>
      <c r="I544" s="1">
        <v>0.79967685321893101</v>
      </c>
      <c r="J544" s="1">
        <v>0.87538420109387005</v>
      </c>
      <c r="K544" s="1">
        <v>0.62208380404813302</v>
      </c>
      <c r="L544" s="1">
        <v>0.55297725026466804</v>
      </c>
      <c r="P544" s="1">
        <f>I544-'Passo 2'!I544</f>
        <v>5.1090620386104013E-2</v>
      </c>
      <c r="Q544" s="1">
        <f>J544-'Passo 2'!J544</f>
        <v>-5.010167980611191E-2</v>
      </c>
      <c r="R544" s="8">
        <f t="shared" si="33"/>
        <v>86.117999999999896</v>
      </c>
      <c r="S544" s="8">
        <f t="shared" si="32"/>
        <v>94.270999999999958</v>
      </c>
      <c r="T544" s="1">
        <f t="shared" si="34"/>
        <v>66.992826941747495</v>
      </c>
      <c r="U544" s="1">
        <f t="shared" si="35"/>
        <v>59.550673058252364</v>
      </c>
    </row>
    <row r="545" spans="1:21" x14ac:dyDescent="0.3">
      <c r="A545" t="s">
        <v>359</v>
      </c>
      <c r="B545" t="s">
        <v>406</v>
      </c>
      <c r="C545" t="s">
        <v>34</v>
      </c>
      <c r="D545" t="s">
        <v>35</v>
      </c>
      <c r="E545" s="2">
        <v>499.81700000000001</v>
      </c>
      <c r="F545" s="2">
        <v>0</v>
      </c>
      <c r="G545" s="2">
        <v>83.165999999999997</v>
      </c>
      <c r="H545" s="2">
        <v>-83.297499999999999</v>
      </c>
      <c r="I545" s="1">
        <v>0.99917869940398096</v>
      </c>
      <c r="J545" s="1">
        <v>0.99996798828371103</v>
      </c>
      <c r="K545" s="1">
        <v>0.86297292802693204</v>
      </c>
      <c r="L545" s="1">
        <v>0.63617375966075995</v>
      </c>
      <c r="P545" s="1">
        <f>I545-'Passo 2'!I545</f>
        <v>1.0312774475457975E-2</v>
      </c>
      <c r="Q545" s="1">
        <f>J545-'Passo 2'!J545</f>
        <v>2.0832624740655059E-2</v>
      </c>
      <c r="R545" s="8">
        <f t="shared" si="33"/>
        <v>499.40649999999954</v>
      </c>
      <c r="S545" s="8">
        <f t="shared" si="32"/>
        <v>499.80099999999959</v>
      </c>
      <c r="T545" s="1">
        <f t="shared" si="34"/>
        <v>431.32853996763708</v>
      </c>
      <c r="U545" s="1">
        <f t="shared" si="35"/>
        <v>317.97046003236204</v>
      </c>
    </row>
    <row r="546" spans="1:21" x14ac:dyDescent="0.3">
      <c r="A546" t="s">
        <v>359</v>
      </c>
      <c r="B546" t="s">
        <v>407</v>
      </c>
      <c r="C546" t="s">
        <v>576</v>
      </c>
      <c r="D546" t="s">
        <v>14</v>
      </c>
      <c r="E546" s="2">
        <v>51.982999999999997</v>
      </c>
      <c r="F546" s="2">
        <v>0</v>
      </c>
      <c r="G546" s="2">
        <v>6.3239999999999998</v>
      </c>
      <c r="H546" s="2">
        <v>-5.1414999999999997</v>
      </c>
      <c r="I546" s="1">
        <v>0.86496546948040698</v>
      </c>
      <c r="J546" s="1">
        <v>0.79672200527095305</v>
      </c>
      <c r="K546" s="1">
        <v>0.66102087877621396</v>
      </c>
      <c r="L546" s="1">
        <v>0.50066659597514596</v>
      </c>
      <c r="P546" s="1">
        <f>I546-'Passo 2'!I546</f>
        <v>4.6630629244175936E-2</v>
      </c>
      <c r="Q546" s="1">
        <f>J546-'Passo 2'!J546</f>
        <v>5.0016351499504452E-4</v>
      </c>
      <c r="R546" s="8">
        <f t="shared" si="33"/>
        <v>44.963499999999996</v>
      </c>
      <c r="S546" s="8">
        <f t="shared" si="32"/>
        <v>41.415999999999947</v>
      </c>
      <c r="T546" s="1">
        <f t="shared" si="34"/>
        <v>34.361848341423929</v>
      </c>
      <c r="U546" s="1">
        <f t="shared" si="35"/>
        <v>26.026151658576012</v>
      </c>
    </row>
    <row r="547" spans="1:21" x14ac:dyDescent="0.3">
      <c r="A547" t="s">
        <v>359</v>
      </c>
      <c r="B547" t="s">
        <v>408</v>
      </c>
      <c r="C547" t="s">
        <v>576</v>
      </c>
      <c r="D547" t="s">
        <v>14</v>
      </c>
      <c r="E547" s="2">
        <v>76.971000000000004</v>
      </c>
      <c r="F547" s="2">
        <v>0</v>
      </c>
      <c r="G547" s="2">
        <v>11.3044999999999</v>
      </c>
      <c r="H547" s="2">
        <v>-11.0251666666666</v>
      </c>
      <c r="I547" s="1">
        <v>0.94060100557352699</v>
      </c>
      <c r="J547" s="1">
        <v>0.92971378830988205</v>
      </c>
      <c r="K547" s="1">
        <v>0.69754293362452002</v>
      </c>
      <c r="L547" s="1">
        <v>0.67277186025889002</v>
      </c>
      <c r="P547" s="1">
        <f>I547-'Passo 2'!I547</f>
        <v>6.6096321991399032E-2</v>
      </c>
      <c r="Q547" s="1">
        <f>J547-'Passo 2'!J547</f>
        <v>8.9644151693402119E-4</v>
      </c>
      <c r="R547" s="8">
        <f t="shared" si="33"/>
        <v>72.398999999999944</v>
      </c>
      <c r="S547" s="8">
        <f t="shared" si="32"/>
        <v>71.560999999999936</v>
      </c>
      <c r="T547" s="1">
        <f t="shared" si="34"/>
        <v>53.690577144012934</v>
      </c>
      <c r="U547" s="1">
        <f t="shared" si="35"/>
        <v>51.783922855987029</v>
      </c>
    </row>
    <row r="548" spans="1:21" x14ac:dyDescent="0.3">
      <c r="A548" t="s">
        <v>359</v>
      </c>
      <c r="B548" t="s">
        <v>409</v>
      </c>
      <c r="C548" t="s">
        <v>34</v>
      </c>
      <c r="D548" t="s">
        <v>35</v>
      </c>
      <c r="E548" s="2">
        <v>489.16</v>
      </c>
      <c r="F548" s="2">
        <v>0</v>
      </c>
      <c r="G548" s="2">
        <v>81.277333333333303</v>
      </c>
      <c r="H548" s="2">
        <v>-81.323333333333295</v>
      </c>
      <c r="I548" s="1">
        <v>0.99847084798429897</v>
      </c>
      <c r="J548" s="1">
        <v>0.99875296426527105</v>
      </c>
      <c r="K548" s="1">
        <v>0.913768356495964</v>
      </c>
      <c r="L548" s="1">
        <v>0.58345545575360602</v>
      </c>
      <c r="P548" s="1">
        <f>I548-'Passo 2'!I548</f>
        <v>5.2636151770381945E-2</v>
      </c>
      <c r="Q548" s="1">
        <f>J548-'Passo 2'!J548</f>
        <v>8.6000490637011096E-2</v>
      </c>
      <c r="R548" s="8">
        <f t="shared" si="33"/>
        <v>488.41199999999969</v>
      </c>
      <c r="S548" s="8">
        <f t="shared" si="32"/>
        <v>488.55</v>
      </c>
      <c r="T548" s="1">
        <f t="shared" si="34"/>
        <v>446.97892926356576</v>
      </c>
      <c r="U548" s="1">
        <f t="shared" si="35"/>
        <v>285.40307073643396</v>
      </c>
    </row>
    <row r="549" spans="1:21" x14ac:dyDescent="0.3">
      <c r="A549" t="s">
        <v>359</v>
      </c>
      <c r="B549" t="s">
        <v>742</v>
      </c>
      <c r="C549" t="s">
        <v>34</v>
      </c>
      <c r="D549" t="s">
        <v>35</v>
      </c>
      <c r="E549" s="2">
        <v>1287.8050000000001</v>
      </c>
      <c r="F549" s="2">
        <v>0</v>
      </c>
      <c r="G549" s="2">
        <v>214.634166666666</v>
      </c>
      <c r="H549" s="2">
        <v>-210.08349999999999</v>
      </c>
      <c r="I549" s="1">
        <v>1</v>
      </c>
      <c r="J549" s="1">
        <v>0.98939901615539605</v>
      </c>
      <c r="K549" s="1">
        <v>0.90358246811271603</v>
      </c>
      <c r="L549" s="1">
        <v>0.58581654804268002</v>
      </c>
      <c r="P549" s="1">
        <f>I549-'Passo 2'!I549</f>
        <v>0.10658989520929096</v>
      </c>
      <c r="Q549" s="1">
        <f>J549-'Passo 2'!J549</f>
        <v>9.7727528624287019E-2</v>
      </c>
      <c r="R549" s="8">
        <f t="shared" si="33"/>
        <v>1287.8050000000001</v>
      </c>
      <c r="S549" s="8">
        <f t="shared" si="32"/>
        <v>1274.1529999999998</v>
      </c>
      <c r="T549" s="1">
        <f t="shared" si="34"/>
        <v>1163.6380203478964</v>
      </c>
      <c r="U549" s="1">
        <f t="shared" si="35"/>
        <v>754.41747965210357</v>
      </c>
    </row>
    <row r="550" spans="1:21" x14ac:dyDescent="0.3">
      <c r="A550" t="s">
        <v>359</v>
      </c>
      <c r="B550" t="s">
        <v>743</v>
      </c>
      <c r="C550" t="s">
        <v>576</v>
      </c>
      <c r="D550" t="s">
        <v>14</v>
      </c>
      <c r="E550" s="2">
        <v>192.87799999999999</v>
      </c>
      <c r="F550" s="2">
        <v>0</v>
      </c>
      <c r="G550" s="2">
        <v>16.120999999999999</v>
      </c>
      <c r="H550" s="2">
        <v>-17.582999999999998</v>
      </c>
      <c r="I550" s="1">
        <v>0.75074399361254196</v>
      </c>
      <c r="J550" s="1">
        <v>0.77348375657151103</v>
      </c>
      <c r="K550" s="1">
        <v>0.56998307232692003</v>
      </c>
      <c r="L550" s="1">
        <v>0.45424467785713302</v>
      </c>
      <c r="P550" s="1">
        <f>I550-'Passo 2'!I550</f>
        <v>9.4126857391718999E-2</v>
      </c>
      <c r="Q550" s="1">
        <f>J550-'Passo 2'!J550</f>
        <v>9.2449631373200059E-2</v>
      </c>
      <c r="R550" s="8">
        <f t="shared" si="33"/>
        <v>144.80199999999985</v>
      </c>
      <c r="S550" s="8">
        <f t="shared" si="32"/>
        <v>149.1879999999999</v>
      </c>
      <c r="T550" s="1">
        <f t="shared" si="34"/>
        <v>109.93719502427167</v>
      </c>
      <c r="U550" s="1">
        <f t="shared" si="35"/>
        <v>87.613804975728101</v>
      </c>
    </row>
    <row r="551" spans="1:21" x14ac:dyDescent="0.3">
      <c r="A551" t="s">
        <v>359</v>
      </c>
      <c r="B551" t="s">
        <v>744</v>
      </c>
      <c r="C551" t="s">
        <v>34</v>
      </c>
      <c r="D551" t="s">
        <v>35</v>
      </c>
      <c r="E551" s="2">
        <v>197.27500000000001</v>
      </c>
      <c r="F551" s="2">
        <v>0</v>
      </c>
      <c r="G551" s="2">
        <v>32.879166666666599</v>
      </c>
      <c r="H551" s="2">
        <v>-32.879166666666599</v>
      </c>
      <c r="I551" s="1">
        <v>1</v>
      </c>
      <c r="J551" s="1">
        <v>1</v>
      </c>
      <c r="K551" s="1">
        <v>0.904232114530927</v>
      </c>
      <c r="L551" s="1">
        <v>0.595767885469072</v>
      </c>
      <c r="P551" s="1">
        <f>I551-'Passo 2'!I551</f>
        <v>7.622101127867198E-2</v>
      </c>
      <c r="Q551" s="1">
        <f>J551-'Passo 2'!J551</f>
        <v>7.2350779368901996E-2</v>
      </c>
      <c r="R551" s="8">
        <f t="shared" si="33"/>
        <v>197.27500000000001</v>
      </c>
      <c r="S551" s="8">
        <f t="shared" si="32"/>
        <v>197.27500000000001</v>
      </c>
      <c r="T551" s="1">
        <f t="shared" si="34"/>
        <v>178.38239039408862</v>
      </c>
      <c r="U551" s="1">
        <f t="shared" si="35"/>
        <v>117.53010960591118</v>
      </c>
    </row>
    <row r="552" spans="1:21" x14ac:dyDescent="0.3">
      <c r="A552" t="s">
        <v>359</v>
      </c>
      <c r="B552" t="s">
        <v>745</v>
      </c>
      <c r="C552" t="s">
        <v>34</v>
      </c>
      <c r="D552" t="s">
        <v>35</v>
      </c>
      <c r="E552" s="2">
        <v>477.928</v>
      </c>
      <c r="F552" s="2">
        <v>0</v>
      </c>
      <c r="G552" s="2">
        <v>79.533000000000001</v>
      </c>
      <c r="H552" s="2">
        <v>-79.462833333333293</v>
      </c>
      <c r="I552" s="1">
        <v>0.99923628663731701</v>
      </c>
      <c r="J552" s="1">
        <v>0.99879584372541397</v>
      </c>
      <c r="K552" s="1">
        <v>0.89765313745873498</v>
      </c>
      <c r="L552" s="1">
        <v>0.60037899290399699</v>
      </c>
      <c r="P552" s="1">
        <f>I552-'Passo 2'!I552</f>
        <v>0.11281197167774204</v>
      </c>
      <c r="Q552" s="1">
        <f>J552-'Passo 2'!J552</f>
        <v>8.8742446560987953E-2</v>
      </c>
      <c r="R552" s="8">
        <f t="shared" si="33"/>
        <v>477.56299999999965</v>
      </c>
      <c r="S552" s="8">
        <f t="shared" si="32"/>
        <v>477.35249999999962</v>
      </c>
      <c r="T552" s="1">
        <f t="shared" si="34"/>
        <v>429.0135686793783</v>
      </c>
      <c r="U552" s="1">
        <f t="shared" si="35"/>
        <v>286.93793132062149</v>
      </c>
    </row>
    <row r="553" spans="1:21" x14ac:dyDescent="0.3">
      <c r="A553" t="s">
        <v>359</v>
      </c>
      <c r="B553" t="s">
        <v>410</v>
      </c>
      <c r="C553" t="s">
        <v>34</v>
      </c>
      <c r="D553" t="s">
        <v>35</v>
      </c>
      <c r="E553" s="2">
        <v>478.42700000000002</v>
      </c>
      <c r="F553" s="2">
        <v>0</v>
      </c>
      <c r="G553" s="2">
        <v>79.737833333333299</v>
      </c>
      <c r="H553" s="2">
        <v>-78.588333333333296</v>
      </c>
      <c r="I553" s="1">
        <v>1</v>
      </c>
      <c r="J553" s="1">
        <v>0.99279200379577204</v>
      </c>
      <c r="K553" s="1">
        <v>0.88139031972853399</v>
      </c>
      <c r="L553" s="1">
        <v>0.61140168406723705</v>
      </c>
      <c r="P553" s="1">
        <f>I553-'Passo 2'!I553</f>
        <v>4.308180767389802E-2</v>
      </c>
      <c r="Q553" s="1">
        <f>J553-'Passo 2'!J553</f>
        <v>3.000980295844502E-2</v>
      </c>
      <c r="R553" s="8">
        <f t="shared" si="33"/>
        <v>478.42700000000002</v>
      </c>
      <c r="S553" s="8">
        <f t="shared" si="32"/>
        <v>474.97849999999983</v>
      </c>
      <c r="T553" s="1">
        <f t="shared" si="34"/>
        <v>421.68092649676333</v>
      </c>
      <c r="U553" s="1">
        <f t="shared" si="35"/>
        <v>292.51107350323605</v>
      </c>
    </row>
    <row r="554" spans="1:21" x14ac:dyDescent="0.3">
      <c r="A554" t="s">
        <v>359</v>
      </c>
      <c r="B554" t="s">
        <v>411</v>
      </c>
      <c r="C554" t="s">
        <v>34</v>
      </c>
      <c r="D554" t="s">
        <v>35</v>
      </c>
      <c r="E554" s="2">
        <v>321.77499999999998</v>
      </c>
      <c r="F554" s="2">
        <v>0</v>
      </c>
      <c r="G554" s="2">
        <v>53.608166666666598</v>
      </c>
      <c r="H554" s="2">
        <v>-53.294499999999999</v>
      </c>
      <c r="I554" s="1">
        <v>0.999804211017015</v>
      </c>
      <c r="J554" s="1">
        <v>0.99687980731877801</v>
      </c>
      <c r="K554" s="1">
        <v>0.88329549595827495</v>
      </c>
      <c r="L554" s="1">
        <v>0.61338852237751795</v>
      </c>
      <c r="P554" s="1">
        <f>I554-'Passo 2'!I554</f>
        <v>4.1835133245280987E-2</v>
      </c>
      <c r="Q554" s="1">
        <f>J554-'Passo 2'!J554</f>
        <v>2.9163235179861968E-2</v>
      </c>
      <c r="R554" s="8">
        <f t="shared" si="33"/>
        <v>321.71199999999999</v>
      </c>
      <c r="S554" s="8">
        <f t="shared" si="32"/>
        <v>320.77099999999979</v>
      </c>
      <c r="T554" s="1">
        <f t="shared" si="34"/>
        <v>284.22240821197391</v>
      </c>
      <c r="U554" s="1">
        <f t="shared" si="35"/>
        <v>197.37309178802582</v>
      </c>
    </row>
    <row r="555" spans="1:21" x14ac:dyDescent="0.3">
      <c r="A555" t="s">
        <v>359</v>
      </c>
      <c r="B555" t="s">
        <v>412</v>
      </c>
      <c r="C555" t="s">
        <v>574</v>
      </c>
      <c r="D555" t="s">
        <v>575</v>
      </c>
      <c r="E555" s="2">
        <v>150.65600000000001</v>
      </c>
      <c r="F555" s="2">
        <v>0</v>
      </c>
      <c r="G555" s="2">
        <v>21.1875</v>
      </c>
      <c r="H555" s="2">
        <v>-24.626999999999999</v>
      </c>
      <c r="I555" s="1">
        <v>0.92190486937128202</v>
      </c>
      <c r="J555" s="1">
        <v>0.99039533772302402</v>
      </c>
      <c r="K555" s="1">
        <v>0.53747619687139903</v>
      </c>
      <c r="L555" s="1">
        <v>0.87482401022290701</v>
      </c>
      <c r="P555" s="1">
        <f>I555-'Passo 2'!I555</f>
        <v>5.5009425446049032E-2</v>
      </c>
      <c r="Q555" s="1">
        <f>J555-'Passo 2'!J555</f>
        <v>6.7969413763799835E-3</v>
      </c>
      <c r="R555" s="8">
        <f t="shared" si="33"/>
        <v>138.89049999999986</v>
      </c>
      <c r="S555" s="8">
        <f t="shared" si="32"/>
        <v>149.20899999999992</v>
      </c>
      <c r="T555" s="1">
        <f t="shared" si="34"/>
        <v>80.974013915857498</v>
      </c>
      <c r="U555" s="1">
        <f t="shared" si="35"/>
        <v>131.79748608414229</v>
      </c>
    </row>
    <row r="556" spans="1:21" x14ac:dyDescent="0.3">
      <c r="A556" t="s">
        <v>359</v>
      </c>
      <c r="B556" t="s">
        <v>746</v>
      </c>
      <c r="C556" t="s">
        <v>34</v>
      </c>
      <c r="D556" t="s">
        <v>35</v>
      </c>
      <c r="E556" s="2">
        <v>87.775999999999996</v>
      </c>
      <c r="F556" s="2">
        <v>0</v>
      </c>
      <c r="G556" s="2">
        <v>14.6293333333333</v>
      </c>
      <c r="H556" s="2">
        <v>-14.5996666666666</v>
      </c>
      <c r="I556" s="1">
        <v>1</v>
      </c>
      <c r="J556" s="1">
        <v>0.99898605541378005</v>
      </c>
      <c r="K556" s="1">
        <v>0.87311385097857197</v>
      </c>
      <c r="L556" s="1">
        <v>0.62587220443520797</v>
      </c>
      <c r="P556" s="1">
        <f>I556-'Passo 2'!I556</f>
        <v>3.7037458986511007E-2</v>
      </c>
      <c r="Q556" s="1">
        <f>J556-'Passo 2'!J556</f>
        <v>4.1708439664601027E-2</v>
      </c>
      <c r="R556" s="8">
        <f t="shared" si="33"/>
        <v>87.775999999999996</v>
      </c>
      <c r="S556" s="8">
        <f t="shared" si="32"/>
        <v>87.686999999999955</v>
      </c>
      <c r="T556" s="1">
        <f t="shared" si="34"/>
        <v>76.638441383495135</v>
      </c>
      <c r="U556" s="1">
        <f t="shared" si="35"/>
        <v>54.936558616504811</v>
      </c>
    </row>
    <row r="557" spans="1:21" x14ac:dyDescent="0.3">
      <c r="A557" t="s">
        <v>359</v>
      </c>
      <c r="B557" t="s">
        <v>413</v>
      </c>
      <c r="C557" t="s">
        <v>34</v>
      </c>
      <c r="D557" t="s">
        <v>35</v>
      </c>
      <c r="E557" s="2">
        <v>358.55799999999999</v>
      </c>
      <c r="F557" s="2">
        <v>0</v>
      </c>
      <c r="G557" s="2">
        <v>59.759666666666597</v>
      </c>
      <c r="H557" s="2">
        <v>-58.699833333333302</v>
      </c>
      <c r="I557" s="1">
        <v>1</v>
      </c>
      <c r="J557" s="1">
        <v>0.99113253643761901</v>
      </c>
      <c r="K557" s="1">
        <v>0.91516370393177304</v>
      </c>
      <c r="L557" s="1">
        <v>0.57596883250584496</v>
      </c>
      <c r="P557" s="1">
        <f>I557-'Passo 2'!I557</f>
        <v>4.5853111630476007E-2</v>
      </c>
      <c r="Q557" s="1">
        <f>J557-'Passo 2'!J557</f>
        <v>8.3566675405373991E-2</v>
      </c>
      <c r="R557" s="8">
        <f t="shared" si="33"/>
        <v>358.55799999999999</v>
      </c>
      <c r="S557" s="8">
        <f t="shared" si="32"/>
        <v>355.3784999999998</v>
      </c>
      <c r="T557" s="1">
        <f t="shared" si="34"/>
        <v>328.13926735436866</v>
      </c>
      <c r="U557" s="1">
        <f t="shared" si="35"/>
        <v>206.51823264563075</v>
      </c>
    </row>
    <row r="558" spans="1:21" x14ac:dyDescent="0.3">
      <c r="A558" t="s">
        <v>359</v>
      </c>
      <c r="B558" t="s">
        <v>414</v>
      </c>
      <c r="C558" t="s">
        <v>34</v>
      </c>
      <c r="D558" t="s">
        <v>35</v>
      </c>
      <c r="E558" s="2">
        <v>322.61</v>
      </c>
      <c r="F558" s="2">
        <v>0</v>
      </c>
      <c r="G558" s="2">
        <v>53.768333333333302</v>
      </c>
      <c r="H558" s="2">
        <v>-53.19</v>
      </c>
      <c r="I558" s="1">
        <v>1</v>
      </c>
      <c r="J558" s="1">
        <v>0.99462198939896396</v>
      </c>
      <c r="K558" s="1">
        <v>0.87805844515640896</v>
      </c>
      <c r="L558" s="1">
        <v>0.616563544242554</v>
      </c>
      <c r="P558" s="1">
        <f>I558-'Passo 2'!I558</f>
        <v>7.3618300734640263E-3</v>
      </c>
      <c r="Q558" s="1">
        <f>J558-'Passo 2'!J558</f>
        <v>3.3078639843773905E-2</v>
      </c>
      <c r="R558" s="8">
        <f t="shared" si="33"/>
        <v>322.61</v>
      </c>
      <c r="S558" s="8">
        <f t="shared" si="32"/>
        <v>320.87499999999977</v>
      </c>
      <c r="T558" s="1">
        <f t="shared" si="34"/>
        <v>283.2704349919091</v>
      </c>
      <c r="U558" s="1">
        <f t="shared" si="35"/>
        <v>198.90956500809034</v>
      </c>
    </row>
    <row r="559" spans="1:21" x14ac:dyDescent="0.3">
      <c r="A559" t="s">
        <v>359</v>
      </c>
      <c r="B559" t="s">
        <v>747</v>
      </c>
      <c r="C559" t="s">
        <v>576</v>
      </c>
      <c r="D559" t="s">
        <v>14</v>
      </c>
      <c r="E559" s="2">
        <v>87.245999999999995</v>
      </c>
      <c r="F559" s="2">
        <v>0</v>
      </c>
      <c r="G559" s="2">
        <v>8.9678333333333295</v>
      </c>
      <c r="H559" s="2">
        <v>-9.3234999999999992</v>
      </c>
      <c r="I559" s="1">
        <v>0.80836370721866901</v>
      </c>
      <c r="J559" s="1">
        <v>0.82059349425761596</v>
      </c>
      <c r="K559" s="1">
        <v>0.61434478788801405</v>
      </c>
      <c r="L559" s="1">
        <v>0.51461241358827103</v>
      </c>
      <c r="P559" s="1">
        <f>I559-'Passo 2'!I559</f>
        <v>1.2991999633221063E-2</v>
      </c>
      <c r="Q559" s="1">
        <f>J559-'Passo 2'!J559</f>
        <v>1.2499140361735939E-2</v>
      </c>
      <c r="R559" s="8">
        <f t="shared" si="33"/>
        <v>70.526499999999999</v>
      </c>
      <c r="S559" s="8">
        <f t="shared" si="32"/>
        <v>71.593499999999963</v>
      </c>
      <c r="T559" s="1">
        <f t="shared" si="34"/>
        <v>53.599125364077672</v>
      </c>
      <c r="U559" s="1">
        <f t="shared" si="35"/>
        <v>44.897874635922292</v>
      </c>
    </row>
    <row r="560" spans="1:21" x14ac:dyDescent="0.3">
      <c r="A560" t="s">
        <v>359</v>
      </c>
      <c r="B560" t="s">
        <v>415</v>
      </c>
      <c r="C560" t="s">
        <v>576</v>
      </c>
      <c r="D560" t="s">
        <v>14</v>
      </c>
      <c r="E560" s="2">
        <v>134.29300000000001</v>
      </c>
      <c r="F560" s="2">
        <v>0</v>
      </c>
      <c r="G560" s="2">
        <v>14.138833333333301</v>
      </c>
      <c r="H560" s="2">
        <v>-17.320833333333301</v>
      </c>
      <c r="I560" s="1">
        <v>0.81585041662633195</v>
      </c>
      <c r="J560" s="1">
        <v>0.88693379401755801</v>
      </c>
      <c r="K560" s="1">
        <v>0.64244171417243801</v>
      </c>
      <c r="L560" s="1">
        <v>0.56034249647145196</v>
      </c>
      <c r="P560" s="1">
        <f>I560-'Passo 2'!I560</f>
        <v>7.977705464916296E-2</v>
      </c>
      <c r="Q560" s="1">
        <f>J560-'Passo 2'!J560</f>
        <v>3.447312964934901E-2</v>
      </c>
      <c r="R560" s="8">
        <f t="shared" si="33"/>
        <v>109.563</v>
      </c>
      <c r="S560" s="8">
        <f t="shared" si="32"/>
        <v>119.10899999999992</v>
      </c>
      <c r="T560" s="1">
        <f t="shared" si="34"/>
        <v>86.27542512135922</v>
      </c>
      <c r="U560" s="1">
        <f t="shared" si="35"/>
        <v>75.250074878640703</v>
      </c>
    </row>
    <row r="561" spans="1:21" x14ac:dyDescent="0.3">
      <c r="A561" t="s">
        <v>359</v>
      </c>
      <c r="B561" t="s">
        <v>416</v>
      </c>
      <c r="C561" t="s">
        <v>576</v>
      </c>
      <c r="D561" t="s">
        <v>14</v>
      </c>
      <c r="E561" s="2">
        <v>84.69</v>
      </c>
      <c r="F561" s="2">
        <v>0</v>
      </c>
      <c r="G561" s="2">
        <v>6.2543333333333297</v>
      </c>
      <c r="H561" s="2">
        <v>-7.6896666666666604</v>
      </c>
      <c r="I561" s="1">
        <v>0.72154917936001794</v>
      </c>
      <c r="J561" s="1">
        <v>0.772393434880151</v>
      </c>
      <c r="K561" s="1">
        <v>0.56313146728540897</v>
      </c>
      <c r="L561" s="1">
        <v>0.43081114695476003</v>
      </c>
      <c r="P561" s="1">
        <f>I561-'Passo 2'!I561</f>
        <v>7.0846617074033946E-2</v>
      </c>
      <c r="Q561" s="1">
        <f>J561-'Passo 2'!J561</f>
        <v>8.7507379855945033E-2</v>
      </c>
      <c r="R561" s="8">
        <f t="shared" si="33"/>
        <v>61.107999999999919</v>
      </c>
      <c r="S561" s="8">
        <f t="shared" si="32"/>
        <v>65.413999999999987</v>
      </c>
      <c r="T561" s="1">
        <f t="shared" si="34"/>
        <v>47.691603964401281</v>
      </c>
      <c r="U561" s="1">
        <f t="shared" si="35"/>
        <v>36.485396035598626</v>
      </c>
    </row>
    <row r="562" spans="1:21" x14ac:dyDescent="0.3">
      <c r="A562" t="s">
        <v>359</v>
      </c>
      <c r="B562" t="s">
        <v>748</v>
      </c>
      <c r="C562" t="s">
        <v>574</v>
      </c>
      <c r="D562" t="s">
        <v>575</v>
      </c>
      <c r="E562" s="2">
        <v>30</v>
      </c>
      <c r="F562" s="2">
        <v>2.4E-2</v>
      </c>
      <c r="G562" s="2">
        <v>4.6626666666666603</v>
      </c>
      <c r="H562" s="2">
        <v>-4.8293333333333299</v>
      </c>
      <c r="I562" s="1">
        <v>0.96586666666666599</v>
      </c>
      <c r="J562" s="1">
        <v>0.98253333333333304</v>
      </c>
      <c r="K562" s="1">
        <v>0.49416106526429299</v>
      </c>
      <c r="L562" s="1">
        <v>0.95463893473570605</v>
      </c>
      <c r="P562" s="1">
        <f>I562-'Passo 2'!I562</f>
        <v>0</v>
      </c>
      <c r="Q562" s="1">
        <f>J562-'Passo 2'!J562</f>
        <v>0</v>
      </c>
      <c r="R562" s="8">
        <f t="shared" si="33"/>
        <v>28.975999999999978</v>
      </c>
      <c r="S562" s="8">
        <f t="shared" si="32"/>
        <v>29.475999999999992</v>
      </c>
      <c r="T562" s="1">
        <f t="shared" si="34"/>
        <v>14.82483195792879</v>
      </c>
      <c r="U562" s="1">
        <f t="shared" si="35"/>
        <v>28.63916804207118</v>
      </c>
    </row>
    <row r="563" spans="1:21" x14ac:dyDescent="0.3">
      <c r="A563" t="s">
        <v>359</v>
      </c>
      <c r="B563" t="s">
        <v>417</v>
      </c>
      <c r="C563" t="s">
        <v>34</v>
      </c>
      <c r="D563" t="s">
        <v>35</v>
      </c>
      <c r="E563" s="2">
        <v>565.58699999999999</v>
      </c>
      <c r="F563" s="2">
        <v>0</v>
      </c>
      <c r="G563" s="2">
        <v>94.050666666666601</v>
      </c>
      <c r="H563" s="2">
        <v>-93.847499999999997</v>
      </c>
      <c r="I563" s="1">
        <v>0.99886578015407002</v>
      </c>
      <c r="J563" s="1">
        <v>0.99778813869484195</v>
      </c>
      <c r="K563" s="1">
        <v>0.89362738914153705</v>
      </c>
      <c r="L563" s="1">
        <v>0.60302652970737503</v>
      </c>
      <c r="P563" s="1">
        <f>I563-'Passo 2'!I563</f>
        <v>8.8979237500155017E-2</v>
      </c>
      <c r="Q563" s="1">
        <f>J563-'Passo 2'!J563</f>
        <v>9.3525841294088918E-2</v>
      </c>
      <c r="R563" s="8">
        <f t="shared" si="33"/>
        <v>564.94550000000004</v>
      </c>
      <c r="S563" s="8">
        <f t="shared" si="32"/>
        <v>564.33599999999956</v>
      </c>
      <c r="T563" s="1">
        <f t="shared" si="34"/>
        <v>505.42403414239453</v>
      </c>
      <c r="U563" s="1">
        <f t="shared" si="35"/>
        <v>341.06396585760513</v>
      </c>
    </row>
    <row r="564" spans="1:21" x14ac:dyDescent="0.3">
      <c r="A564" t="s">
        <v>359</v>
      </c>
      <c r="B564" t="s">
        <v>749</v>
      </c>
      <c r="C564" t="s">
        <v>34</v>
      </c>
      <c r="D564" t="s">
        <v>35</v>
      </c>
      <c r="E564" s="2">
        <v>70.126999999999995</v>
      </c>
      <c r="F564" s="2">
        <v>0</v>
      </c>
      <c r="G564" s="2">
        <v>11.668999999999899</v>
      </c>
      <c r="H564" s="2">
        <v>-11.6878333333333</v>
      </c>
      <c r="I564" s="1">
        <v>0.99919431887860599</v>
      </c>
      <c r="J564" s="1">
        <v>1</v>
      </c>
      <c r="K564" s="1">
        <v>0.87578656729247994</v>
      </c>
      <c r="L564" s="1">
        <v>0.62340775158612505</v>
      </c>
      <c r="P564" s="1">
        <f>I564-'Passo 2'!I564</f>
        <v>5.1299784676372973E-2</v>
      </c>
      <c r="Q564" s="1">
        <f>J564-'Passo 2'!J564</f>
        <v>1.5621657849331005E-2</v>
      </c>
      <c r="R564" s="8">
        <f t="shared" si="33"/>
        <v>70.070499999999996</v>
      </c>
      <c r="S564" s="8">
        <f t="shared" si="32"/>
        <v>70.126999999999995</v>
      </c>
      <c r="T564" s="1">
        <f t="shared" si="34"/>
        <v>61.416284604519738</v>
      </c>
      <c r="U564" s="1">
        <f t="shared" si="35"/>
        <v>43.717715395480191</v>
      </c>
    </row>
    <row r="565" spans="1:21" x14ac:dyDescent="0.3">
      <c r="A565" t="s">
        <v>359</v>
      </c>
      <c r="B565" t="s">
        <v>750</v>
      </c>
      <c r="C565" t="s">
        <v>34</v>
      </c>
      <c r="D565" t="s">
        <v>35</v>
      </c>
      <c r="E565" s="2">
        <v>69.852000000000004</v>
      </c>
      <c r="F565" s="2">
        <v>0</v>
      </c>
      <c r="G565" s="2">
        <v>11.641999999999999</v>
      </c>
      <c r="H565" s="2">
        <v>-11.548999999999999</v>
      </c>
      <c r="I565" s="1">
        <v>1</v>
      </c>
      <c r="J565" s="1">
        <v>0.99600584092080402</v>
      </c>
      <c r="K565" s="1">
        <v>0.92150627924249895</v>
      </c>
      <c r="L565" s="1">
        <v>0.57449956167830396</v>
      </c>
      <c r="P565" s="1">
        <f>I565-'Passo 2'!I565</f>
        <v>7.5323541201397948E-2</v>
      </c>
      <c r="Q565" s="1">
        <f>J565-'Passo 2'!J565</f>
        <v>3.8087671075989982E-2</v>
      </c>
      <c r="R565" s="8">
        <f t="shared" si="33"/>
        <v>69.852000000000004</v>
      </c>
      <c r="S565" s="8">
        <f t="shared" si="32"/>
        <v>69.573000000000008</v>
      </c>
      <c r="T565" s="1">
        <f t="shared" si="34"/>
        <v>64.369056617647047</v>
      </c>
      <c r="U565" s="1">
        <f t="shared" si="35"/>
        <v>40.129943382352891</v>
      </c>
    </row>
    <row r="566" spans="1:21" x14ac:dyDescent="0.3">
      <c r="A566" t="s">
        <v>359</v>
      </c>
      <c r="B566" t="s">
        <v>418</v>
      </c>
      <c r="C566" t="s">
        <v>34</v>
      </c>
      <c r="D566" t="s">
        <v>35</v>
      </c>
      <c r="E566" s="2">
        <v>182.649</v>
      </c>
      <c r="F566" s="2">
        <v>0</v>
      </c>
      <c r="G566" s="2">
        <v>29.728666666666602</v>
      </c>
      <c r="H566" s="2">
        <v>-30.441500000000001</v>
      </c>
      <c r="I566" s="1">
        <v>0.98829175084451604</v>
      </c>
      <c r="J566" s="1">
        <v>1</v>
      </c>
      <c r="K566" s="1">
        <v>0.92105382112685996</v>
      </c>
      <c r="L566" s="1">
        <v>0.56723792971765497</v>
      </c>
      <c r="P566" s="1">
        <f>I566-'Passo 2'!I566</f>
        <v>-1.1708249155483963E-2</v>
      </c>
      <c r="Q566" s="1">
        <f>J566-'Passo 2'!J566</f>
        <v>0</v>
      </c>
      <c r="R566" s="8">
        <f t="shared" si="33"/>
        <v>180.51050000000001</v>
      </c>
      <c r="S566" s="8">
        <f t="shared" si="32"/>
        <v>182.649</v>
      </c>
      <c r="T566" s="1">
        <f t="shared" si="34"/>
        <v>168.22955937499984</v>
      </c>
      <c r="U566" s="1">
        <f t="shared" si="35"/>
        <v>103.60544062499996</v>
      </c>
    </row>
    <row r="567" spans="1:21" x14ac:dyDescent="0.3">
      <c r="A567" t="s">
        <v>359</v>
      </c>
      <c r="B567" t="s">
        <v>419</v>
      </c>
      <c r="C567" t="s">
        <v>576</v>
      </c>
      <c r="D567" t="s">
        <v>14</v>
      </c>
      <c r="E567" s="2">
        <v>16.628</v>
      </c>
      <c r="F567" s="2">
        <v>0</v>
      </c>
      <c r="G567" s="2">
        <v>2.7713333333333301</v>
      </c>
      <c r="H567" s="2">
        <v>-2.7713333333333301</v>
      </c>
      <c r="I567" s="1">
        <v>1</v>
      </c>
      <c r="J567" s="1">
        <v>1</v>
      </c>
      <c r="K567" s="1">
        <v>0.99969946538104304</v>
      </c>
      <c r="L567" s="1">
        <v>0.50030053461895596</v>
      </c>
      <c r="P567" s="1">
        <f>I567-'Passo 2'!I567</f>
        <v>3.6865528025017968E-2</v>
      </c>
      <c r="Q567" s="1">
        <f>J567-'Passo 2'!J567</f>
        <v>9.3216261727207983E-2</v>
      </c>
      <c r="R567" s="8">
        <f t="shared" si="33"/>
        <v>16.628</v>
      </c>
      <c r="S567" s="8">
        <f t="shared" si="32"/>
        <v>16.628</v>
      </c>
      <c r="T567" s="1">
        <f t="shared" si="34"/>
        <v>16.623002710355983</v>
      </c>
      <c r="U567" s="1">
        <f t="shared" si="35"/>
        <v>8.318997289643999</v>
      </c>
    </row>
    <row r="568" spans="1:21" x14ac:dyDescent="0.3">
      <c r="A568" t="s">
        <v>359</v>
      </c>
      <c r="B568" t="s">
        <v>751</v>
      </c>
      <c r="C568" t="s">
        <v>34</v>
      </c>
      <c r="D568" t="s">
        <v>35</v>
      </c>
      <c r="E568" s="2">
        <v>759.37</v>
      </c>
      <c r="F568" s="2">
        <v>0</v>
      </c>
      <c r="G568" s="2">
        <v>126.288666666666</v>
      </c>
      <c r="H568" s="2">
        <v>-126.561666666666</v>
      </c>
      <c r="I568" s="1">
        <v>0.99892147438007795</v>
      </c>
      <c r="J568" s="1">
        <v>1</v>
      </c>
      <c r="K568" s="1">
        <v>0.90848016035465096</v>
      </c>
      <c r="L568" s="1">
        <v>0.59044131402542599</v>
      </c>
      <c r="P568" s="1">
        <f>I568-'Passo 2'!I568</f>
        <v>1.2254237064935891E-2</v>
      </c>
      <c r="Q568" s="1">
        <f>J568-'Passo 2'!J568</f>
        <v>2.9602828660601044E-2</v>
      </c>
      <c r="R568" s="8">
        <f t="shared" si="33"/>
        <v>758.55099999999982</v>
      </c>
      <c r="S568" s="8">
        <f t="shared" si="32"/>
        <v>759.37</v>
      </c>
      <c r="T568" s="1">
        <f t="shared" si="34"/>
        <v>689.87257936851131</v>
      </c>
      <c r="U568" s="1">
        <f t="shared" si="35"/>
        <v>448.36342063148771</v>
      </c>
    </row>
    <row r="569" spans="1:21" x14ac:dyDescent="0.3">
      <c r="A569" t="s">
        <v>359</v>
      </c>
      <c r="B569" t="s">
        <v>420</v>
      </c>
      <c r="C569" t="s">
        <v>576</v>
      </c>
      <c r="D569" t="s">
        <v>14</v>
      </c>
      <c r="E569" s="2">
        <v>46.713999999999999</v>
      </c>
      <c r="F569" s="2">
        <v>0</v>
      </c>
      <c r="G569" s="2">
        <v>6.8958333333333304</v>
      </c>
      <c r="H569" s="2">
        <v>-6.9688333333333299</v>
      </c>
      <c r="I569" s="1">
        <v>0.94285439054673104</v>
      </c>
      <c r="J569" s="1">
        <v>0.94754249261463297</v>
      </c>
      <c r="K569" s="1">
        <v>0.68933872446712496</v>
      </c>
      <c r="L569" s="1">
        <v>0.70105815869423904</v>
      </c>
      <c r="P569" s="1">
        <f>I569-'Passo 2'!I569</f>
        <v>0.12346405788414605</v>
      </c>
      <c r="Q569" s="1">
        <f>J569-'Passo 2'!J569</f>
        <v>2.1653037633256988E-2</v>
      </c>
      <c r="R569" s="8">
        <f t="shared" si="33"/>
        <v>44.044499999999992</v>
      </c>
      <c r="S569" s="8">
        <f t="shared" si="32"/>
        <v>44.263499999999965</v>
      </c>
      <c r="T569" s="1">
        <f t="shared" si="34"/>
        <v>32.201769174757274</v>
      </c>
      <c r="U569" s="1">
        <f t="shared" si="35"/>
        <v>32.749230825242684</v>
      </c>
    </row>
    <row r="570" spans="1:21" x14ac:dyDescent="0.3">
      <c r="A570" t="s">
        <v>359</v>
      </c>
      <c r="B570" t="s">
        <v>421</v>
      </c>
      <c r="C570" t="s">
        <v>34</v>
      </c>
      <c r="D570" t="s">
        <v>35</v>
      </c>
      <c r="E570" s="2">
        <v>128.851</v>
      </c>
      <c r="F570" s="2">
        <v>0</v>
      </c>
      <c r="G570" s="2">
        <v>21.369499999999999</v>
      </c>
      <c r="H570" s="2">
        <v>-21.361666666666601</v>
      </c>
      <c r="I570" s="1">
        <v>0.99753979402565696</v>
      </c>
      <c r="J570" s="1">
        <v>0.99735741282566603</v>
      </c>
      <c r="K570" s="1">
        <v>0.87668015650851205</v>
      </c>
      <c r="L570" s="1">
        <v>0.61821705034281205</v>
      </c>
      <c r="P570" s="1">
        <f>I570-'Passo 2'!I570</f>
        <v>3.2719963368541993E-2</v>
      </c>
      <c r="Q570" s="1">
        <f>J570-'Passo 2'!J570</f>
        <v>6.7717751511434998E-2</v>
      </c>
      <c r="R570" s="8">
        <f t="shared" si="33"/>
        <v>128.53399999999993</v>
      </c>
      <c r="S570" s="8">
        <f t="shared" si="32"/>
        <v>128.51049999999989</v>
      </c>
      <c r="T570" s="1">
        <f t="shared" si="34"/>
        <v>112.96111484627829</v>
      </c>
      <c r="U570" s="1">
        <f t="shared" si="35"/>
        <v>79.657885153721679</v>
      </c>
    </row>
    <row r="571" spans="1:21" x14ac:dyDescent="0.3">
      <c r="A571" t="s">
        <v>359</v>
      </c>
      <c r="B571" t="s">
        <v>422</v>
      </c>
      <c r="C571" t="s">
        <v>576</v>
      </c>
      <c r="D571" t="s">
        <v>14</v>
      </c>
      <c r="E571" s="2">
        <v>0</v>
      </c>
      <c r="F571" s="2">
        <v>0</v>
      </c>
      <c r="G571" s="2">
        <v>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P571" s="1">
        <f>I571-'Passo 2'!I571</f>
        <v>0</v>
      </c>
      <c r="Q571" s="1">
        <f>J571-'Passo 2'!J571</f>
        <v>0</v>
      </c>
      <c r="R571" s="8">
        <f t="shared" si="33"/>
        <v>0</v>
      </c>
      <c r="S571" s="8">
        <f t="shared" si="32"/>
        <v>0</v>
      </c>
      <c r="T571" s="1">
        <f t="shared" si="34"/>
        <v>0</v>
      </c>
      <c r="U571" s="1">
        <f t="shared" si="35"/>
        <v>0</v>
      </c>
    </row>
    <row r="572" spans="1:21" x14ac:dyDescent="0.3">
      <c r="A572" t="s">
        <v>359</v>
      </c>
      <c r="B572" t="s">
        <v>752</v>
      </c>
      <c r="C572" t="s">
        <v>574</v>
      </c>
      <c r="D572" t="s">
        <v>575</v>
      </c>
      <c r="E572" s="2">
        <v>383.755</v>
      </c>
      <c r="F572" s="2">
        <v>0.05</v>
      </c>
      <c r="G572" s="2">
        <v>50.241333333333301</v>
      </c>
      <c r="H572" s="2">
        <v>-62.673499999999997</v>
      </c>
      <c r="I572" s="1">
        <v>0.89269586064025197</v>
      </c>
      <c r="J572" s="1">
        <v>0.98988417089028102</v>
      </c>
      <c r="K572" s="1">
        <v>0.640131849161785</v>
      </c>
      <c r="L572" s="1">
        <v>0.74251332809974802</v>
      </c>
      <c r="P572" s="1">
        <f>I572-'Passo 2'!I572</f>
        <v>2.5693476306499763E-3</v>
      </c>
      <c r="Q572" s="1">
        <f>J572-'Passo 2'!J572</f>
        <v>-7.1139138252296341E-4</v>
      </c>
      <c r="R572" s="8">
        <f t="shared" si="33"/>
        <v>342.5764999999999</v>
      </c>
      <c r="S572" s="8">
        <f t="shared" si="32"/>
        <v>379.87299999999976</v>
      </c>
      <c r="T572" s="1">
        <f t="shared" si="34"/>
        <v>245.65379777508079</v>
      </c>
      <c r="U572" s="1">
        <f t="shared" si="35"/>
        <v>284.94320222491882</v>
      </c>
    </row>
    <row r="573" spans="1:21" x14ac:dyDescent="0.3">
      <c r="A573" t="s">
        <v>359</v>
      </c>
      <c r="B573" t="s">
        <v>753</v>
      </c>
      <c r="C573" t="s">
        <v>574</v>
      </c>
      <c r="D573" t="s">
        <v>575</v>
      </c>
      <c r="E573" s="2">
        <v>96</v>
      </c>
      <c r="F573" s="2">
        <v>0</v>
      </c>
      <c r="G573" s="2">
        <v>16</v>
      </c>
      <c r="H573" s="2">
        <v>-16</v>
      </c>
      <c r="I573" s="1">
        <v>1</v>
      </c>
      <c r="J573" s="1">
        <v>1</v>
      </c>
      <c r="K573" s="1">
        <v>0.80131338069714098</v>
      </c>
      <c r="L573" s="1">
        <v>0.69868661930285803</v>
      </c>
      <c r="P573" s="1">
        <f>I573-'Passo 2'!I573</f>
        <v>0</v>
      </c>
      <c r="Q573" s="1">
        <f>J573-'Passo 2'!J573</f>
        <v>4.0000000000000036E-3</v>
      </c>
      <c r="R573" s="8">
        <f t="shared" si="33"/>
        <v>96</v>
      </c>
      <c r="S573" s="8">
        <f t="shared" si="32"/>
        <v>96</v>
      </c>
      <c r="T573" s="1">
        <f t="shared" si="34"/>
        <v>76.926084546925537</v>
      </c>
      <c r="U573" s="1">
        <f t="shared" si="35"/>
        <v>67.073915453074363</v>
      </c>
    </row>
    <row r="574" spans="1:21" x14ac:dyDescent="0.3">
      <c r="A574" t="s">
        <v>359</v>
      </c>
      <c r="B574" t="s">
        <v>754</v>
      </c>
      <c r="C574" t="s">
        <v>574</v>
      </c>
      <c r="D574" t="s">
        <v>575</v>
      </c>
      <c r="E574" s="2">
        <v>130.61199999999999</v>
      </c>
      <c r="F574" s="2">
        <v>0</v>
      </c>
      <c r="G574" s="2">
        <v>21.736833333333301</v>
      </c>
      <c r="H574" s="2">
        <v>-21.6011666666666</v>
      </c>
      <c r="I574" s="1">
        <v>0.99926882675405004</v>
      </c>
      <c r="J574" s="1">
        <v>0.99615272716136305</v>
      </c>
      <c r="K574" s="1">
        <v>0.78718511042166694</v>
      </c>
      <c r="L574" s="1">
        <v>0.70823644349374604</v>
      </c>
      <c r="P574" s="1">
        <f>I574-'Passo 2'!I574</f>
        <v>0</v>
      </c>
      <c r="Q574" s="1">
        <f>J574-'Passo 2'!J574</f>
        <v>9.9531436622002367E-5</v>
      </c>
      <c r="R574" s="8">
        <f t="shared" si="33"/>
        <v>130.51649999999998</v>
      </c>
      <c r="S574" s="8">
        <f t="shared" si="32"/>
        <v>130.10949999999994</v>
      </c>
      <c r="T574" s="1">
        <f t="shared" si="34"/>
        <v>102.81582164239475</v>
      </c>
      <c r="U574" s="1">
        <f t="shared" si="35"/>
        <v>92.504178357605156</v>
      </c>
    </row>
    <row r="575" spans="1:21" x14ac:dyDescent="0.3">
      <c r="A575" t="s">
        <v>359</v>
      </c>
      <c r="B575" t="s">
        <v>755</v>
      </c>
      <c r="C575" t="s">
        <v>576</v>
      </c>
      <c r="D575" t="s">
        <v>577</v>
      </c>
      <c r="E575" s="2">
        <v>230.27199999999999</v>
      </c>
      <c r="F575" s="2">
        <v>0</v>
      </c>
      <c r="G575" s="2">
        <v>30.633333333333301</v>
      </c>
      <c r="H575" s="2">
        <v>-36.172499999999999</v>
      </c>
      <c r="I575" s="1">
        <v>0.89909324624791498</v>
      </c>
      <c r="J575" s="1">
        <v>0.971257903696498</v>
      </c>
      <c r="K575" s="1">
        <v>0.58851672377796405</v>
      </c>
      <c r="L575" s="1">
        <v>0.78183442616644905</v>
      </c>
      <c r="P575" s="1">
        <f>I575-'Passo 2'!I575</f>
        <v>1.3679474708170991E-2</v>
      </c>
      <c r="Q575" s="1">
        <f>J575-'Passo 2'!J575</f>
        <v>-2.8466335464140125E-3</v>
      </c>
      <c r="R575" s="8">
        <f t="shared" si="33"/>
        <v>207.03599999999986</v>
      </c>
      <c r="S575" s="8">
        <f t="shared" si="32"/>
        <v>223.65349999999998</v>
      </c>
      <c r="T575" s="1">
        <f t="shared" si="34"/>
        <v>135.51892301779932</v>
      </c>
      <c r="U575" s="1">
        <f t="shared" si="35"/>
        <v>180.03457698220055</v>
      </c>
    </row>
    <row r="576" spans="1:21" x14ac:dyDescent="0.3">
      <c r="A576" t="s">
        <v>359</v>
      </c>
      <c r="B576" t="s">
        <v>756</v>
      </c>
      <c r="C576" t="s">
        <v>576</v>
      </c>
      <c r="D576" t="s">
        <v>577</v>
      </c>
      <c r="E576" s="2">
        <v>473.32600000000002</v>
      </c>
      <c r="F576" s="2">
        <v>0</v>
      </c>
      <c r="G576" s="2">
        <v>33.864666666666601</v>
      </c>
      <c r="H576" s="2">
        <v>-78.887666666666604</v>
      </c>
      <c r="I576" s="1">
        <v>0.71463853665338395</v>
      </c>
      <c r="J576" s="1">
        <v>1</v>
      </c>
      <c r="K576" s="1">
        <v>0.71376233213417595</v>
      </c>
      <c r="L576" s="1">
        <v>0.500876204519208</v>
      </c>
      <c r="P576" s="1">
        <f>I576-'Passo 2'!I576</f>
        <v>9.1982058876967976E-2</v>
      </c>
      <c r="Q576" s="1">
        <f>J576-'Passo 2'!J576</f>
        <v>7.5068768671064046E-2</v>
      </c>
      <c r="R576" s="8">
        <f t="shared" si="33"/>
        <v>338.25699999999961</v>
      </c>
      <c r="S576" s="8">
        <f t="shared" si="32"/>
        <v>473.32600000000002</v>
      </c>
      <c r="T576" s="1">
        <f t="shared" si="34"/>
        <v>337.84226961974099</v>
      </c>
      <c r="U576" s="1">
        <f t="shared" si="35"/>
        <v>237.07773038025866</v>
      </c>
    </row>
    <row r="577" spans="1:21" x14ac:dyDescent="0.3">
      <c r="A577" t="s">
        <v>359</v>
      </c>
      <c r="B577" t="s">
        <v>423</v>
      </c>
      <c r="C577" t="s">
        <v>576</v>
      </c>
      <c r="D577" t="s">
        <v>14</v>
      </c>
      <c r="E577" s="2">
        <v>49.116</v>
      </c>
      <c r="F577" s="2">
        <v>0</v>
      </c>
      <c r="G577" s="2">
        <v>6.5554999999999897</v>
      </c>
      <c r="H577" s="2">
        <v>-7.87733333333333</v>
      </c>
      <c r="I577" s="1">
        <v>0.90040923527974503</v>
      </c>
      <c r="J577" s="1">
        <v>0.981146673181855</v>
      </c>
      <c r="K577" s="1">
        <v>0.72507794192916497</v>
      </c>
      <c r="L577" s="1">
        <v>0.65647796653243495</v>
      </c>
      <c r="P577" s="1">
        <f>I577-'Passo 2'!I577</f>
        <v>9.5579851779460046E-2</v>
      </c>
      <c r="Q577" s="1">
        <f>J577-'Passo 2'!J577</f>
        <v>3.115074517468952E-3</v>
      </c>
      <c r="R577" s="8">
        <f t="shared" si="33"/>
        <v>44.224499999999956</v>
      </c>
      <c r="S577" s="8">
        <f t="shared" si="32"/>
        <v>48.189999999999991</v>
      </c>
      <c r="T577" s="1">
        <f t="shared" si="34"/>
        <v>35.612928195792868</v>
      </c>
      <c r="U577" s="1">
        <f t="shared" si="35"/>
        <v>32.243571804207072</v>
      </c>
    </row>
    <row r="578" spans="1:21" x14ac:dyDescent="0.3">
      <c r="A578" t="s">
        <v>359</v>
      </c>
      <c r="B578" t="s">
        <v>424</v>
      </c>
      <c r="C578" t="s">
        <v>576</v>
      </c>
      <c r="D578" t="s">
        <v>589</v>
      </c>
      <c r="E578" s="2">
        <v>0</v>
      </c>
      <c r="F578" s="2">
        <v>0</v>
      </c>
      <c r="G578" s="2">
        <v>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P578" s="1">
        <f>I578-'Passo 2'!I578</f>
        <v>0</v>
      </c>
      <c r="Q578" s="1">
        <f>J578-'Passo 2'!J578</f>
        <v>0</v>
      </c>
      <c r="R578" s="8">
        <f t="shared" si="33"/>
        <v>0</v>
      </c>
      <c r="S578" s="8">
        <f t="shared" ref="S578:S641" si="36">J578*E578</f>
        <v>0</v>
      </c>
      <c r="T578" s="1">
        <f t="shared" si="34"/>
        <v>0</v>
      </c>
      <c r="U578" s="1">
        <f t="shared" si="35"/>
        <v>0</v>
      </c>
    </row>
    <row r="579" spans="1:21" x14ac:dyDescent="0.3">
      <c r="A579" t="s">
        <v>359</v>
      </c>
      <c r="B579" t="s">
        <v>425</v>
      </c>
      <c r="C579" t="s">
        <v>574</v>
      </c>
      <c r="D579" t="s">
        <v>575</v>
      </c>
      <c r="E579" s="2">
        <v>260.87400000000002</v>
      </c>
      <c r="F579" s="2">
        <v>0</v>
      </c>
      <c r="G579" s="2">
        <v>42.829666666666597</v>
      </c>
      <c r="H579" s="2">
        <v>-42.878666666666597</v>
      </c>
      <c r="I579" s="1">
        <v>0.99253279360917501</v>
      </c>
      <c r="J579" s="1">
        <v>0.99309628402983796</v>
      </c>
      <c r="K579" s="1">
        <v>0.73994175538201401</v>
      </c>
      <c r="L579" s="1">
        <v>0.74568732225699896</v>
      </c>
      <c r="P579" s="1">
        <f>I579-'Passo 2'!I579</f>
        <v>8.3390832355849986E-2</v>
      </c>
      <c r="Q579" s="1">
        <f>J579-'Passo 2'!J579</f>
        <v>3.5266067143591151E-4</v>
      </c>
      <c r="R579" s="8">
        <f t="shared" ref="R579:R642" si="37">I579*E579</f>
        <v>258.92599999999993</v>
      </c>
      <c r="S579" s="8">
        <f t="shared" si="36"/>
        <v>259.07299999999998</v>
      </c>
      <c r="T579" s="1">
        <f t="shared" ref="T579:T642" si="38">K579*E579</f>
        <v>193.03156549352755</v>
      </c>
      <c r="U579" s="1">
        <f t="shared" ref="U579:U642" si="39">L579*E579</f>
        <v>194.53043450647237</v>
      </c>
    </row>
    <row r="580" spans="1:21" x14ac:dyDescent="0.3">
      <c r="A580" t="s">
        <v>359</v>
      </c>
      <c r="B580" t="s">
        <v>426</v>
      </c>
      <c r="C580" t="s">
        <v>576</v>
      </c>
      <c r="D580" t="s">
        <v>14</v>
      </c>
      <c r="E580" s="2">
        <v>72.343999999999994</v>
      </c>
      <c r="F580" s="2">
        <v>0</v>
      </c>
      <c r="G580" s="2">
        <v>12.0573333333333</v>
      </c>
      <c r="H580" s="2">
        <v>-12.0405</v>
      </c>
      <c r="I580" s="1">
        <v>1</v>
      </c>
      <c r="J580" s="1">
        <v>0.99930194625677304</v>
      </c>
      <c r="K580" s="1">
        <v>0.98787566380976599</v>
      </c>
      <c r="L580" s="1">
        <v>0.51142628244700705</v>
      </c>
      <c r="P580" s="1">
        <f>I580-'Passo 2'!I580</f>
        <v>0</v>
      </c>
      <c r="Q580" s="1">
        <f>J580-'Passo 2'!J580</f>
        <v>-6.9805374322695624E-4</v>
      </c>
      <c r="R580" s="8">
        <f t="shared" si="37"/>
        <v>72.343999999999994</v>
      </c>
      <c r="S580" s="8">
        <f t="shared" si="36"/>
        <v>72.29349999999998</v>
      </c>
      <c r="T580" s="1">
        <f t="shared" si="38"/>
        <v>71.466877022653705</v>
      </c>
      <c r="U580" s="1">
        <f t="shared" si="39"/>
        <v>36.998622977346272</v>
      </c>
    </row>
    <row r="581" spans="1:21" x14ac:dyDescent="0.3">
      <c r="A581" t="s">
        <v>359</v>
      </c>
      <c r="B581" t="s">
        <v>757</v>
      </c>
      <c r="C581" t="s">
        <v>576</v>
      </c>
      <c r="D581" t="s">
        <v>598</v>
      </c>
      <c r="E581" s="2">
        <v>400.68099999999998</v>
      </c>
      <c r="F581" s="2">
        <v>0</v>
      </c>
      <c r="G581" s="2">
        <v>43.112499999999898</v>
      </c>
      <c r="H581" s="2">
        <v>-52.948166666666602</v>
      </c>
      <c r="I581" s="1">
        <v>0.82279419288661004</v>
      </c>
      <c r="J581" s="1">
        <v>0.89643631717001804</v>
      </c>
      <c r="K581" s="1">
        <v>0.48947682034523898</v>
      </c>
      <c r="L581" s="1">
        <v>0.72975368971138899</v>
      </c>
      <c r="P581" s="1">
        <f>I581-'Passo 2'!I581</f>
        <v>7.2580182239737057E-2</v>
      </c>
      <c r="Q581" s="1">
        <f>J581-'Passo 2'!J581</f>
        <v>5.2008954754531045E-2</v>
      </c>
      <c r="R581" s="8">
        <f t="shared" si="37"/>
        <v>329.67799999999977</v>
      </c>
      <c r="S581" s="8">
        <f t="shared" si="36"/>
        <v>359.185</v>
      </c>
      <c r="T581" s="1">
        <f t="shared" si="38"/>
        <v>196.12406185275069</v>
      </c>
      <c r="U581" s="1">
        <f t="shared" si="39"/>
        <v>292.39843814724901</v>
      </c>
    </row>
    <row r="582" spans="1:21" x14ac:dyDescent="0.3">
      <c r="A582" t="s">
        <v>359</v>
      </c>
      <c r="B582" t="s">
        <v>427</v>
      </c>
      <c r="C582" t="s">
        <v>576</v>
      </c>
      <c r="D582" t="s">
        <v>14</v>
      </c>
      <c r="E582" s="2">
        <v>61.697000000000003</v>
      </c>
      <c r="F582" s="2">
        <v>0</v>
      </c>
      <c r="G582" s="2">
        <v>8.5083333333333293</v>
      </c>
      <c r="H582" s="2">
        <v>-9.5273333333333294</v>
      </c>
      <c r="I582" s="1">
        <v>0.91371541566040404</v>
      </c>
      <c r="J582" s="1">
        <v>0.96326401607857703</v>
      </c>
      <c r="K582" s="1">
        <v>0.79733216890381597</v>
      </c>
      <c r="L582" s="1">
        <v>0.57964726283516599</v>
      </c>
      <c r="P582" s="1">
        <f>I582-'Passo 2'!I582</f>
        <v>0.18342058771090908</v>
      </c>
      <c r="Q582" s="1">
        <f>J582-'Passo 2'!J582</f>
        <v>1.0989189101576979E-2</v>
      </c>
      <c r="R582" s="8">
        <f t="shared" si="37"/>
        <v>56.37349999999995</v>
      </c>
      <c r="S582" s="8">
        <f t="shared" si="36"/>
        <v>59.430499999999967</v>
      </c>
      <c r="T582" s="1">
        <f t="shared" si="38"/>
        <v>49.193002824858738</v>
      </c>
      <c r="U582" s="1">
        <f t="shared" si="39"/>
        <v>35.762497175141235</v>
      </c>
    </row>
    <row r="583" spans="1:21" x14ac:dyDescent="0.3">
      <c r="A583" t="s">
        <v>359</v>
      </c>
      <c r="B583" t="s">
        <v>428</v>
      </c>
      <c r="C583" t="s">
        <v>576</v>
      </c>
      <c r="D583" t="s">
        <v>598</v>
      </c>
      <c r="E583" s="2">
        <v>39.83</v>
      </c>
      <c r="F583" s="2">
        <v>0</v>
      </c>
      <c r="G583" s="2">
        <v>0</v>
      </c>
      <c r="H583" s="2">
        <v>-6.6383333333333301</v>
      </c>
      <c r="I583" s="1">
        <v>0.5</v>
      </c>
      <c r="J583" s="1">
        <v>1</v>
      </c>
      <c r="K583" s="1">
        <v>0.15728155339805799</v>
      </c>
      <c r="L583" s="1">
        <v>0.84271844660194095</v>
      </c>
      <c r="P583" s="1">
        <f>I583-'Passo 2'!I583</f>
        <v>0</v>
      </c>
      <c r="Q583" s="1">
        <f>J583-'Passo 2'!J583</f>
        <v>0</v>
      </c>
      <c r="R583" s="8">
        <f t="shared" si="37"/>
        <v>19.914999999999999</v>
      </c>
      <c r="S583" s="8">
        <f t="shared" si="36"/>
        <v>39.83</v>
      </c>
      <c r="T583" s="1">
        <f t="shared" si="38"/>
        <v>6.2645242718446497</v>
      </c>
      <c r="U583" s="1">
        <f t="shared" si="39"/>
        <v>33.565475728155306</v>
      </c>
    </row>
    <row r="584" spans="1:21" x14ac:dyDescent="0.3">
      <c r="A584" t="s">
        <v>359</v>
      </c>
      <c r="B584" t="s">
        <v>429</v>
      </c>
      <c r="C584" t="s">
        <v>574</v>
      </c>
      <c r="D584" t="s">
        <v>575</v>
      </c>
      <c r="E584" s="2">
        <v>68.007999999999996</v>
      </c>
      <c r="F584" s="2">
        <v>0</v>
      </c>
      <c r="G584" s="2">
        <v>10.2543333333333</v>
      </c>
      <c r="H584" s="2">
        <v>-7.9643333333333297</v>
      </c>
      <c r="I584" s="1">
        <v>0.952343841900952</v>
      </c>
      <c r="J584" s="1">
        <v>0.85132631455122898</v>
      </c>
      <c r="K584" s="1">
        <v>0.66902284827808101</v>
      </c>
      <c r="L584" s="1">
        <v>0.63464730817409998</v>
      </c>
      <c r="P584" s="1">
        <f>I584-'Passo 2'!I584</f>
        <v>-3.5584048935419998E-2</v>
      </c>
      <c r="Q584" s="1">
        <f>J584-'Passo 2'!J584</f>
        <v>-1.6909775320506082E-4</v>
      </c>
      <c r="R584" s="8">
        <f t="shared" si="37"/>
        <v>64.766999999999939</v>
      </c>
      <c r="S584" s="8">
        <f t="shared" si="36"/>
        <v>57.896999999999977</v>
      </c>
      <c r="T584" s="1">
        <f t="shared" si="38"/>
        <v>45.498905865695733</v>
      </c>
      <c r="U584" s="1">
        <f t="shared" si="39"/>
        <v>43.161094134304186</v>
      </c>
    </row>
    <row r="585" spans="1:21" x14ac:dyDescent="0.3">
      <c r="A585" t="s">
        <v>359</v>
      </c>
      <c r="B585" t="s">
        <v>430</v>
      </c>
      <c r="C585" t="s">
        <v>574</v>
      </c>
      <c r="D585" t="s">
        <v>575</v>
      </c>
      <c r="E585" s="2">
        <v>32.256</v>
      </c>
      <c r="F585" s="2">
        <v>0</v>
      </c>
      <c r="G585" s="2">
        <v>5.2841666666666596</v>
      </c>
      <c r="H585" s="2">
        <v>-5.2088333333333301</v>
      </c>
      <c r="I585" s="1">
        <v>0.99145895337301504</v>
      </c>
      <c r="J585" s="1">
        <v>0.984452504960317</v>
      </c>
      <c r="K585" s="1">
        <v>0.64003408111323001</v>
      </c>
      <c r="L585" s="1">
        <v>0.83587737722010302</v>
      </c>
      <c r="P585" s="1">
        <f>I585-'Passo 2'!I585</f>
        <v>-1.7051091269849605E-3</v>
      </c>
      <c r="Q585" s="1">
        <f>J585-'Passo 2'!J585</f>
        <v>-4.9603174603196631E-4</v>
      </c>
      <c r="R585" s="8">
        <f t="shared" si="37"/>
        <v>31.980499999999974</v>
      </c>
      <c r="S585" s="8">
        <f t="shared" si="36"/>
        <v>31.754499999999986</v>
      </c>
      <c r="T585" s="1">
        <f t="shared" si="38"/>
        <v>20.644939320388346</v>
      </c>
      <c r="U585" s="1">
        <f t="shared" si="39"/>
        <v>26.962060679611643</v>
      </c>
    </row>
    <row r="586" spans="1:21" x14ac:dyDescent="0.3">
      <c r="A586" t="s">
        <v>359</v>
      </c>
      <c r="B586" t="s">
        <v>431</v>
      </c>
      <c r="C586" t="s">
        <v>574</v>
      </c>
      <c r="D586" t="s">
        <v>575</v>
      </c>
      <c r="E586" s="2">
        <v>93.798000000000002</v>
      </c>
      <c r="F586" s="2">
        <v>0</v>
      </c>
      <c r="G586" s="2">
        <v>10.4125</v>
      </c>
      <c r="H586" s="2">
        <v>-9.2046666666666592</v>
      </c>
      <c r="I586" s="1">
        <v>0.83302948890168205</v>
      </c>
      <c r="J586" s="1">
        <v>0.79439860124949302</v>
      </c>
      <c r="K586" s="1">
        <v>0.62321286237153095</v>
      </c>
      <c r="L586" s="1">
        <v>0.504215227779644</v>
      </c>
      <c r="P586" s="1">
        <f>I586-'Passo 2'!I586</f>
        <v>2.212200686582011E-3</v>
      </c>
      <c r="Q586" s="1">
        <f>J586-'Passo 2'!J586</f>
        <v>4.1525405658969783E-3</v>
      </c>
      <c r="R586" s="8">
        <f t="shared" si="37"/>
        <v>78.13649999999997</v>
      </c>
      <c r="S586" s="8">
        <f t="shared" si="36"/>
        <v>74.512999999999948</v>
      </c>
      <c r="T586" s="1">
        <f t="shared" si="38"/>
        <v>58.456120064724864</v>
      </c>
      <c r="U586" s="1">
        <f t="shared" si="39"/>
        <v>47.294379935275046</v>
      </c>
    </row>
    <row r="587" spans="1:21" x14ac:dyDescent="0.3">
      <c r="A587" t="s">
        <v>359</v>
      </c>
      <c r="B587" t="s">
        <v>432</v>
      </c>
      <c r="C587" t="s">
        <v>576</v>
      </c>
      <c r="D587" t="s">
        <v>14</v>
      </c>
      <c r="E587" s="2">
        <v>0</v>
      </c>
      <c r="F587" s="2">
        <v>0</v>
      </c>
      <c r="G587" s="2">
        <v>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P587" s="1">
        <f>I587-'Passo 2'!I587</f>
        <v>0</v>
      </c>
      <c r="Q587" s="1">
        <f>J587-'Passo 2'!J587</f>
        <v>0</v>
      </c>
      <c r="R587" s="8">
        <f t="shared" si="37"/>
        <v>0</v>
      </c>
      <c r="S587" s="8">
        <f t="shared" si="36"/>
        <v>0</v>
      </c>
      <c r="T587" s="1">
        <f t="shared" si="38"/>
        <v>0</v>
      </c>
      <c r="U587" s="1">
        <f t="shared" si="39"/>
        <v>0</v>
      </c>
    </row>
    <row r="588" spans="1:21" x14ac:dyDescent="0.3">
      <c r="A588" t="s">
        <v>359</v>
      </c>
      <c r="B588" t="s">
        <v>433</v>
      </c>
      <c r="C588" t="s">
        <v>576</v>
      </c>
      <c r="D588" t="s">
        <v>14</v>
      </c>
      <c r="E588" s="2">
        <v>0</v>
      </c>
      <c r="F588" s="2">
        <v>0</v>
      </c>
      <c r="G588" s="2">
        <v>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P588" s="1">
        <f>I588-'Passo 2'!I588</f>
        <v>0</v>
      </c>
      <c r="Q588" s="1">
        <f>J588-'Passo 2'!J588</f>
        <v>0</v>
      </c>
      <c r="R588" s="8">
        <f t="shared" si="37"/>
        <v>0</v>
      </c>
      <c r="S588" s="8">
        <f t="shared" si="36"/>
        <v>0</v>
      </c>
      <c r="T588" s="1">
        <f t="shared" si="38"/>
        <v>0</v>
      </c>
      <c r="U588" s="1">
        <f t="shared" si="39"/>
        <v>0</v>
      </c>
    </row>
    <row r="589" spans="1:21" x14ac:dyDescent="0.3">
      <c r="A589" t="s">
        <v>359</v>
      </c>
      <c r="B589" t="s">
        <v>434</v>
      </c>
      <c r="C589" t="s">
        <v>574</v>
      </c>
      <c r="D589" t="s">
        <v>575</v>
      </c>
      <c r="E589" s="2">
        <v>128.91399999999999</v>
      </c>
      <c r="F589" s="2">
        <v>0</v>
      </c>
      <c r="G589" s="2">
        <v>12.532833333333301</v>
      </c>
      <c r="H589" s="2">
        <v>-12.4575</v>
      </c>
      <c r="I589" s="1">
        <v>0.79165567742836296</v>
      </c>
      <c r="J589" s="1">
        <v>0.78990257070605197</v>
      </c>
      <c r="K589" s="1">
        <v>0.50954961042993296</v>
      </c>
      <c r="L589" s="1">
        <v>0.57200863770448196</v>
      </c>
      <c r="P589" s="1">
        <f>I589-'Passo 2'!I589</f>
        <v>1.9319080937679978E-2</v>
      </c>
      <c r="Q589" s="1">
        <f>J589-'Passo 2'!J589</f>
        <v>0.12361729525109799</v>
      </c>
      <c r="R589" s="8">
        <f t="shared" si="37"/>
        <v>102.05549999999997</v>
      </c>
      <c r="S589" s="8">
        <f t="shared" si="36"/>
        <v>101.82949999999997</v>
      </c>
      <c r="T589" s="1">
        <f t="shared" si="38"/>
        <v>65.688078478964371</v>
      </c>
      <c r="U589" s="1">
        <f t="shared" si="39"/>
        <v>73.739921521035583</v>
      </c>
    </row>
    <row r="590" spans="1:21" x14ac:dyDescent="0.3">
      <c r="A590" t="s">
        <v>359</v>
      </c>
      <c r="B590" t="s">
        <v>435</v>
      </c>
      <c r="C590" t="s">
        <v>574</v>
      </c>
      <c r="D590" t="s">
        <v>575</v>
      </c>
      <c r="E590" s="2">
        <v>179.965</v>
      </c>
      <c r="F590" s="2">
        <v>0</v>
      </c>
      <c r="G590" s="2">
        <v>12.542999999999999</v>
      </c>
      <c r="H590" s="2">
        <v>-13.337499999999901</v>
      </c>
      <c r="I590" s="1">
        <v>0.70909065651654402</v>
      </c>
      <c r="J590" s="1">
        <v>0.722334898452476</v>
      </c>
      <c r="K590" s="1">
        <v>0.50406197128226204</v>
      </c>
      <c r="L590" s="1">
        <v>0.42736358368675897</v>
      </c>
      <c r="P590" s="1">
        <f>I590-'Passo 2'!I590</f>
        <v>1.6469869141221061E-2</v>
      </c>
      <c r="Q590" s="1">
        <f>J590-'Passo 2'!J590</f>
        <v>2.50048620564991E-4</v>
      </c>
      <c r="R590" s="8">
        <f t="shared" si="37"/>
        <v>127.61149999999985</v>
      </c>
      <c r="S590" s="8">
        <f t="shared" si="36"/>
        <v>129.99499999999983</v>
      </c>
      <c r="T590" s="1">
        <f t="shared" si="38"/>
        <v>90.713512661812288</v>
      </c>
      <c r="U590" s="1">
        <f t="shared" si="39"/>
        <v>76.910487338187579</v>
      </c>
    </row>
    <row r="591" spans="1:21" x14ac:dyDescent="0.3">
      <c r="A591" t="s">
        <v>359</v>
      </c>
      <c r="B591" t="s">
        <v>436</v>
      </c>
      <c r="C591" t="s">
        <v>574</v>
      </c>
      <c r="D591" t="s">
        <v>575</v>
      </c>
      <c r="E591" s="2">
        <v>200.97200000000001</v>
      </c>
      <c r="F591" s="2">
        <v>37.776000000000003</v>
      </c>
      <c r="G591" s="2">
        <v>20.2156666666666</v>
      </c>
      <c r="H591" s="2">
        <v>-18.4568333333333</v>
      </c>
      <c r="I591" s="1">
        <v>0.70778516410246195</v>
      </c>
      <c r="J591" s="1">
        <v>0.68153026292219798</v>
      </c>
      <c r="K591" s="1">
        <v>0.54637533532823301</v>
      </c>
      <c r="L591" s="1">
        <v>0.43692333314299597</v>
      </c>
      <c r="P591" s="1">
        <f>I591-'Passo 2'!I591</f>
        <v>1.3947216527675943E-2</v>
      </c>
      <c r="Q591" s="1">
        <f>J591-'Passo 2'!J591</f>
        <v>1.1349839778675985E-2</v>
      </c>
      <c r="R591" s="8">
        <f t="shared" si="37"/>
        <v>142.24499999999998</v>
      </c>
      <c r="S591" s="8">
        <f t="shared" si="36"/>
        <v>136.96849999999998</v>
      </c>
      <c r="T591" s="1">
        <f t="shared" si="38"/>
        <v>109.80614389158565</v>
      </c>
      <c r="U591" s="1">
        <f t="shared" si="39"/>
        <v>87.809356108414192</v>
      </c>
    </row>
    <row r="592" spans="1:21" x14ac:dyDescent="0.3">
      <c r="A592" t="s">
        <v>359</v>
      </c>
      <c r="B592" t="s">
        <v>437</v>
      </c>
      <c r="C592" t="s">
        <v>574</v>
      </c>
      <c r="D592" t="s">
        <v>575</v>
      </c>
      <c r="E592" s="2">
        <v>1210.8320000000001</v>
      </c>
      <c r="F592" s="2">
        <v>8.3390000000000004</v>
      </c>
      <c r="G592" s="2">
        <v>180.70683333333301</v>
      </c>
      <c r="H592" s="2">
        <v>-181.51966666666601</v>
      </c>
      <c r="I592" s="1">
        <v>0.94428211345587099</v>
      </c>
      <c r="J592" s="1">
        <v>0.94629601794468599</v>
      </c>
      <c r="K592" s="1">
        <v>0.73949121735513801</v>
      </c>
      <c r="L592" s="1">
        <v>0.65453041405202605</v>
      </c>
      <c r="P592" s="1">
        <f>I592-'Passo 2'!I592</f>
        <v>1.6364780580619964E-3</v>
      </c>
      <c r="Q592" s="1">
        <f>J592-'Passo 2'!J592</f>
        <v>5.1699988107359873E-3</v>
      </c>
      <c r="R592" s="8">
        <f t="shared" si="37"/>
        <v>1143.3669999999993</v>
      </c>
      <c r="S592" s="8">
        <f t="shared" si="36"/>
        <v>1145.8055000000002</v>
      </c>
      <c r="T592" s="1">
        <f t="shared" si="38"/>
        <v>895.39962969255657</v>
      </c>
      <c r="U592" s="1">
        <f t="shared" si="39"/>
        <v>792.5263703074429</v>
      </c>
    </row>
    <row r="593" spans="1:21" x14ac:dyDescent="0.3">
      <c r="A593" t="s">
        <v>359</v>
      </c>
      <c r="B593" t="s">
        <v>438</v>
      </c>
      <c r="C593" t="s">
        <v>576</v>
      </c>
      <c r="D593" t="s">
        <v>577</v>
      </c>
      <c r="E593" s="2">
        <v>1352.4670000000001</v>
      </c>
      <c r="F593" s="2">
        <v>0</v>
      </c>
      <c r="G593" s="2">
        <v>221.1515</v>
      </c>
      <c r="H593" s="2">
        <v>-221.474666666666</v>
      </c>
      <c r="I593" s="1">
        <v>0.99055134062420702</v>
      </c>
      <c r="J593" s="1">
        <v>0.99126817881693197</v>
      </c>
      <c r="K593" s="1">
        <v>0.92617756260456396</v>
      </c>
      <c r="L593" s="1">
        <v>0.55564195683657502</v>
      </c>
      <c r="P593" s="1">
        <f>I593-'Passo 2'!I593</f>
        <v>0.12509325551011607</v>
      </c>
      <c r="Q593" s="1">
        <f>J593-'Passo 2'!J593</f>
        <v>1.6277661488229844E-3</v>
      </c>
      <c r="R593" s="8">
        <f t="shared" si="37"/>
        <v>1339.6879999999994</v>
      </c>
      <c r="S593" s="8">
        <f t="shared" si="36"/>
        <v>1340.6574999999996</v>
      </c>
      <c r="T593" s="1">
        <f t="shared" si="38"/>
        <v>1252.6245895631068</v>
      </c>
      <c r="U593" s="1">
        <f t="shared" si="39"/>
        <v>751.48741043689222</v>
      </c>
    </row>
    <row r="594" spans="1:21" x14ac:dyDescent="0.3">
      <c r="A594" t="s">
        <v>359</v>
      </c>
      <c r="B594" t="s">
        <v>439</v>
      </c>
      <c r="C594" t="s">
        <v>576</v>
      </c>
      <c r="D594" t="s">
        <v>577</v>
      </c>
      <c r="E594" s="2">
        <v>0</v>
      </c>
      <c r="F594" s="2">
        <v>0</v>
      </c>
      <c r="G594" s="2">
        <v>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P594" s="1">
        <f>I594-'Passo 2'!I594</f>
        <v>0</v>
      </c>
      <c r="Q594" s="1">
        <f>J594-'Passo 2'!J594</f>
        <v>0</v>
      </c>
      <c r="R594" s="8">
        <f t="shared" si="37"/>
        <v>0</v>
      </c>
      <c r="S594" s="8">
        <f t="shared" si="36"/>
        <v>0</v>
      </c>
      <c r="T594" s="1">
        <f t="shared" si="38"/>
        <v>0</v>
      </c>
      <c r="U594" s="1">
        <f t="shared" si="39"/>
        <v>0</v>
      </c>
    </row>
    <row r="595" spans="1:21" x14ac:dyDescent="0.3">
      <c r="A595" t="s">
        <v>359</v>
      </c>
      <c r="B595" t="s">
        <v>440</v>
      </c>
      <c r="C595" t="s">
        <v>576</v>
      </c>
      <c r="D595" t="s">
        <v>14</v>
      </c>
      <c r="E595" s="2">
        <v>48.834000000000003</v>
      </c>
      <c r="F595" s="2">
        <v>0</v>
      </c>
      <c r="G595" s="2">
        <v>6.5393333333333299</v>
      </c>
      <c r="H595" s="2">
        <v>-7.4641666666666602</v>
      </c>
      <c r="I595" s="1">
        <v>0.90172830405045601</v>
      </c>
      <c r="J595" s="1">
        <v>0.95854322807879699</v>
      </c>
      <c r="K595" s="1">
        <v>0.73576480052030102</v>
      </c>
      <c r="L595" s="1">
        <v>0.62450673160895198</v>
      </c>
      <c r="P595" s="1">
        <f>I595-'Passo 2'!I595</f>
        <v>0</v>
      </c>
      <c r="Q595" s="1">
        <f>J595-'Passo 2'!J595</f>
        <v>-1.4907646311996037E-2</v>
      </c>
      <c r="R595" s="8">
        <f t="shared" si="37"/>
        <v>44.034999999999968</v>
      </c>
      <c r="S595" s="8">
        <f t="shared" si="36"/>
        <v>46.809499999999979</v>
      </c>
      <c r="T595" s="1">
        <f t="shared" si="38"/>
        <v>35.930338268608381</v>
      </c>
      <c r="U595" s="1">
        <f t="shared" si="39"/>
        <v>30.497161731391564</v>
      </c>
    </row>
    <row r="596" spans="1:21" x14ac:dyDescent="0.3">
      <c r="A596" t="s">
        <v>359</v>
      </c>
      <c r="B596" t="s">
        <v>758</v>
      </c>
      <c r="C596" t="s">
        <v>576</v>
      </c>
      <c r="D596" t="s">
        <v>589</v>
      </c>
      <c r="E596" s="2">
        <v>0</v>
      </c>
      <c r="F596" s="2">
        <v>0</v>
      </c>
      <c r="G596" s="2">
        <v>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P596" s="1">
        <f>I596-'Passo 2'!I596</f>
        <v>0</v>
      </c>
      <c r="Q596" s="1">
        <f>J596-'Passo 2'!J596</f>
        <v>0</v>
      </c>
      <c r="R596" s="8">
        <f t="shared" si="37"/>
        <v>0</v>
      </c>
      <c r="S596" s="8">
        <f t="shared" si="36"/>
        <v>0</v>
      </c>
      <c r="T596" s="1">
        <f t="shared" si="38"/>
        <v>0</v>
      </c>
      <c r="U596" s="1">
        <f t="shared" si="39"/>
        <v>0</v>
      </c>
    </row>
    <row r="597" spans="1:21" x14ac:dyDescent="0.3">
      <c r="A597" t="s">
        <v>359</v>
      </c>
      <c r="B597" t="s">
        <v>759</v>
      </c>
      <c r="C597" t="s">
        <v>574</v>
      </c>
      <c r="D597" t="s">
        <v>575</v>
      </c>
      <c r="E597" s="2">
        <v>96.040999999999997</v>
      </c>
      <c r="F597" s="2">
        <v>0</v>
      </c>
      <c r="G597" s="2">
        <v>11.7753333333333</v>
      </c>
      <c r="H597" s="2">
        <v>-9.5286666666666608</v>
      </c>
      <c r="I597" s="1">
        <v>0.86782207598837902</v>
      </c>
      <c r="J597" s="1">
        <v>0.79764371466352901</v>
      </c>
      <c r="K597" s="1">
        <v>0.60920634446878097</v>
      </c>
      <c r="L597" s="1">
        <v>0.55625944618312695</v>
      </c>
      <c r="P597" s="1">
        <f>I597-'Passo 2'!I597</f>
        <v>9.7156422777771034E-2</v>
      </c>
      <c r="Q597" s="1">
        <f>J597-'Passo 2'!J597</f>
        <v>-1.5618329671007736E-5</v>
      </c>
      <c r="R597" s="8">
        <f t="shared" si="37"/>
        <v>83.346499999999907</v>
      </c>
      <c r="S597" s="8">
        <f t="shared" si="36"/>
        <v>76.606499999999983</v>
      </c>
      <c r="T597" s="1">
        <f t="shared" si="38"/>
        <v>58.508786529126191</v>
      </c>
      <c r="U597" s="1">
        <f t="shared" si="39"/>
        <v>53.423713470873693</v>
      </c>
    </row>
    <row r="598" spans="1:21" x14ac:dyDescent="0.3">
      <c r="A598" t="s">
        <v>359</v>
      </c>
      <c r="B598" t="s">
        <v>441</v>
      </c>
      <c r="C598" t="s">
        <v>574</v>
      </c>
      <c r="D598" t="s">
        <v>575</v>
      </c>
      <c r="E598" s="2">
        <v>138.90199999999999</v>
      </c>
      <c r="F598" s="2">
        <v>0</v>
      </c>
      <c r="G598" s="2">
        <v>22.698166666666602</v>
      </c>
      <c r="H598" s="2">
        <v>-21.8698333333333</v>
      </c>
      <c r="I598" s="1">
        <v>0.99023412189889204</v>
      </c>
      <c r="J598" s="1">
        <v>0.97234381074426501</v>
      </c>
      <c r="K598" s="1">
        <v>0.83373131246313203</v>
      </c>
      <c r="L598" s="1">
        <v>0.62884662018002602</v>
      </c>
      <c r="P598" s="1">
        <f>I598-'Passo 2'!I598</f>
        <v>5.3994902881104867E-4</v>
      </c>
      <c r="Q598" s="1">
        <f>J598-'Passo 2'!J598</f>
        <v>4.3195922304906098E-4</v>
      </c>
      <c r="R598" s="8">
        <f t="shared" si="37"/>
        <v>137.54549999999989</v>
      </c>
      <c r="S598" s="8">
        <f t="shared" si="36"/>
        <v>135.06049999999988</v>
      </c>
      <c r="T598" s="1">
        <f t="shared" si="38"/>
        <v>115.80694676375396</v>
      </c>
      <c r="U598" s="1">
        <f t="shared" si="39"/>
        <v>87.34805323624596</v>
      </c>
    </row>
    <row r="599" spans="1:21" x14ac:dyDescent="0.3">
      <c r="A599" t="s">
        <v>359</v>
      </c>
      <c r="B599" t="s">
        <v>442</v>
      </c>
      <c r="C599" t="s">
        <v>574</v>
      </c>
      <c r="D599" t="s">
        <v>575</v>
      </c>
      <c r="E599" s="2">
        <v>471.88900000000001</v>
      </c>
      <c r="F599" s="2">
        <v>0</v>
      </c>
      <c r="G599" s="2">
        <v>75.737833333333299</v>
      </c>
      <c r="H599" s="2">
        <v>-75.397166666666607</v>
      </c>
      <c r="I599" s="1">
        <v>0.98149776748345396</v>
      </c>
      <c r="J599" s="1">
        <v>0.97933200392465103</v>
      </c>
      <c r="K599" s="1">
        <v>0.92643285626499505</v>
      </c>
      <c r="L599" s="1">
        <v>0.53439691514311105</v>
      </c>
      <c r="P599" s="1">
        <f>I599-'Passo 2'!I599</f>
        <v>2.4433712165359278E-3</v>
      </c>
      <c r="Q599" s="1">
        <f>J599-'Passo 2'!J599</f>
        <v>-2.987990819879327E-4</v>
      </c>
      <c r="R599" s="8">
        <f t="shared" si="37"/>
        <v>463.15799999999962</v>
      </c>
      <c r="S599" s="8">
        <f t="shared" si="36"/>
        <v>462.13599999999968</v>
      </c>
      <c r="T599" s="1">
        <f t="shared" si="38"/>
        <v>437.17347411003226</v>
      </c>
      <c r="U599" s="1">
        <f t="shared" si="39"/>
        <v>252.17602588996755</v>
      </c>
    </row>
    <row r="600" spans="1:21" x14ac:dyDescent="0.3">
      <c r="A600" t="s">
        <v>359</v>
      </c>
      <c r="B600" t="s">
        <v>760</v>
      </c>
      <c r="C600" t="s">
        <v>574</v>
      </c>
      <c r="D600" t="s">
        <v>575</v>
      </c>
      <c r="E600" s="2">
        <v>364.68099999999998</v>
      </c>
      <c r="F600" s="2">
        <v>0</v>
      </c>
      <c r="G600" s="2">
        <v>58.180999999999898</v>
      </c>
      <c r="H600" s="2">
        <v>-58.252166666666596</v>
      </c>
      <c r="I600" s="1">
        <v>0.97861829928074096</v>
      </c>
      <c r="J600" s="1">
        <v>0.97920374244887998</v>
      </c>
      <c r="K600" s="1">
        <v>0.92423328034469898</v>
      </c>
      <c r="L600" s="1">
        <v>0.53358876138492195</v>
      </c>
      <c r="P600" s="1">
        <f>I600-'Passo 2'!I600</f>
        <v>1.3973856603442969E-2</v>
      </c>
      <c r="Q600" s="1">
        <f>J600-'Passo 2'!J600</f>
        <v>1.4662129367858934E-2</v>
      </c>
      <c r="R600" s="8">
        <f t="shared" si="37"/>
        <v>356.88349999999986</v>
      </c>
      <c r="S600" s="8">
        <f t="shared" si="36"/>
        <v>357.09699999999998</v>
      </c>
      <c r="T600" s="1">
        <f t="shared" si="38"/>
        <v>337.05031690938517</v>
      </c>
      <c r="U600" s="1">
        <f t="shared" si="39"/>
        <v>194.5896830906147</v>
      </c>
    </row>
    <row r="601" spans="1:21" x14ac:dyDescent="0.3">
      <c r="A601" t="s">
        <v>359</v>
      </c>
      <c r="B601" t="s">
        <v>761</v>
      </c>
      <c r="C601" t="s">
        <v>576</v>
      </c>
      <c r="D601" t="s">
        <v>577</v>
      </c>
      <c r="E601" s="2">
        <v>240.012</v>
      </c>
      <c r="F601" s="2">
        <v>0</v>
      </c>
      <c r="G601" s="2">
        <v>39.702166666666599</v>
      </c>
      <c r="H601" s="2">
        <v>-39.625333333333302</v>
      </c>
      <c r="I601" s="1">
        <v>0.99625227071979705</v>
      </c>
      <c r="J601" s="1">
        <v>0.99529190207156304</v>
      </c>
      <c r="K601" s="1">
        <v>0.93823012412620899</v>
      </c>
      <c r="L601" s="1">
        <v>0.55331404866514999</v>
      </c>
      <c r="P601" s="1">
        <f>I601-'Passo 2'!I601</f>
        <v>1.6447094311951016E-2</v>
      </c>
      <c r="Q601" s="1">
        <f>J601-'Passo 2'!J601</f>
        <v>1.5624218789100919E-4</v>
      </c>
      <c r="R601" s="8">
        <f t="shared" si="37"/>
        <v>239.11249999999993</v>
      </c>
      <c r="S601" s="8">
        <f t="shared" si="36"/>
        <v>238.88199999999998</v>
      </c>
      <c r="T601" s="1">
        <f t="shared" si="38"/>
        <v>225.18648855177966</v>
      </c>
      <c r="U601" s="1">
        <f t="shared" si="39"/>
        <v>132.80201144821999</v>
      </c>
    </row>
    <row r="602" spans="1:21" x14ac:dyDescent="0.3">
      <c r="A602" t="s">
        <v>359</v>
      </c>
      <c r="B602" t="s">
        <v>443</v>
      </c>
      <c r="C602" t="s">
        <v>574</v>
      </c>
      <c r="D602" t="s">
        <v>575</v>
      </c>
      <c r="E602" s="2">
        <v>127.104</v>
      </c>
      <c r="F602" s="2">
        <v>0.36899999999999999</v>
      </c>
      <c r="G602" s="2">
        <v>17.690333333333299</v>
      </c>
      <c r="H602" s="2">
        <v>-17.774000000000001</v>
      </c>
      <c r="I602" s="1">
        <v>0.91608840005035197</v>
      </c>
      <c r="J602" s="1">
        <v>0.91806316087613304</v>
      </c>
      <c r="K602" s="1">
        <v>0.67478115002580696</v>
      </c>
      <c r="L602" s="1">
        <v>0.66082197812122101</v>
      </c>
      <c r="P602" s="1">
        <f>I602-'Passo 2'!I602</f>
        <v>2.6435045317220185E-3</v>
      </c>
      <c r="Q602" s="1">
        <f>J602-'Passo 2'!J602</f>
        <v>1.3374874118839974E-3</v>
      </c>
      <c r="R602" s="8">
        <f t="shared" si="37"/>
        <v>116.43849999999993</v>
      </c>
      <c r="S602" s="8">
        <f t="shared" si="36"/>
        <v>116.68950000000001</v>
      </c>
      <c r="T602" s="1">
        <f t="shared" si="38"/>
        <v>85.767383292880169</v>
      </c>
      <c r="U602" s="1">
        <f t="shared" si="39"/>
        <v>83.993116707119668</v>
      </c>
    </row>
    <row r="603" spans="1:21" x14ac:dyDescent="0.3">
      <c r="A603" t="s">
        <v>359</v>
      </c>
      <c r="B603" t="s">
        <v>444</v>
      </c>
      <c r="C603" t="s">
        <v>574</v>
      </c>
      <c r="D603" t="s">
        <v>575</v>
      </c>
      <c r="E603" s="2">
        <v>212.18100000000001</v>
      </c>
      <c r="F603" s="2">
        <v>0.16800000000000001</v>
      </c>
      <c r="G603" s="2">
        <v>29.344833333333298</v>
      </c>
      <c r="H603" s="2">
        <v>-29.020333333333301</v>
      </c>
      <c r="I603" s="1">
        <v>0.91450695396854498</v>
      </c>
      <c r="J603" s="1">
        <v>0.90991889000428805</v>
      </c>
      <c r="K603" s="1">
        <v>0.64003856297263695</v>
      </c>
      <c r="L603" s="1">
        <v>0.68478316941621897</v>
      </c>
      <c r="P603" s="1">
        <f>I603-'Passo 2'!I603</f>
        <v>1.8988505097062958E-2</v>
      </c>
      <c r="Q603" s="1">
        <f>J603-'Passo 2'!J603</f>
        <v>1.5588106380873046E-2</v>
      </c>
      <c r="R603" s="8">
        <f t="shared" si="37"/>
        <v>194.04099999999985</v>
      </c>
      <c r="S603" s="8">
        <f t="shared" si="36"/>
        <v>193.06749999999985</v>
      </c>
      <c r="T603" s="1">
        <f t="shared" si="38"/>
        <v>135.8040223300971</v>
      </c>
      <c r="U603" s="1">
        <f t="shared" si="39"/>
        <v>145.29797766990276</v>
      </c>
    </row>
    <row r="604" spans="1:21" x14ac:dyDescent="0.3">
      <c r="A604" t="s">
        <v>359</v>
      </c>
      <c r="B604" t="s">
        <v>445</v>
      </c>
      <c r="C604" t="s">
        <v>574</v>
      </c>
      <c r="D604" t="s">
        <v>575</v>
      </c>
      <c r="E604" s="2">
        <v>3269.174</v>
      </c>
      <c r="F604" s="2">
        <v>228.54499999999999</v>
      </c>
      <c r="G604" s="2">
        <v>430.93216666666598</v>
      </c>
      <c r="H604" s="2">
        <v>-433.52399999999898</v>
      </c>
      <c r="I604" s="1">
        <v>0.86049595402386003</v>
      </c>
      <c r="J604" s="1">
        <v>0.862874383559883</v>
      </c>
      <c r="K604" s="1">
        <v>0.67912215800686504</v>
      </c>
      <c r="L604" s="1">
        <v>0.579202727728797</v>
      </c>
      <c r="P604" s="1">
        <f>I604-'Passo 2'!I604</f>
        <v>0.10040915534015604</v>
      </c>
      <c r="Q604" s="1">
        <f>J604-'Passo 2'!J604</f>
        <v>0.13608513954901102</v>
      </c>
      <c r="R604" s="8">
        <f t="shared" si="37"/>
        <v>2813.1109999999985</v>
      </c>
      <c r="S604" s="8">
        <f t="shared" si="36"/>
        <v>2820.8864999999969</v>
      </c>
      <c r="T604" s="1">
        <f t="shared" si="38"/>
        <v>2220.168501779935</v>
      </c>
      <c r="U604" s="1">
        <f t="shared" si="39"/>
        <v>1893.5144982200623</v>
      </c>
    </row>
    <row r="605" spans="1:21" x14ac:dyDescent="0.3">
      <c r="A605" t="s">
        <v>359</v>
      </c>
      <c r="B605" t="s">
        <v>446</v>
      </c>
      <c r="C605" t="s">
        <v>574</v>
      </c>
      <c r="D605" t="s">
        <v>575</v>
      </c>
      <c r="E605" s="2">
        <v>180.29300000000001</v>
      </c>
      <c r="F605" s="2">
        <v>0</v>
      </c>
      <c r="G605" s="2">
        <v>23.936166666666601</v>
      </c>
      <c r="H605" s="2">
        <v>-21.969666666666601</v>
      </c>
      <c r="I605" s="1">
        <v>0.898287787102105</v>
      </c>
      <c r="J605" s="1">
        <v>0.86556605081728</v>
      </c>
      <c r="K605" s="1">
        <v>0.66896481248242101</v>
      </c>
      <c r="L605" s="1">
        <v>0.59488902543696498</v>
      </c>
      <c r="P605" s="1">
        <f>I605-'Passo 2'!I605</f>
        <v>-7.428740993826799E-2</v>
      </c>
      <c r="Q605" s="1">
        <f>J605-'Passo 2'!J605</f>
        <v>4.7103880904970974E-2</v>
      </c>
      <c r="R605" s="8">
        <f t="shared" si="37"/>
        <v>161.95499999999981</v>
      </c>
      <c r="S605" s="8">
        <f t="shared" si="36"/>
        <v>156.05549999999988</v>
      </c>
      <c r="T605" s="1">
        <f t="shared" si="38"/>
        <v>120.60967293689313</v>
      </c>
      <c r="U605" s="1">
        <f t="shared" si="39"/>
        <v>107.25432706310673</v>
      </c>
    </row>
    <row r="606" spans="1:21" x14ac:dyDescent="0.3">
      <c r="A606" t="s">
        <v>359</v>
      </c>
      <c r="B606" t="s">
        <v>447</v>
      </c>
      <c r="C606" t="s">
        <v>576</v>
      </c>
      <c r="D606" t="s">
        <v>14</v>
      </c>
      <c r="E606" s="2">
        <v>49.366999999999997</v>
      </c>
      <c r="F606" s="2">
        <v>0</v>
      </c>
      <c r="G606" s="2">
        <v>6.2824999999999998</v>
      </c>
      <c r="H606" s="2">
        <v>-7.84266666666666</v>
      </c>
      <c r="I606" s="1">
        <v>0.88178337755990799</v>
      </c>
      <c r="J606" s="1">
        <v>0.97659367593736701</v>
      </c>
      <c r="K606" s="1">
        <v>0.72351274579542701</v>
      </c>
      <c r="L606" s="1">
        <v>0.63486430770184799</v>
      </c>
      <c r="P606" s="1">
        <f>I606-'Passo 2'!I606</f>
        <v>2.1785808333501966E-2</v>
      </c>
      <c r="Q606" s="1">
        <f>J606-'Passo 2'!J606</f>
        <v>4.7126623047785032E-2</v>
      </c>
      <c r="R606" s="8">
        <f t="shared" si="37"/>
        <v>43.530999999999977</v>
      </c>
      <c r="S606" s="8">
        <f t="shared" si="36"/>
        <v>48.211499999999994</v>
      </c>
      <c r="T606" s="1">
        <f t="shared" si="38"/>
        <v>35.717653721682844</v>
      </c>
      <c r="U606" s="1">
        <f t="shared" si="39"/>
        <v>31.341346278317129</v>
      </c>
    </row>
    <row r="607" spans="1:21" x14ac:dyDescent="0.3">
      <c r="A607" t="s">
        <v>359</v>
      </c>
      <c r="B607" t="s">
        <v>762</v>
      </c>
      <c r="C607" t="s">
        <v>574</v>
      </c>
      <c r="D607" t="s">
        <v>575</v>
      </c>
      <c r="E607" s="2">
        <v>393.26100000000002</v>
      </c>
      <c r="F607" s="2">
        <v>12.045</v>
      </c>
      <c r="G607" s="2">
        <v>52.6338333333333</v>
      </c>
      <c r="H607" s="2">
        <v>-52.9</v>
      </c>
      <c r="I607" s="1">
        <v>0.88620407312192095</v>
      </c>
      <c r="J607" s="1">
        <v>0.88823453126549501</v>
      </c>
      <c r="K607" s="1">
        <v>0.70409164556829096</v>
      </c>
      <c r="L607" s="1">
        <v>0.58566121576298702</v>
      </c>
      <c r="P607" s="1">
        <f>I607-'Passo 2'!I607</f>
        <v>0.173664563737569</v>
      </c>
      <c r="Q607" s="1">
        <f>J607-'Passo 2'!J607</f>
        <v>0.19675609836724206</v>
      </c>
      <c r="R607" s="8">
        <f t="shared" si="37"/>
        <v>348.50949999999978</v>
      </c>
      <c r="S607" s="8">
        <f t="shared" si="36"/>
        <v>349.30799999999988</v>
      </c>
      <c r="T607" s="1">
        <f t="shared" si="38"/>
        <v>276.89178462783167</v>
      </c>
      <c r="U607" s="1">
        <f t="shared" si="39"/>
        <v>230.31771537216804</v>
      </c>
    </row>
    <row r="608" spans="1:21" x14ac:dyDescent="0.3">
      <c r="A608" t="s">
        <v>359</v>
      </c>
      <c r="B608" t="s">
        <v>448</v>
      </c>
      <c r="C608" t="s">
        <v>574</v>
      </c>
      <c r="D608" t="s">
        <v>575</v>
      </c>
      <c r="E608" s="2">
        <v>4232.8969999999999</v>
      </c>
      <c r="F608" s="2">
        <v>368.28</v>
      </c>
      <c r="G608" s="2">
        <v>479.14083333333298</v>
      </c>
      <c r="H608" s="2">
        <v>-346.23466666666599</v>
      </c>
      <c r="I608" s="1">
        <v>0.79608150162878999</v>
      </c>
      <c r="J608" s="1">
        <v>0.70188632040892995</v>
      </c>
      <c r="K608" s="1">
        <v>0.63365591870006099</v>
      </c>
      <c r="L608" s="1">
        <v>0.40781402493428598</v>
      </c>
      <c r="P608" s="1">
        <f>I608-'Passo 2'!I608</f>
        <v>9.1155537212457949E-2</v>
      </c>
      <c r="Q608" s="1">
        <f>J608-'Passo 2'!J608</f>
        <v>5.1587836888070004E-2</v>
      </c>
      <c r="R608" s="8">
        <f t="shared" si="37"/>
        <v>3369.7310000000002</v>
      </c>
      <c r="S608" s="8">
        <f t="shared" si="36"/>
        <v>2971.0124999999985</v>
      </c>
      <c r="T608" s="1">
        <f t="shared" si="38"/>
        <v>2682.2002372977322</v>
      </c>
      <c r="U608" s="1">
        <f t="shared" si="39"/>
        <v>1726.2347627022643</v>
      </c>
    </row>
    <row r="609" spans="1:21" x14ac:dyDescent="0.3">
      <c r="A609" t="s">
        <v>359</v>
      </c>
      <c r="B609" t="s">
        <v>449</v>
      </c>
      <c r="C609" t="s">
        <v>574</v>
      </c>
      <c r="D609" t="s">
        <v>575</v>
      </c>
      <c r="E609" s="2">
        <v>7014.2790000000005</v>
      </c>
      <c r="F609" s="2">
        <v>1890.4549999999999</v>
      </c>
      <c r="G609" s="2">
        <v>501.21600000000001</v>
      </c>
      <c r="H609" s="2">
        <v>-505.44866666666599</v>
      </c>
      <c r="I609" s="1">
        <v>0.57961196011735405</v>
      </c>
      <c r="J609" s="1">
        <v>0.58142226734921698</v>
      </c>
      <c r="K609" s="1">
        <v>0.45063157337148502</v>
      </c>
      <c r="L609" s="1">
        <v>0.34516026781418702</v>
      </c>
      <c r="P609" s="1">
        <f>I609-'Passo 2'!I609</f>
        <v>5.2285915630102098E-2</v>
      </c>
      <c r="Q609" s="1">
        <f>J609-'Passo 2'!J609</f>
        <v>6.2936618289634927E-2</v>
      </c>
      <c r="R609" s="8">
        <f t="shared" si="37"/>
        <v>4065.5599999999945</v>
      </c>
      <c r="S609" s="8">
        <f t="shared" si="36"/>
        <v>4078.2579999999984</v>
      </c>
      <c r="T609" s="1">
        <f t="shared" si="38"/>
        <v>3160.8555818365667</v>
      </c>
      <c r="U609" s="1">
        <f t="shared" si="39"/>
        <v>2421.0504181634278</v>
      </c>
    </row>
    <row r="610" spans="1:21" x14ac:dyDescent="0.3">
      <c r="A610" t="s">
        <v>359</v>
      </c>
      <c r="B610" t="s">
        <v>450</v>
      </c>
      <c r="C610" t="s">
        <v>574</v>
      </c>
      <c r="D610" t="s">
        <v>575</v>
      </c>
      <c r="E610" s="2">
        <v>61.072000000000003</v>
      </c>
      <c r="F610" s="2">
        <v>0</v>
      </c>
      <c r="G610" s="2">
        <v>10.1681666666666</v>
      </c>
      <c r="H610" s="2">
        <v>-10.178666666666601</v>
      </c>
      <c r="I610" s="1">
        <v>0.99948421535237097</v>
      </c>
      <c r="J610" s="1">
        <v>1</v>
      </c>
      <c r="K610" s="1">
        <v>0.67532147714872903</v>
      </c>
      <c r="L610" s="1">
        <v>0.82416273820364105</v>
      </c>
      <c r="P610" s="1">
        <f>I610-'Passo 2'!I610</f>
        <v>-1.0643175268498783E-4</v>
      </c>
      <c r="Q610" s="1">
        <f>J610-'Passo 2'!J610</f>
        <v>5.8128111082000888E-4</v>
      </c>
      <c r="R610" s="8">
        <f t="shared" si="37"/>
        <v>61.040500000000002</v>
      </c>
      <c r="S610" s="8">
        <f t="shared" si="36"/>
        <v>61.072000000000003</v>
      </c>
      <c r="T610" s="1">
        <f t="shared" si="38"/>
        <v>41.243233252427181</v>
      </c>
      <c r="U610" s="1">
        <f t="shared" si="39"/>
        <v>50.333266747572772</v>
      </c>
    </row>
    <row r="611" spans="1:21" x14ac:dyDescent="0.3">
      <c r="A611" t="s">
        <v>359</v>
      </c>
      <c r="B611" t="s">
        <v>451</v>
      </c>
      <c r="C611" t="s">
        <v>574</v>
      </c>
      <c r="D611" t="s">
        <v>575</v>
      </c>
      <c r="E611" s="2">
        <v>96.25</v>
      </c>
      <c r="F611" s="2">
        <v>0</v>
      </c>
      <c r="G611" s="2">
        <v>15.955833333333301</v>
      </c>
      <c r="H611" s="2">
        <v>-16.0401666666666</v>
      </c>
      <c r="I611" s="1">
        <v>0.99732467532467495</v>
      </c>
      <c r="J611" s="1">
        <v>0.99995324675324604</v>
      </c>
      <c r="K611" s="1">
        <v>0.68676913756146696</v>
      </c>
      <c r="L611" s="1">
        <v>0.81050878451645403</v>
      </c>
      <c r="P611" s="1">
        <f>I611-'Passo 2'!I611</f>
        <v>4.0779220779219028E-3</v>
      </c>
      <c r="Q611" s="1">
        <f>J611-'Passo 2'!J611</f>
        <v>3.1116883116880656E-3</v>
      </c>
      <c r="R611" s="8">
        <f t="shared" si="37"/>
        <v>95.992499999999964</v>
      </c>
      <c r="S611" s="8">
        <f t="shared" si="36"/>
        <v>96.245499999999936</v>
      </c>
      <c r="T611" s="1">
        <f t="shared" si="38"/>
        <v>66.101529490291199</v>
      </c>
      <c r="U611" s="1">
        <f t="shared" si="39"/>
        <v>78.011470509708701</v>
      </c>
    </row>
    <row r="612" spans="1:21" x14ac:dyDescent="0.3">
      <c r="A612" t="s">
        <v>359</v>
      </c>
      <c r="B612" t="s">
        <v>452</v>
      </c>
      <c r="C612" t="s">
        <v>576</v>
      </c>
      <c r="D612" t="s">
        <v>14</v>
      </c>
      <c r="E612" s="2">
        <v>29</v>
      </c>
      <c r="F612" s="2">
        <v>0</v>
      </c>
      <c r="G612" s="2">
        <v>3.2453333333333299</v>
      </c>
      <c r="H612" s="2">
        <v>-3.9964999999999899</v>
      </c>
      <c r="I612" s="1">
        <v>0.83572413793103395</v>
      </c>
      <c r="J612" s="1">
        <v>0.91343103448275798</v>
      </c>
      <c r="K612" s="1">
        <v>0.64097247517018197</v>
      </c>
      <c r="L612" s="1">
        <v>0.60818269724361096</v>
      </c>
      <c r="P612" s="1">
        <f>I612-'Passo 2'!I612</f>
        <v>-8.6206896551720424E-3</v>
      </c>
      <c r="Q612" s="1">
        <f>J612-'Passo 2'!J612</f>
        <v>-1.7241379310344973E-2</v>
      </c>
      <c r="R612" s="8">
        <f t="shared" si="37"/>
        <v>24.235999999999983</v>
      </c>
      <c r="S612" s="8">
        <f t="shared" si="36"/>
        <v>26.489499999999982</v>
      </c>
      <c r="T612" s="1">
        <f t="shared" si="38"/>
        <v>18.588201779935275</v>
      </c>
      <c r="U612" s="1">
        <f t="shared" si="39"/>
        <v>17.637298220064718</v>
      </c>
    </row>
    <row r="613" spans="1:21" x14ac:dyDescent="0.3">
      <c r="A613" t="s">
        <v>359</v>
      </c>
      <c r="B613" t="s">
        <v>453</v>
      </c>
      <c r="C613" t="s">
        <v>574</v>
      </c>
      <c r="D613" t="s">
        <v>575</v>
      </c>
      <c r="E613" s="2">
        <v>2103.1109999999999</v>
      </c>
      <c r="F613" s="2">
        <v>193.34</v>
      </c>
      <c r="G613" s="2">
        <v>308.347166666666</v>
      </c>
      <c r="H613" s="2">
        <v>-315.40916666666601</v>
      </c>
      <c r="I613" s="1">
        <v>0.89387911527256503</v>
      </c>
      <c r="J613" s="1">
        <v>0.90395276331111396</v>
      </c>
      <c r="K613" s="1">
        <v>0.76362875845757905</v>
      </c>
      <c r="L613" s="1">
        <v>0.58016835924091503</v>
      </c>
      <c r="P613" s="1">
        <f>I613-'Passo 2'!I613</f>
        <v>4.4305792704240066E-3</v>
      </c>
      <c r="Q613" s="1">
        <f>J613-'Passo 2'!J613</f>
        <v>3.3878145280967997E-2</v>
      </c>
      <c r="R613" s="8">
        <f t="shared" si="37"/>
        <v>1879.9269999999995</v>
      </c>
      <c r="S613" s="8">
        <f t="shared" si="36"/>
        <v>1901.1130000000001</v>
      </c>
      <c r="T613" s="1">
        <f t="shared" si="38"/>
        <v>1605.9960418284775</v>
      </c>
      <c r="U613" s="1">
        <f t="shared" si="39"/>
        <v>1220.1584581715199</v>
      </c>
    </row>
    <row r="614" spans="1:21" x14ac:dyDescent="0.3">
      <c r="A614" t="s">
        <v>359</v>
      </c>
      <c r="B614" t="s">
        <v>454</v>
      </c>
      <c r="C614" t="s">
        <v>574</v>
      </c>
      <c r="D614" t="s">
        <v>575</v>
      </c>
      <c r="E614" s="2">
        <v>51</v>
      </c>
      <c r="F614" s="2">
        <v>8.2690000000000001</v>
      </c>
      <c r="G614" s="2">
        <v>4.4133333333333304</v>
      </c>
      <c r="H614" s="2">
        <v>-4.30683333333333</v>
      </c>
      <c r="I614" s="1">
        <v>0.67853921568627396</v>
      </c>
      <c r="J614" s="1">
        <v>0.67227450980392101</v>
      </c>
      <c r="K614" s="1">
        <v>0.55741950472745705</v>
      </c>
      <c r="L614" s="1">
        <v>0.374462848213719</v>
      </c>
      <c r="P614" s="1">
        <f>I614-'Passo 2'!I614</f>
        <v>2.6274509803920987E-2</v>
      </c>
      <c r="Q614" s="1">
        <f>J614-'Passo 2'!J614</f>
        <v>4.4254901960783966E-2</v>
      </c>
      <c r="R614" s="8">
        <f t="shared" si="37"/>
        <v>34.605499999999971</v>
      </c>
      <c r="S614" s="8">
        <f t="shared" si="36"/>
        <v>34.285999999999973</v>
      </c>
      <c r="T614" s="1">
        <f t="shared" si="38"/>
        <v>28.428394741100309</v>
      </c>
      <c r="U614" s="1">
        <f t="shared" si="39"/>
        <v>19.097605258899669</v>
      </c>
    </row>
    <row r="615" spans="1:21" x14ac:dyDescent="0.3">
      <c r="A615" t="s">
        <v>359</v>
      </c>
      <c r="B615" t="s">
        <v>455</v>
      </c>
      <c r="C615" t="s">
        <v>574</v>
      </c>
      <c r="D615" t="s">
        <v>575</v>
      </c>
      <c r="E615" s="2">
        <v>408.15100000000001</v>
      </c>
      <c r="F615" s="2">
        <v>0</v>
      </c>
      <c r="G615" s="2">
        <v>66.783333333333303</v>
      </c>
      <c r="H615" s="2">
        <v>-67.128833333333304</v>
      </c>
      <c r="I615" s="1">
        <v>0.99087225071113305</v>
      </c>
      <c r="J615" s="1">
        <v>0.99341175202314802</v>
      </c>
      <c r="K615" s="1">
        <v>0.67621723959180302</v>
      </c>
      <c r="L615" s="1">
        <v>0.80806676314247805</v>
      </c>
      <c r="P615" s="1">
        <f>I615-'Passo 2'!I615</f>
        <v>9.3718991255687056E-2</v>
      </c>
      <c r="Q615" s="1">
        <f>J615-'Passo 2'!J615</f>
        <v>9.2990094352335073E-2</v>
      </c>
      <c r="R615" s="8">
        <f t="shared" si="37"/>
        <v>404.42549999999966</v>
      </c>
      <c r="S615" s="8">
        <f t="shared" si="36"/>
        <v>405.46199999999988</v>
      </c>
      <c r="T615" s="1">
        <f t="shared" si="38"/>
        <v>275.998742556634</v>
      </c>
      <c r="U615" s="1">
        <f t="shared" si="39"/>
        <v>329.81325744336556</v>
      </c>
    </row>
    <row r="616" spans="1:21" x14ac:dyDescent="0.3">
      <c r="A616" t="s">
        <v>359</v>
      </c>
      <c r="B616" t="s">
        <v>456</v>
      </c>
      <c r="C616" t="s">
        <v>574</v>
      </c>
      <c r="D616" t="s">
        <v>575</v>
      </c>
      <c r="E616" s="2">
        <v>25.63</v>
      </c>
      <c r="F616" s="2">
        <v>0</v>
      </c>
      <c r="G616" s="2">
        <v>3.403</v>
      </c>
      <c r="H616" s="2">
        <v>-3.3704999999999998</v>
      </c>
      <c r="I616" s="1">
        <v>0.89832227857978897</v>
      </c>
      <c r="J616" s="1">
        <v>0.89451814280140396</v>
      </c>
      <c r="K616" s="1">
        <v>0.75082190135447502</v>
      </c>
      <c r="L616" s="1">
        <v>0.54201852002671802</v>
      </c>
      <c r="P616" s="1">
        <f>I616-'Passo 2'!I616</f>
        <v>5.1307062036679563E-3</v>
      </c>
      <c r="Q616" s="1">
        <f>J616-'Passo 2'!J616</f>
        <v>0</v>
      </c>
      <c r="R616" s="8">
        <f t="shared" si="37"/>
        <v>23.02399999999999</v>
      </c>
      <c r="S616" s="8">
        <f t="shared" si="36"/>
        <v>22.926499999999983</v>
      </c>
      <c r="T616" s="1">
        <f t="shared" si="38"/>
        <v>19.243565331715192</v>
      </c>
      <c r="U616" s="1">
        <f t="shared" si="39"/>
        <v>13.891934668284783</v>
      </c>
    </row>
    <row r="617" spans="1:21" x14ac:dyDescent="0.3">
      <c r="A617" t="s">
        <v>359</v>
      </c>
      <c r="B617" t="s">
        <v>457</v>
      </c>
      <c r="C617" t="s">
        <v>574</v>
      </c>
      <c r="D617" t="s">
        <v>575</v>
      </c>
      <c r="E617" s="2">
        <v>117.72499999999999</v>
      </c>
      <c r="F617" s="2">
        <v>0</v>
      </c>
      <c r="G617" s="2">
        <v>13.3596666666666</v>
      </c>
      <c r="H617" s="2">
        <v>-11.1021666666666</v>
      </c>
      <c r="I617" s="1">
        <v>0.84044595455510696</v>
      </c>
      <c r="J617" s="1">
        <v>0.78291781694627305</v>
      </c>
      <c r="K617" s="1">
        <v>0.58160980282197305</v>
      </c>
      <c r="L617" s="1">
        <v>0.54175396867940595</v>
      </c>
      <c r="P617" s="1">
        <f>I617-'Passo 2'!I617</f>
        <v>9.3013378636697119E-4</v>
      </c>
      <c r="Q617" s="1">
        <f>J617-'Passo 2'!J617</f>
        <v>1.4971331492886097E-2</v>
      </c>
      <c r="R617" s="8">
        <f t="shared" si="37"/>
        <v>98.941499999999962</v>
      </c>
      <c r="S617" s="8">
        <f t="shared" si="36"/>
        <v>92.168999999999997</v>
      </c>
      <c r="T617" s="1">
        <f t="shared" si="38"/>
        <v>68.470014037216771</v>
      </c>
      <c r="U617" s="1">
        <f t="shared" si="39"/>
        <v>63.777985962783063</v>
      </c>
    </row>
    <row r="618" spans="1:21" x14ac:dyDescent="0.3">
      <c r="A618" t="s">
        <v>359</v>
      </c>
      <c r="B618" t="s">
        <v>458</v>
      </c>
      <c r="C618" t="s">
        <v>574</v>
      </c>
      <c r="D618" t="s">
        <v>575</v>
      </c>
      <c r="E618" s="2">
        <v>3596.85</v>
      </c>
      <c r="F618" s="2">
        <v>4.9960000000000004</v>
      </c>
      <c r="G618" s="2">
        <v>504.21033333333298</v>
      </c>
      <c r="H618" s="2">
        <v>-432.90383333333301</v>
      </c>
      <c r="I618" s="1">
        <v>0.91984875655087095</v>
      </c>
      <c r="J618" s="1">
        <v>0.86037463335974496</v>
      </c>
      <c r="K618" s="1">
        <v>0.67450645789355501</v>
      </c>
      <c r="L618" s="1">
        <v>0.60641142859045105</v>
      </c>
      <c r="P618" s="1">
        <f>I618-'Passo 2'!I618</f>
        <v>0.15873597731348299</v>
      </c>
      <c r="Q618" s="1">
        <f>J618-'Passo 2'!J618</f>
        <v>0.12360899120063396</v>
      </c>
      <c r="R618" s="8">
        <f t="shared" si="37"/>
        <v>3308.558</v>
      </c>
      <c r="S618" s="8">
        <f t="shared" si="36"/>
        <v>3094.6384999999987</v>
      </c>
      <c r="T618" s="1">
        <f t="shared" si="38"/>
        <v>2426.0985530744333</v>
      </c>
      <c r="U618" s="1">
        <f t="shared" si="39"/>
        <v>2181.1709469255638</v>
      </c>
    </row>
    <row r="619" spans="1:21" x14ac:dyDescent="0.3">
      <c r="A619" t="s">
        <v>359</v>
      </c>
      <c r="B619" t="s">
        <v>459</v>
      </c>
      <c r="C619" t="s">
        <v>576</v>
      </c>
      <c r="D619" t="s">
        <v>577</v>
      </c>
      <c r="E619" s="2">
        <v>88.7</v>
      </c>
      <c r="F619" s="2">
        <v>0</v>
      </c>
      <c r="G619" s="2">
        <v>14.783333333333299</v>
      </c>
      <c r="H619" s="2">
        <v>-14.783333333333299</v>
      </c>
      <c r="I619" s="1">
        <v>1</v>
      </c>
      <c r="J619" s="1">
        <v>1</v>
      </c>
      <c r="K619" s="1">
        <v>0.96512940058303498</v>
      </c>
      <c r="L619" s="1">
        <v>0.53487059941696402</v>
      </c>
      <c r="P619" s="1">
        <f>I619-'Passo 2'!I619</f>
        <v>1.1273957158970394E-3</v>
      </c>
      <c r="Q619" s="1">
        <f>J619-'Passo 2'!J619</f>
        <v>8.4554678692294605E-4</v>
      </c>
      <c r="R619" s="8">
        <f t="shared" si="37"/>
        <v>88.7</v>
      </c>
      <c r="S619" s="8">
        <f t="shared" si="36"/>
        <v>88.7</v>
      </c>
      <c r="T619" s="1">
        <f t="shared" si="38"/>
        <v>85.606977831715199</v>
      </c>
      <c r="U619" s="1">
        <f t="shared" si="39"/>
        <v>47.443022168284713</v>
      </c>
    </row>
    <row r="620" spans="1:21" x14ac:dyDescent="0.3">
      <c r="A620" t="s">
        <v>359</v>
      </c>
      <c r="B620" t="s">
        <v>763</v>
      </c>
      <c r="C620" t="s">
        <v>574</v>
      </c>
      <c r="D620" t="s">
        <v>575</v>
      </c>
      <c r="E620" s="2">
        <v>1344.8040000000001</v>
      </c>
      <c r="F620" s="2">
        <v>205.78200000000001</v>
      </c>
      <c r="G620" s="2">
        <v>126.212499999999</v>
      </c>
      <c r="H620" s="2">
        <v>-147.312833333333</v>
      </c>
      <c r="I620" s="1">
        <v>0.70504586541979297</v>
      </c>
      <c r="J620" s="1">
        <v>0.752116665328181</v>
      </c>
      <c r="K620" s="1">
        <v>0.48889732697563998</v>
      </c>
      <c r="L620" s="1">
        <v>0.54477523794831895</v>
      </c>
      <c r="P620" s="1">
        <f>I620-'Passo 2'!I620</f>
        <v>7.1984467625021975E-2</v>
      </c>
      <c r="Q620" s="1">
        <f>J620-'Passo 2'!J620</f>
        <v>9.2897924158464984E-2</v>
      </c>
      <c r="R620" s="8">
        <f t="shared" si="37"/>
        <v>948.14849999999933</v>
      </c>
      <c r="S620" s="8">
        <f t="shared" si="36"/>
        <v>1011.4494999999991</v>
      </c>
      <c r="T620" s="1">
        <f t="shared" si="38"/>
        <v>657.47108090614859</v>
      </c>
      <c r="U620" s="1">
        <f t="shared" si="39"/>
        <v>732.61591909385118</v>
      </c>
    </row>
    <row r="621" spans="1:21" x14ac:dyDescent="0.3">
      <c r="A621" t="s">
        <v>359</v>
      </c>
      <c r="B621" t="s">
        <v>460</v>
      </c>
      <c r="C621" t="s">
        <v>574</v>
      </c>
      <c r="D621" t="s">
        <v>575</v>
      </c>
      <c r="E621" s="2">
        <v>97.71</v>
      </c>
      <c r="F621" s="2">
        <v>0</v>
      </c>
      <c r="G621" s="2">
        <v>11.2778333333333</v>
      </c>
      <c r="H621" s="2">
        <v>-5.36283333333333</v>
      </c>
      <c r="I621" s="1">
        <v>0.84626445604339295</v>
      </c>
      <c r="J621" s="1">
        <v>0.664655613550302</v>
      </c>
      <c r="K621" s="1">
        <v>0.66962799442177301</v>
      </c>
      <c r="L621" s="1">
        <v>0.341292075171922</v>
      </c>
      <c r="P621" s="1">
        <f>I621-'Passo 2'!I621</f>
        <v>6.8411626240916901E-2</v>
      </c>
      <c r="Q621" s="1">
        <f>J621-'Passo 2'!J621</f>
        <v>3.1603725309589992E-2</v>
      </c>
      <c r="R621" s="8">
        <f t="shared" si="37"/>
        <v>82.68849999999992</v>
      </c>
      <c r="S621" s="8">
        <f t="shared" si="36"/>
        <v>64.9435</v>
      </c>
      <c r="T621" s="1">
        <f t="shared" si="38"/>
        <v>65.429351334951434</v>
      </c>
      <c r="U621" s="1">
        <f t="shared" si="39"/>
        <v>33.347648665048496</v>
      </c>
    </row>
    <row r="622" spans="1:21" x14ac:dyDescent="0.3">
      <c r="A622" t="s">
        <v>359</v>
      </c>
      <c r="B622" t="s">
        <v>461</v>
      </c>
      <c r="C622" t="s">
        <v>576</v>
      </c>
      <c r="D622" t="s">
        <v>577</v>
      </c>
      <c r="E622" s="2">
        <v>252.399</v>
      </c>
      <c r="F622" s="2">
        <v>0</v>
      </c>
      <c r="G622" s="2">
        <v>40.440166666666599</v>
      </c>
      <c r="H622" s="2">
        <v>-40.441499999999998</v>
      </c>
      <c r="I622" s="1">
        <v>0.98066949552098004</v>
      </c>
      <c r="J622" s="1">
        <v>0.98068534344430802</v>
      </c>
      <c r="K622" s="1">
        <v>0.89778178966802802</v>
      </c>
      <c r="L622" s="1">
        <v>0.56357304929726004</v>
      </c>
      <c r="P622" s="1">
        <f>I622-'Passo 2'!I622</f>
        <v>3.8205381162366048E-2</v>
      </c>
      <c r="Q622" s="1">
        <f>J622-'Passo 2'!J622</f>
        <v>7.9239616639026345E-5</v>
      </c>
      <c r="R622" s="8">
        <f t="shared" si="37"/>
        <v>247.51999999999984</v>
      </c>
      <c r="S622" s="8">
        <f t="shared" si="36"/>
        <v>247.52399999999989</v>
      </c>
      <c r="T622" s="1">
        <f t="shared" si="38"/>
        <v>226.5992259304206</v>
      </c>
      <c r="U622" s="1">
        <f t="shared" si="39"/>
        <v>142.24527406957912</v>
      </c>
    </row>
    <row r="623" spans="1:21" x14ac:dyDescent="0.3">
      <c r="A623" t="s">
        <v>359</v>
      </c>
      <c r="B623" t="s">
        <v>462</v>
      </c>
      <c r="C623" t="s">
        <v>576</v>
      </c>
      <c r="D623" t="s">
        <v>577</v>
      </c>
      <c r="E623" s="2">
        <v>116.724</v>
      </c>
      <c r="F623" s="2">
        <v>0</v>
      </c>
      <c r="G623" s="2">
        <v>18.746666666666599</v>
      </c>
      <c r="H623" s="2">
        <v>-19.454000000000001</v>
      </c>
      <c r="I623" s="1">
        <v>0.98182036256468197</v>
      </c>
      <c r="J623" s="1">
        <v>1</v>
      </c>
      <c r="K623" s="1">
        <v>0.95660660006860398</v>
      </c>
      <c r="L623" s="1">
        <v>0.52521376249607798</v>
      </c>
      <c r="P623" s="1">
        <f>I623-'Passo 2'!I623</f>
        <v>1.2572392995441994E-2</v>
      </c>
      <c r="Q623" s="1">
        <f>J623-'Passo 2'!J623</f>
        <v>5.6543641410600198E-4</v>
      </c>
      <c r="R623" s="8">
        <f t="shared" si="37"/>
        <v>114.60199999999995</v>
      </c>
      <c r="S623" s="8">
        <f t="shared" si="36"/>
        <v>116.724</v>
      </c>
      <c r="T623" s="1">
        <f t="shared" si="38"/>
        <v>111.65894878640773</v>
      </c>
      <c r="U623" s="1">
        <f t="shared" si="39"/>
        <v>61.305051213592208</v>
      </c>
    </row>
    <row r="624" spans="1:21" x14ac:dyDescent="0.3">
      <c r="A624" t="s">
        <v>359</v>
      </c>
      <c r="B624" t="s">
        <v>463</v>
      </c>
      <c r="C624" t="s">
        <v>576</v>
      </c>
      <c r="D624" t="s">
        <v>14</v>
      </c>
      <c r="E624" s="2">
        <v>23.449000000000002</v>
      </c>
      <c r="F624" s="2">
        <v>0</v>
      </c>
      <c r="G624" s="2">
        <v>3.9081666666666601</v>
      </c>
      <c r="H624" s="2">
        <v>-8.3333333333333297E-3</v>
      </c>
      <c r="I624" s="1">
        <v>1</v>
      </c>
      <c r="J624" s="1">
        <v>0.501066143545567</v>
      </c>
      <c r="K624" s="1">
        <v>0.53737038473926202</v>
      </c>
      <c r="L624" s="1">
        <v>0.46369575880630398</v>
      </c>
      <c r="P624" s="1">
        <f>I624-'Passo 2'!I624</f>
        <v>0</v>
      </c>
      <c r="Q624" s="1">
        <f>J624-'Passo 2'!J624</f>
        <v>0</v>
      </c>
      <c r="R624" s="8">
        <f t="shared" si="37"/>
        <v>23.449000000000002</v>
      </c>
      <c r="S624" s="8">
        <f t="shared" si="36"/>
        <v>11.749500000000001</v>
      </c>
      <c r="T624" s="1">
        <f t="shared" si="38"/>
        <v>12.600798151750956</v>
      </c>
      <c r="U624" s="1">
        <f t="shared" si="39"/>
        <v>10.873201848249023</v>
      </c>
    </row>
    <row r="625" spans="1:21" x14ac:dyDescent="0.3">
      <c r="A625" t="s">
        <v>359</v>
      </c>
      <c r="B625" t="s">
        <v>464</v>
      </c>
      <c r="C625" t="s">
        <v>574</v>
      </c>
      <c r="D625" t="s">
        <v>575</v>
      </c>
      <c r="E625" s="2">
        <v>0</v>
      </c>
      <c r="F625" s="2">
        <v>0</v>
      </c>
      <c r="G625" s="2">
        <v>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P625" s="1">
        <f>I625-'Passo 2'!I625</f>
        <v>0</v>
      </c>
      <c r="Q625" s="1">
        <f>J625-'Passo 2'!J625</f>
        <v>0</v>
      </c>
      <c r="R625" s="8">
        <f t="shared" si="37"/>
        <v>0</v>
      </c>
      <c r="S625" s="8">
        <f t="shared" si="36"/>
        <v>0</v>
      </c>
      <c r="T625" s="1">
        <f t="shared" si="38"/>
        <v>0</v>
      </c>
      <c r="U625" s="1">
        <f t="shared" si="39"/>
        <v>0</v>
      </c>
    </row>
    <row r="626" spans="1:21" x14ac:dyDescent="0.3">
      <c r="A626" t="s">
        <v>359</v>
      </c>
      <c r="B626" t="s">
        <v>465</v>
      </c>
      <c r="C626" t="s">
        <v>574</v>
      </c>
      <c r="D626" t="s">
        <v>575</v>
      </c>
      <c r="E626" s="2">
        <v>903.21900000000005</v>
      </c>
      <c r="F626" s="2">
        <v>103.15</v>
      </c>
      <c r="G626" s="2">
        <v>117.081</v>
      </c>
      <c r="H626" s="2">
        <v>-116.727666666666</v>
      </c>
      <c r="I626" s="1">
        <v>0.831777785896886</v>
      </c>
      <c r="J626" s="1">
        <v>0.83060420562454895</v>
      </c>
      <c r="K626" s="1">
        <v>0.60255471896846002</v>
      </c>
      <c r="L626" s="1">
        <v>0.61692859570937397</v>
      </c>
      <c r="P626" s="1">
        <f>I626-'Passo 2'!I626</f>
        <v>2.7795030883980276E-3</v>
      </c>
      <c r="Q626" s="1">
        <f>J626-'Passo 2'!J626</f>
        <v>7.0857676819913173E-5</v>
      </c>
      <c r="R626" s="8">
        <f t="shared" si="37"/>
        <v>751.27749999999946</v>
      </c>
      <c r="S626" s="8">
        <f t="shared" si="36"/>
        <v>750.21749999999952</v>
      </c>
      <c r="T626" s="1">
        <f t="shared" si="38"/>
        <v>544.2388707119735</v>
      </c>
      <c r="U626" s="1">
        <f t="shared" si="39"/>
        <v>557.22162928802504</v>
      </c>
    </row>
    <row r="627" spans="1:21" x14ac:dyDescent="0.3">
      <c r="A627" t="s">
        <v>359</v>
      </c>
      <c r="B627" t="s">
        <v>466</v>
      </c>
      <c r="C627" t="s">
        <v>574</v>
      </c>
      <c r="D627" t="s">
        <v>575</v>
      </c>
      <c r="E627" s="2">
        <v>31.109000000000002</v>
      </c>
      <c r="F627" s="2">
        <v>0</v>
      </c>
      <c r="G627" s="2">
        <v>3.5905</v>
      </c>
      <c r="H627" s="2">
        <v>-3.6081666666666599</v>
      </c>
      <c r="I627" s="1">
        <v>0.84625028126908597</v>
      </c>
      <c r="J627" s="1">
        <v>0.84795396830499203</v>
      </c>
      <c r="K627" s="1">
        <v>0.65433154262582904</v>
      </c>
      <c r="L627" s="1">
        <v>0.53987270694824796</v>
      </c>
      <c r="P627" s="1">
        <f>I627-'Passo 2'!I627</f>
        <v>3.0055610916459585E-3</v>
      </c>
      <c r="Q627" s="1">
        <f>J627-'Passo 2'!J627</f>
        <v>2.1376450544859926E-3</v>
      </c>
      <c r="R627" s="8">
        <f t="shared" si="37"/>
        <v>26.325999999999997</v>
      </c>
      <c r="S627" s="8">
        <f t="shared" si="36"/>
        <v>26.378999999999998</v>
      </c>
      <c r="T627" s="1">
        <f t="shared" si="38"/>
        <v>20.355599959546918</v>
      </c>
      <c r="U627" s="1">
        <f t="shared" si="39"/>
        <v>16.794900040453047</v>
      </c>
    </row>
    <row r="628" spans="1:21" x14ac:dyDescent="0.3">
      <c r="A628" t="s">
        <v>359</v>
      </c>
      <c r="B628" t="s">
        <v>467</v>
      </c>
      <c r="C628" t="s">
        <v>574</v>
      </c>
      <c r="D628" t="s">
        <v>575</v>
      </c>
      <c r="E628" s="2">
        <v>1079.566</v>
      </c>
      <c r="F628" s="2">
        <v>0.71799999999999997</v>
      </c>
      <c r="G628" s="2">
        <v>155.826666666666</v>
      </c>
      <c r="H628" s="2">
        <v>-154.59766666666599</v>
      </c>
      <c r="I628" s="1">
        <v>0.932693323057599</v>
      </c>
      <c r="J628" s="1">
        <v>0.92927806173962402</v>
      </c>
      <c r="K628" s="1">
        <v>0.74796986424731704</v>
      </c>
      <c r="L628" s="1">
        <v>0.61433406158954595</v>
      </c>
      <c r="P628" s="1">
        <f>I628-'Passo 2'!I628</f>
        <v>4.0327779867095015E-2</v>
      </c>
      <c r="Q628" s="1">
        <f>J628-'Passo 2'!J628</f>
        <v>1.8255947297339037E-2</v>
      </c>
      <c r="R628" s="8">
        <f t="shared" si="37"/>
        <v>1006.904</v>
      </c>
      <c r="S628" s="8">
        <f t="shared" si="36"/>
        <v>1003.216999999999</v>
      </c>
      <c r="T628" s="1">
        <f t="shared" si="38"/>
        <v>807.48283446601909</v>
      </c>
      <c r="U628" s="1">
        <f t="shared" si="39"/>
        <v>663.21416553397978</v>
      </c>
    </row>
    <row r="629" spans="1:21" x14ac:dyDescent="0.3">
      <c r="A629" t="s">
        <v>359</v>
      </c>
      <c r="B629" t="s">
        <v>468</v>
      </c>
      <c r="C629" t="s">
        <v>576</v>
      </c>
      <c r="D629" t="s">
        <v>577</v>
      </c>
      <c r="E629" s="2">
        <v>239.904</v>
      </c>
      <c r="F629" s="2">
        <v>0</v>
      </c>
      <c r="G629" s="2">
        <v>33.152499999999897</v>
      </c>
      <c r="H629" s="2">
        <v>-34.112000000000002</v>
      </c>
      <c r="I629" s="1">
        <v>0.91457207883153202</v>
      </c>
      <c r="J629" s="1">
        <v>0.92657062825129999</v>
      </c>
      <c r="K629" s="1">
        <v>0.88761464756479702</v>
      </c>
      <c r="L629" s="1">
        <v>0.45352805951803599</v>
      </c>
      <c r="P629" s="1">
        <f>I629-'Passo 2'!I629</f>
        <v>9.3714569160998074E-2</v>
      </c>
      <c r="Q629" s="1">
        <f>J629-'Passo 2'!J629</f>
        <v>0</v>
      </c>
      <c r="R629" s="8">
        <f t="shared" si="37"/>
        <v>219.40949999999987</v>
      </c>
      <c r="S629" s="8">
        <f t="shared" si="36"/>
        <v>222.28799999999987</v>
      </c>
      <c r="T629" s="1">
        <f t="shared" si="38"/>
        <v>212.94230440938506</v>
      </c>
      <c r="U629" s="1">
        <f t="shared" si="39"/>
        <v>108.80319559061491</v>
      </c>
    </row>
    <row r="630" spans="1:21" x14ac:dyDescent="0.3">
      <c r="A630" t="s">
        <v>359</v>
      </c>
      <c r="B630" t="s">
        <v>469</v>
      </c>
      <c r="C630" t="s">
        <v>574</v>
      </c>
      <c r="D630" t="s">
        <v>575</v>
      </c>
      <c r="E630" s="2">
        <v>181.35</v>
      </c>
      <c r="F630" s="2">
        <v>0</v>
      </c>
      <c r="G630" s="2">
        <v>21.2135</v>
      </c>
      <c r="H630" s="2">
        <v>-21.015000000000001</v>
      </c>
      <c r="I630" s="1">
        <v>0.85092638544251398</v>
      </c>
      <c r="J630" s="1">
        <v>0.84764267990074404</v>
      </c>
      <c r="K630" s="1">
        <v>0.70321939195694205</v>
      </c>
      <c r="L630" s="1">
        <v>0.49534967338631603</v>
      </c>
      <c r="P630" s="1">
        <f>I630-'Passo 2'!I630</f>
        <v>-6.8376068376096999E-4</v>
      </c>
      <c r="Q630" s="1">
        <f>J630-'Passo 2'!J630</f>
        <v>2.5916735594160301E-3</v>
      </c>
      <c r="R630" s="8">
        <f t="shared" si="37"/>
        <v>154.3154999999999</v>
      </c>
      <c r="S630" s="8">
        <f t="shared" si="36"/>
        <v>153.71999999999991</v>
      </c>
      <c r="T630" s="1">
        <f t="shared" si="38"/>
        <v>127.52883673139144</v>
      </c>
      <c r="U630" s="1">
        <f t="shared" si="39"/>
        <v>89.831663268608409</v>
      </c>
    </row>
    <row r="631" spans="1:21" x14ac:dyDescent="0.3">
      <c r="A631" t="s">
        <v>359</v>
      </c>
      <c r="B631" t="s">
        <v>470</v>
      </c>
      <c r="C631" t="s">
        <v>574</v>
      </c>
      <c r="D631" t="s">
        <v>575</v>
      </c>
      <c r="E631" s="2">
        <v>1385.96</v>
      </c>
      <c r="F631" s="2">
        <v>138.03700000000001</v>
      </c>
      <c r="G631" s="2">
        <v>203.15600000000001</v>
      </c>
      <c r="H631" s="2">
        <v>-202.350666666666</v>
      </c>
      <c r="I631" s="1">
        <v>0.88994595803630705</v>
      </c>
      <c r="J631" s="1">
        <v>0.88820276198447201</v>
      </c>
      <c r="K631" s="1">
        <v>0.74032462299214996</v>
      </c>
      <c r="L631" s="1">
        <v>0.58762243175690398</v>
      </c>
      <c r="P631" s="1">
        <f>I631-'Passo 2'!I631</f>
        <v>3.0861280267829083E-2</v>
      </c>
      <c r="Q631" s="1">
        <f>J631-'Passo 2'!J631</f>
        <v>2.5693742965165023E-2</v>
      </c>
      <c r="R631" s="8">
        <f t="shared" si="37"/>
        <v>1233.4295000000002</v>
      </c>
      <c r="S631" s="8">
        <f t="shared" si="36"/>
        <v>1231.0134999999989</v>
      </c>
      <c r="T631" s="1">
        <f t="shared" si="38"/>
        <v>1026.0603144822003</v>
      </c>
      <c r="U631" s="1">
        <f t="shared" si="39"/>
        <v>814.42118551779868</v>
      </c>
    </row>
    <row r="632" spans="1:21" x14ac:dyDescent="0.3">
      <c r="A632" t="s">
        <v>359</v>
      </c>
      <c r="B632" t="s">
        <v>471</v>
      </c>
      <c r="C632" t="s">
        <v>576</v>
      </c>
      <c r="D632" t="s">
        <v>577</v>
      </c>
      <c r="E632" s="2">
        <v>591.51300000000003</v>
      </c>
      <c r="F632" s="2">
        <v>0</v>
      </c>
      <c r="G632" s="2">
        <v>95.206833333333293</v>
      </c>
      <c r="H632" s="2">
        <v>-98.254833333333295</v>
      </c>
      <c r="I632" s="1">
        <v>0.98286428193463105</v>
      </c>
      <c r="J632" s="1">
        <v>0.99832294471972705</v>
      </c>
      <c r="K632" s="1">
        <v>0.679293841840514</v>
      </c>
      <c r="L632" s="1">
        <v>0.80189338481384398</v>
      </c>
      <c r="P632" s="1">
        <f>I632-'Passo 2'!I632</f>
        <v>0.1006926305930721</v>
      </c>
      <c r="Q632" s="1">
        <f>J632-'Passo 2'!J632</f>
        <v>1.5953157411587093E-2</v>
      </c>
      <c r="R632" s="8">
        <f t="shared" si="37"/>
        <v>581.3769999999995</v>
      </c>
      <c r="S632" s="8">
        <f t="shared" si="36"/>
        <v>590.52099999999996</v>
      </c>
      <c r="T632" s="1">
        <f t="shared" si="38"/>
        <v>401.81113826860798</v>
      </c>
      <c r="U632" s="1">
        <f t="shared" si="39"/>
        <v>474.33036173139129</v>
      </c>
    </row>
    <row r="633" spans="1:21" x14ac:dyDescent="0.3">
      <c r="A633" t="s">
        <v>359</v>
      </c>
      <c r="B633" t="s">
        <v>472</v>
      </c>
      <c r="C633" t="s">
        <v>574</v>
      </c>
      <c r="D633" t="s">
        <v>575</v>
      </c>
      <c r="E633" s="2">
        <v>196.00299999999999</v>
      </c>
      <c r="F633" s="2">
        <v>0</v>
      </c>
      <c r="G633" s="2">
        <v>27.530666666666601</v>
      </c>
      <c r="H633" s="2">
        <v>-30.395499999999998</v>
      </c>
      <c r="I633" s="1">
        <v>0.92138130538818297</v>
      </c>
      <c r="J633" s="1">
        <v>0.965230124028713</v>
      </c>
      <c r="K633" s="1">
        <v>0.68370513680302103</v>
      </c>
      <c r="L633" s="1">
        <v>0.70290629261387505</v>
      </c>
      <c r="P633" s="1">
        <f>I633-'Passo 2'!I633</f>
        <v>3.2116855354259455E-3</v>
      </c>
      <c r="Q633" s="1">
        <f>J633-'Passo 2'!J633</f>
        <v>-5.3596118426759709E-3</v>
      </c>
      <c r="R633" s="8">
        <f t="shared" si="37"/>
        <v>180.59350000000001</v>
      </c>
      <c r="S633" s="8">
        <f t="shared" si="36"/>
        <v>189.18799999999982</v>
      </c>
      <c r="T633" s="1">
        <f t="shared" si="38"/>
        <v>134.00825792880252</v>
      </c>
      <c r="U633" s="1">
        <f t="shared" si="39"/>
        <v>137.77174207119734</v>
      </c>
    </row>
    <row r="634" spans="1:21" x14ac:dyDescent="0.3">
      <c r="A634" t="s">
        <v>359</v>
      </c>
      <c r="B634" t="s">
        <v>473</v>
      </c>
      <c r="C634" t="s">
        <v>574</v>
      </c>
      <c r="D634" t="s">
        <v>575</v>
      </c>
      <c r="E634" s="2">
        <v>441.32100000000003</v>
      </c>
      <c r="F634" s="2">
        <v>69.507000000000005</v>
      </c>
      <c r="G634" s="2">
        <v>59.208999999999897</v>
      </c>
      <c r="H634" s="2">
        <v>-58.513833333333302</v>
      </c>
      <c r="I634" s="1">
        <v>0.82374054259824403</v>
      </c>
      <c r="J634" s="1">
        <v>0.81901495736663299</v>
      </c>
      <c r="K634" s="1">
        <v>0.60501406178386596</v>
      </c>
      <c r="L634" s="1">
        <v>0.61649024007351105</v>
      </c>
      <c r="P634" s="1">
        <f>I634-'Passo 2'!I634</f>
        <v>4.5216520401250015E-2</v>
      </c>
      <c r="Q634" s="1">
        <f>J634-'Passo 2'!J634</f>
        <v>3.3050772566907027E-2</v>
      </c>
      <c r="R634" s="8">
        <f t="shared" si="37"/>
        <v>363.53399999999965</v>
      </c>
      <c r="S634" s="8">
        <f t="shared" si="36"/>
        <v>361.44849999999985</v>
      </c>
      <c r="T634" s="1">
        <f t="shared" si="38"/>
        <v>267.00541076051752</v>
      </c>
      <c r="U634" s="1">
        <f t="shared" si="39"/>
        <v>272.070089239482</v>
      </c>
    </row>
    <row r="635" spans="1:21" x14ac:dyDescent="0.3">
      <c r="A635" t="s">
        <v>359</v>
      </c>
      <c r="B635" t="s">
        <v>474</v>
      </c>
      <c r="C635" t="s">
        <v>576</v>
      </c>
      <c r="D635" t="s">
        <v>14</v>
      </c>
      <c r="E635" s="2">
        <v>0</v>
      </c>
      <c r="F635" s="2">
        <v>0</v>
      </c>
      <c r="G635" s="2">
        <v>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P635" s="1">
        <f>I635-'Passo 2'!I635</f>
        <v>0</v>
      </c>
      <c r="Q635" s="1">
        <f>J635-'Passo 2'!J635</f>
        <v>0</v>
      </c>
      <c r="R635" s="8">
        <f t="shared" si="37"/>
        <v>0</v>
      </c>
      <c r="S635" s="8">
        <f t="shared" si="36"/>
        <v>0</v>
      </c>
      <c r="T635" s="1">
        <f t="shared" si="38"/>
        <v>0</v>
      </c>
      <c r="U635" s="1">
        <f t="shared" si="39"/>
        <v>0</v>
      </c>
    </row>
    <row r="636" spans="1:21" x14ac:dyDescent="0.3">
      <c r="A636" t="s">
        <v>359</v>
      </c>
      <c r="B636" t="s">
        <v>475</v>
      </c>
      <c r="C636" t="s">
        <v>574</v>
      </c>
      <c r="D636" t="s">
        <v>575</v>
      </c>
      <c r="E636" s="2">
        <v>403.46899999999999</v>
      </c>
      <c r="F636" s="2">
        <v>1.2999999999999999E-2</v>
      </c>
      <c r="G636" s="2">
        <v>53.477166666666598</v>
      </c>
      <c r="H636" s="2">
        <v>-53.635666666666602</v>
      </c>
      <c r="I636" s="1">
        <v>0.89761419092916594</v>
      </c>
      <c r="J636" s="1">
        <v>0.89879272013463196</v>
      </c>
      <c r="K636" s="1">
        <v>0.687061069970198</v>
      </c>
      <c r="L636" s="1">
        <v>0.60936195137716698</v>
      </c>
      <c r="P636" s="1">
        <f>I636-'Passo 2'!I636</f>
        <v>6.52838260188493E-3</v>
      </c>
      <c r="Q636" s="1">
        <f>J636-'Passo 2'!J636</f>
        <v>2.8787837479459233E-3</v>
      </c>
      <c r="R636" s="8">
        <f t="shared" si="37"/>
        <v>362.15949999999964</v>
      </c>
      <c r="S636" s="8">
        <f t="shared" si="36"/>
        <v>362.63499999999982</v>
      </c>
      <c r="T636" s="1">
        <f t="shared" si="38"/>
        <v>277.20784283980583</v>
      </c>
      <c r="U636" s="1">
        <f t="shared" si="39"/>
        <v>245.85865716019418</v>
      </c>
    </row>
    <row r="637" spans="1:21" x14ac:dyDescent="0.3">
      <c r="A637" t="s">
        <v>359</v>
      </c>
      <c r="B637" t="s">
        <v>764</v>
      </c>
      <c r="C637" t="s">
        <v>574</v>
      </c>
      <c r="D637" t="s">
        <v>575</v>
      </c>
      <c r="E637" s="2">
        <v>0</v>
      </c>
      <c r="F637" s="2">
        <v>0</v>
      </c>
      <c r="G637" s="2">
        <v>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P637" s="1">
        <f>I637-'Passo 2'!I637</f>
        <v>0</v>
      </c>
      <c r="Q637" s="1">
        <f>J637-'Passo 2'!J637</f>
        <v>0</v>
      </c>
      <c r="R637" s="8">
        <f t="shared" si="37"/>
        <v>0</v>
      </c>
      <c r="S637" s="8">
        <f t="shared" si="36"/>
        <v>0</v>
      </c>
      <c r="T637" s="1">
        <f t="shared" si="38"/>
        <v>0</v>
      </c>
      <c r="U637" s="1">
        <f t="shared" si="39"/>
        <v>0</v>
      </c>
    </row>
    <row r="638" spans="1:21" x14ac:dyDescent="0.3">
      <c r="A638" t="s">
        <v>359</v>
      </c>
      <c r="B638" t="s">
        <v>765</v>
      </c>
      <c r="C638" t="s">
        <v>574</v>
      </c>
      <c r="D638" t="s">
        <v>575</v>
      </c>
      <c r="E638" s="2">
        <v>374.04199999999997</v>
      </c>
      <c r="F638" s="2">
        <v>146.16</v>
      </c>
      <c r="G638" s="2">
        <v>22.535166666666601</v>
      </c>
      <c r="H638" s="2">
        <v>-18.768833333333301</v>
      </c>
      <c r="I638" s="1">
        <v>0.48536394308660502</v>
      </c>
      <c r="J638" s="1">
        <v>0.45515610546409202</v>
      </c>
      <c r="K638" s="1">
        <v>0.28912291666915402</v>
      </c>
      <c r="L638" s="1">
        <v>0.34677626042860399</v>
      </c>
      <c r="P638" s="1">
        <f>I638-'Passo 2'!I638</f>
        <v>6.1223071205901425E-4</v>
      </c>
      <c r="Q638" s="1">
        <f>J638-'Passo 2'!J638</f>
        <v>1.7885691981120444E-3</v>
      </c>
      <c r="R638" s="8">
        <f t="shared" si="37"/>
        <v>181.5464999999999</v>
      </c>
      <c r="S638" s="8">
        <f t="shared" si="36"/>
        <v>170.24749999999989</v>
      </c>
      <c r="T638" s="1">
        <f t="shared" si="38"/>
        <v>108.14411399676369</v>
      </c>
      <c r="U638" s="1">
        <f t="shared" si="39"/>
        <v>129.70888600323588</v>
      </c>
    </row>
    <row r="639" spans="1:21" x14ac:dyDescent="0.3">
      <c r="A639" t="s">
        <v>359</v>
      </c>
      <c r="B639" t="s">
        <v>476</v>
      </c>
      <c r="C639" t="s">
        <v>576</v>
      </c>
      <c r="D639" t="s">
        <v>577</v>
      </c>
      <c r="E639" s="2">
        <v>832.8</v>
      </c>
      <c r="F639" s="2">
        <v>0</v>
      </c>
      <c r="G639" s="2">
        <v>120.77166666666599</v>
      </c>
      <c r="H639" s="2">
        <v>-138.495</v>
      </c>
      <c r="I639" s="1">
        <v>0.93505643611911604</v>
      </c>
      <c r="J639" s="1">
        <v>0.99890129682997097</v>
      </c>
      <c r="K639" s="1">
        <v>0.82750095085173503</v>
      </c>
      <c r="L639" s="1">
        <v>0.60645678209735099</v>
      </c>
      <c r="P639" s="1">
        <f>I639-'Passo 2'!I639</f>
        <v>0.12911863592699402</v>
      </c>
      <c r="Q639" s="1">
        <f>J639-'Passo 2'!J639</f>
        <v>3.7487992315081931E-2</v>
      </c>
      <c r="R639" s="8">
        <f t="shared" si="37"/>
        <v>778.7149999999998</v>
      </c>
      <c r="S639" s="8">
        <f t="shared" si="36"/>
        <v>831.88499999999976</v>
      </c>
      <c r="T639" s="1">
        <f t="shared" si="38"/>
        <v>689.14279186932492</v>
      </c>
      <c r="U639" s="1">
        <f t="shared" si="39"/>
        <v>505.05720813067387</v>
      </c>
    </row>
    <row r="640" spans="1:21" x14ac:dyDescent="0.3">
      <c r="A640" t="s">
        <v>359</v>
      </c>
      <c r="B640" t="s">
        <v>477</v>
      </c>
      <c r="C640" t="s">
        <v>574</v>
      </c>
      <c r="D640" t="s">
        <v>575</v>
      </c>
      <c r="E640" s="2">
        <v>342.04300000000001</v>
      </c>
      <c r="F640" s="2">
        <v>0.12</v>
      </c>
      <c r="G640" s="2">
        <v>48.098833333333303</v>
      </c>
      <c r="H640" s="2">
        <v>-48.089833333333303</v>
      </c>
      <c r="I640" s="1">
        <v>0.92169113240148104</v>
      </c>
      <c r="J640" s="1">
        <v>0.921612194957943</v>
      </c>
      <c r="K640" s="1">
        <v>0.75906125012462</v>
      </c>
      <c r="L640" s="1">
        <v>0.58441749377600005</v>
      </c>
      <c r="P640" s="1">
        <f>I640-'Passo 2'!I640</f>
        <v>1.660902284215704E-2</v>
      </c>
      <c r="Q640" s="1">
        <f>J640-'Passo 2'!J640</f>
        <v>7.4245051060829459E-3</v>
      </c>
      <c r="R640" s="8">
        <f t="shared" si="37"/>
        <v>315.25799999999981</v>
      </c>
      <c r="S640" s="8">
        <f t="shared" si="36"/>
        <v>315.23099999999971</v>
      </c>
      <c r="T640" s="1">
        <f t="shared" si="38"/>
        <v>259.63158717637538</v>
      </c>
      <c r="U640" s="1">
        <f t="shared" si="39"/>
        <v>199.8959128236244</v>
      </c>
    </row>
    <row r="641" spans="1:21" x14ac:dyDescent="0.3">
      <c r="A641" t="s">
        <v>359</v>
      </c>
      <c r="B641" t="s">
        <v>478</v>
      </c>
      <c r="C641" t="s">
        <v>576</v>
      </c>
      <c r="D641" t="s">
        <v>577</v>
      </c>
      <c r="E641" s="2">
        <v>390.65</v>
      </c>
      <c r="F641" s="2">
        <v>0</v>
      </c>
      <c r="G641" s="2">
        <v>65.099999999999994</v>
      </c>
      <c r="H641" s="2">
        <v>-65.108333333333306</v>
      </c>
      <c r="I641" s="1">
        <v>0.99993600409573702</v>
      </c>
      <c r="J641" s="1">
        <v>1</v>
      </c>
      <c r="K641" s="1">
        <v>0.97613015503577305</v>
      </c>
      <c r="L641" s="1">
        <v>0.52380584905996397</v>
      </c>
      <c r="P641" s="1">
        <f>I641-'Passo 2'!I641</f>
        <v>2.5010879303724032E-2</v>
      </c>
      <c r="Q641" s="1">
        <f>J641-'Passo 2'!J641</f>
        <v>0</v>
      </c>
      <c r="R641" s="8">
        <f t="shared" si="37"/>
        <v>390.62499999999966</v>
      </c>
      <c r="S641" s="8">
        <f t="shared" si="36"/>
        <v>390.65</v>
      </c>
      <c r="T641" s="1">
        <f t="shared" si="38"/>
        <v>381.3252450647247</v>
      </c>
      <c r="U641" s="1">
        <f t="shared" si="39"/>
        <v>204.62475493527492</v>
      </c>
    </row>
    <row r="642" spans="1:21" x14ac:dyDescent="0.3">
      <c r="A642" t="s">
        <v>359</v>
      </c>
      <c r="B642" t="s">
        <v>479</v>
      </c>
      <c r="C642" t="s">
        <v>574</v>
      </c>
      <c r="D642" t="s">
        <v>575</v>
      </c>
      <c r="E642" s="2">
        <v>511.19600000000003</v>
      </c>
      <c r="F642" s="2">
        <v>0</v>
      </c>
      <c r="G642" s="2">
        <v>84.745500000000007</v>
      </c>
      <c r="H642" s="2">
        <v>-83.674999999999997</v>
      </c>
      <c r="I642" s="1">
        <v>0.99733663800186201</v>
      </c>
      <c r="J642" s="1">
        <v>0.991054311849075</v>
      </c>
      <c r="K642" s="1">
        <v>0.77973749558779504</v>
      </c>
      <c r="L642" s="1">
        <v>0.70865345426314197</v>
      </c>
      <c r="P642" s="1">
        <f>I642-'Passo 2'!I642</f>
        <v>3.0242803151824038E-2</v>
      </c>
      <c r="Q642" s="1">
        <f>J642-'Passo 2'!J642</f>
        <v>5.5023904725388983E-2</v>
      </c>
      <c r="R642" s="8">
        <f t="shared" si="37"/>
        <v>509.83449999999988</v>
      </c>
      <c r="S642" s="8">
        <f t="shared" ref="S642:S705" si="40">J642*E642</f>
        <v>506.62299999999976</v>
      </c>
      <c r="T642" s="1">
        <f t="shared" si="38"/>
        <v>398.59868879449851</v>
      </c>
      <c r="U642" s="1">
        <f t="shared" si="39"/>
        <v>362.26081120550111</v>
      </c>
    </row>
    <row r="643" spans="1:21" x14ac:dyDescent="0.3">
      <c r="A643" t="s">
        <v>359</v>
      </c>
      <c r="B643" t="s">
        <v>766</v>
      </c>
      <c r="C643" t="s">
        <v>576</v>
      </c>
      <c r="D643" t="s">
        <v>14</v>
      </c>
      <c r="E643" s="2">
        <v>50.976999999999997</v>
      </c>
      <c r="F643" s="2">
        <v>0</v>
      </c>
      <c r="G643" s="2">
        <v>8.4584999999999901</v>
      </c>
      <c r="H643" s="2">
        <v>-8.4548333333333296</v>
      </c>
      <c r="I643" s="1">
        <v>0.997783314043588</v>
      </c>
      <c r="J643" s="1">
        <v>0.99756753045491098</v>
      </c>
      <c r="K643" s="1">
        <v>0.83674296083016697</v>
      </c>
      <c r="L643" s="1">
        <v>0.65860788366833101</v>
      </c>
      <c r="P643" s="1">
        <f>I643-'Passo 2'!I643</f>
        <v>3.9233379759495701E-4</v>
      </c>
      <c r="Q643" s="1">
        <f>J643-'Passo 2'!J643</f>
        <v>3.3348372795594106E-4</v>
      </c>
      <c r="R643" s="8">
        <f t="shared" ref="R643:R706" si="41">I643*E643</f>
        <v>50.863999999999983</v>
      </c>
      <c r="S643" s="8">
        <f t="shared" si="40"/>
        <v>50.852999999999994</v>
      </c>
      <c r="T643" s="1">
        <f t="shared" ref="T643:T706" si="42">K643*E643</f>
        <v>42.654645914239417</v>
      </c>
      <c r="U643" s="1">
        <f t="shared" ref="U643:U706" si="43">L643*E643</f>
        <v>33.573854085760509</v>
      </c>
    </row>
    <row r="644" spans="1:21" x14ac:dyDescent="0.3">
      <c r="A644" t="s">
        <v>359</v>
      </c>
      <c r="B644" t="s">
        <v>480</v>
      </c>
      <c r="C644" t="s">
        <v>574</v>
      </c>
      <c r="D644" t="s">
        <v>575</v>
      </c>
      <c r="E644" s="2">
        <v>42.000999999999998</v>
      </c>
      <c r="F644" s="2">
        <v>0</v>
      </c>
      <c r="G644" s="2">
        <v>6.7691666666666599</v>
      </c>
      <c r="H644" s="2">
        <v>-6.6219999999999999</v>
      </c>
      <c r="I644" s="1">
        <v>0.98350039284778901</v>
      </c>
      <c r="J644" s="1">
        <v>0.97298873836337196</v>
      </c>
      <c r="K644" s="1">
        <v>0.75381025948757996</v>
      </c>
      <c r="L644" s="1">
        <v>0.70267887172358101</v>
      </c>
      <c r="P644" s="1">
        <f>I644-'Passo 2'!I644</f>
        <v>5.2379705245110264E-3</v>
      </c>
      <c r="Q644" s="1">
        <f>J644-'Passo 2'!J644</f>
        <v>0.13887764577033901</v>
      </c>
      <c r="R644" s="8">
        <f t="shared" si="41"/>
        <v>41.307999999999986</v>
      </c>
      <c r="S644" s="8">
        <f t="shared" si="40"/>
        <v>40.866499999999981</v>
      </c>
      <c r="T644" s="1">
        <f t="shared" si="42"/>
        <v>31.660784708737843</v>
      </c>
      <c r="U644" s="1">
        <f t="shared" si="43"/>
        <v>29.513215291262124</v>
      </c>
    </row>
    <row r="645" spans="1:21" x14ac:dyDescent="0.3">
      <c r="A645" t="s">
        <v>359</v>
      </c>
      <c r="B645" t="s">
        <v>481</v>
      </c>
      <c r="C645" t="s">
        <v>576</v>
      </c>
      <c r="D645" t="s">
        <v>14</v>
      </c>
      <c r="E645" s="2">
        <v>0</v>
      </c>
      <c r="F645" s="2">
        <v>0</v>
      </c>
      <c r="G645" s="2">
        <v>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P645" s="1">
        <f>I645-'Passo 2'!I645</f>
        <v>0</v>
      </c>
      <c r="Q645" s="1">
        <f>J645-'Passo 2'!J645</f>
        <v>0</v>
      </c>
      <c r="R645" s="8">
        <f t="shared" si="41"/>
        <v>0</v>
      </c>
      <c r="S645" s="8">
        <f t="shared" si="40"/>
        <v>0</v>
      </c>
      <c r="T645" s="1">
        <f t="shared" si="42"/>
        <v>0</v>
      </c>
      <c r="U645" s="1">
        <f t="shared" si="43"/>
        <v>0</v>
      </c>
    </row>
    <row r="646" spans="1:21" x14ac:dyDescent="0.3">
      <c r="A646" t="s">
        <v>359</v>
      </c>
      <c r="B646" t="s">
        <v>482</v>
      </c>
      <c r="C646" t="s">
        <v>34</v>
      </c>
      <c r="D646" t="s">
        <v>35</v>
      </c>
      <c r="E646" s="2">
        <v>358.98599999999999</v>
      </c>
      <c r="F646" s="2">
        <v>0</v>
      </c>
      <c r="G646" s="2">
        <v>59.5936666666666</v>
      </c>
      <c r="H646" s="2">
        <v>-59.7023333333333</v>
      </c>
      <c r="I646" s="1">
        <v>0.99801663574624</v>
      </c>
      <c r="J646" s="1">
        <v>0.99892474915456297</v>
      </c>
      <c r="K646" s="1">
        <v>0.897797706099977</v>
      </c>
      <c r="L646" s="1">
        <v>0.59914367880082597</v>
      </c>
      <c r="P646" s="1">
        <f>I646-'Passo 2'!I646</f>
        <v>0.12408422612580905</v>
      </c>
      <c r="Q646" s="1">
        <f>J646-'Passo 2'!J646</f>
        <v>0.14182307945156702</v>
      </c>
      <c r="R646" s="8">
        <f t="shared" si="41"/>
        <v>358.27399999999972</v>
      </c>
      <c r="S646" s="8">
        <f t="shared" si="40"/>
        <v>358.59999999999991</v>
      </c>
      <c r="T646" s="1">
        <f t="shared" si="42"/>
        <v>322.29680732200632</v>
      </c>
      <c r="U646" s="1">
        <f t="shared" si="43"/>
        <v>215.08419267799331</v>
      </c>
    </row>
    <row r="647" spans="1:21" x14ac:dyDescent="0.3">
      <c r="A647" t="s">
        <v>359</v>
      </c>
      <c r="B647" t="s">
        <v>483</v>
      </c>
      <c r="C647" t="s">
        <v>574</v>
      </c>
      <c r="D647" t="s">
        <v>575</v>
      </c>
      <c r="E647" s="2">
        <v>55.575000000000003</v>
      </c>
      <c r="F647" s="2">
        <v>0</v>
      </c>
      <c r="G647" s="2">
        <v>6.0958333333333297</v>
      </c>
      <c r="H647" s="2">
        <v>-6.0958333333333297</v>
      </c>
      <c r="I647" s="1">
        <v>0.829059829059829</v>
      </c>
      <c r="J647" s="1">
        <v>0.829059829059829</v>
      </c>
      <c r="K647" s="1">
        <v>0.72588742144133001</v>
      </c>
      <c r="L647" s="1">
        <v>0.432232236678327</v>
      </c>
      <c r="P647" s="1">
        <f>I647-'Passo 2'!I647</f>
        <v>0</v>
      </c>
      <c r="Q647" s="1">
        <f>J647-'Passo 2'!J647</f>
        <v>0</v>
      </c>
      <c r="R647" s="8">
        <f t="shared" si="41"/>
        <v>46.074999999999996</v>
      </c>
      <c r="S647" s="8">
        <f t="shared" si="40"/>
        <v>46.074999999999996</v>
      </c>
      <c r="T647" s="1">
        <f t="shared" si="42"/>
        <v>40.34119344660192</v>
      </c>
      <c r="U647" s="1">
        <f t="shared" si="43"/>
        <v>24.021306553398023</v>
      </c>
    </row>
    <row r="648" spans="1:21" x14ac:dyDescent="0.3">
      <c r="A648" t="s">
        <v>359</v>
      </c>
      <c r="B648" t="s">
        <v>484</v>
      </c>
      <c r="C648" t="s">
        <v>34</v>
      </c>
      <c r="D648" t="s">
        <v>35</v>
      </c>
      <c r="E648" s="2">
        <v>65.403999999999996</v>
      </c>
      <c r="F648" s="2">
        <v>0</v>
      </c>
      <c r="G648" s="2">
        <v>10.822333333333299</v>
      </c>
      <c r="H648" s="2">
        <v>-10.7566666666666</v>
      </c>
      <c r="I648" s="1">
        <v>0.99640694758730297</v>
      </c>
      <c r="J648" s="1">
        <v>0.99339489939453196</v>
      </c>
      <c r="K648" s="1">
        <v>0.92632702462305905</v>
      </c>
      <c r="L648" s="1">
        <v>0.563474822358776</v>
      </c>
      <c r="P648" s="1">
        <f>I648-'Passo 2'!I648</f>
        <v>0.25150602409638501</v>
      </c>
      <c r="Q648" s="1">
        <f>J648-'Passo 2'!J648</f>
        <v>0.22529203106843598</v>
      </c>
      <c r="R648" s="8">
        <f t="shared" si="41"/>
        <v>65.168999999999954</v>
      </c>
      <c r="S648" s="8">
        <f t="shared" si="40"/>
        <v>64.971999999999966</v>
      </c>
      <c r="T648" s="1">
        <f t="shared" si="42"/>
        <v>60.585492718446552</v>
      </c>
      <c r="U648" s="1">
        <f t="shared" si="43"/>
        <v>36.853507281553384</v>
      </c>
    </row>
    <row r="649" spans="1:21" x14ac:dyDescent="0.3">
      <c r="A649" t="s">
        <v>359</v>
      </c>
      <c r="B649" t="s">
        <v>485</v>
      </c>
      <c r="C649" t="s">
        <v>574</v>
      </c>
      <c r="D649" t="s">
        <v>575</v>
      </c>
      <c r="E649" s="2">
        <v>1446.45</v>
      </c>
      <c r="F649" s="2">
        <v>3.6999999999999998E-2</v>
      </c>
      <c r="G649" s="2">
        <v>228.900166666666</v>
      </c>
      <c r="H649" s="2">
        <v>-229.07499999999999</v>
      </c>
      <c r="I649" s="1">
        <v>0.97473607798402995</v>
      </c>
      <c r="J649" s="1">
        <v>0.97509868989595205</v>
      </c>
      <c r="K649" s="1">
        <v>0.95352080705121001</v>
      </c>
      <c r="L649" s="1">
        <v>0.49632675076274702</v>
      </c>
      <c r="P649" s="1">
        <f>I649-'Passo 2'!I649</f>
        <v>-3.6261191192210607E-4</v>
      </c>
      <c r="Q649" s="1">
        <f>J649-'Passo 2'!J649</f>
        <v>0</v>
      </c>
      <c r="R649" s="8">
        <f t="shared" si="41"/>
        <v>1409.9070000000002</v>
      </c>
      <c r="S649" s="8">
        <f t="shared" si="40"/>
        <v>1410.4314999999999</v>
      </c>
      <c r="T649" s="1">
        <f t="shared" si="42"/>
        <v>1379.2201713592228</v>
      </c>
      <c r="U649" s="1">
        <f t="shared" si="43"/>
        <v>717.91182864077541</v>
      </c>
    </row>
    <row r="650" spans="1:21" x14ac:dyDescent="0.3">
      <c r="A650" t="s">
        <v>359</v>
      </c>
      <c r="B650" t="s">
        <v>486</v>
      </c>
      <c r="C650" t="s">
        <v>34</v>
      </c>
      <c r="D650" t="s">
        <v>35</v>
      </c>
      <c r="E650" s="2">
        <v>744.702</v>
      </c>
      <c r="F650" s="2">
        <v>0</v>
      </c>
      <c r="G650" s="2">
        <v>121.502166666666</v>
      </c>
      <c r="H650" s="2">
        <v>-119.903666666666</v>
      </c>
      <c r="I650" s="1">
        <v>0.98946625630117802</v>
      </c>
      <c r="J650" s="1">
        <v>0.98302676775408104</v>
      </c>
      <c r="K650" s="1">
        <v>0.902427997164852</v>
      </c>
      <c r="L650" s="1">
        <v>0.57006502689040595</v>
      </c>
      <c r="P650" s="1">
        <f>I650-'Passo 2'!I650</f>
        <v>0.25395258774650797</v>
      </c>
      <c r="Q650" s="1">
        <f>J650-'Passo 2'!J650</f>
        <v>0.150346044458052</v>
      </c>
      <c r="R650" s="8">
        <f t="shared" si="41"/>
        <v>736.85749999999985</v>
      </c>
      <c r="S650" s="8">
        <f t="shared" si="40"/>
        <v>732.06199999999967</v>
      </c>
      <c r="T650" s="1">
        <f t="shared" si="42"/>
        <v>672.03993434465963</v>
      </c>
      <c r="U650" s="1">
        <f t="shared" si="43"/>
        <v>424.52856565533909</v>
      </c>
    </row>
    <row r="651" spans="1:21" x14ac:dyDescent="0.3">
      <c r="A651" t="s">
        <v>359</v>
      </c>
      <c r="B651" t="s">
        <v>487</v>
      </c>
      <c r="C651" t="s">
        <v>574</v>
      </c>
      <c r="D651" t="s">
        <v>575</v>
      </c>
      <c r="E651" s="2">
        <v>207</v>
      </c>
      <c r="F651" s="2">
        <v>0</v>
      </c>
      <c r="G651" s="2">
        <v>33.25</v>
      </c>
      <c r="H651" s="2">
        <v>-33.841500000000003</v>
      </c>
      <c r="I651" s="1">
        <v>0.98188405797101397</v>
      </c>
      <c r="J651" s="1">
        <v>0.99045652173913001</v>
      </c>
      <c r="K651" s="1">
        <v>0.71898469838031298</v>
      </c>
      <c r="L651" s="1">
        <v>0.753355881329831</v>
      </c>
      <c r="P651" s="1">
        <f>I651-'Passo 2'!I651</f>
        <v>0</v>
      </c>
      <c r="Q651" s="1">
        <f>J651-'Passo 2'!J651</f>
        <v>6.157004830917967E-3</v>
      </c>
      <c r="R651" s="8">
        <f t="shared" si="41"/>
        <v>203.24999999999989</v>
      </c>
      <c r="S651" s="8">
        <f t="shared" si="40"/>
        <v>205.0244999999999</v>
      </c>
      <c r="T651" s="1">
        <f t="shared" si="42"/>
        <v>148.8298325647248</v>
      </c>
      <c r="U651" s="1">
        <f t="shared" si="43"/>
        <v>155.94466743527502</v>
      </c>
    </row>
    <row r="652" spans="1:21" x14ac:dyDescent="0.3">
      <c r="A652" t="s">
        <v>359</v>
      </c>
      <c r="B652" t="s">
        <v>488</v>
      </c>
      <c r="C652" t="s">
        <v>576</v>
      </c>
      <c r="D652" t="s">
        <v>591</v>
      </c>
      <c r="E652" s="2">
        <v>262</v>
      </c>
      <c r="F652" s="2">
        <v>0</v>
      </c>
      <c r="G652" s="2">
        <v>22.6666666666666</v>
      </c>
      <c r="H652" s="2">
        <v>-22.5</v>
      </c>
      <c r="I652" s="1">
        <v>0.75954198473282397</v>
      </c>
      <c r="J652" s="1">
        <v>0.757633587786259</v>
      </c>
      <c r="K652" s="1">
        <v>0.48439154963067199</v>
      </c>
      <c r="L652" s="1">
        <v>0.53278402288841098</v>
      </c>
      <c r="P652" s="1">
        <f>I652-'Passo 2'!I652</f>
        <v>0</v>
      </c>
      <c r="Q652" s="1">
        <f>J652-'Passo 2'!J652</f>
        <v>0</v>
      </c>
      <c r="R652" s="8">
        <f t="shared" si="41"/>
        <v>198.99999999999989</v>
      </c>
      <c r="S652" s="8">
        <f t="shared" si="40"/>
        <v>198.49999999999986</v>
      </c>
      <c r="T652" s="1">
        <f t="shared" si="42"/>
        <v>126.91058600323606</v>
      </c>
      <c r="U652" s="1">
        <f t="shared" si="43"/>
        <v>139.58941399676368</v>
      </c>
    </row>
    <row r="653" spans="1:21" x14ac:dyDescent="0.3">
      <c r="A653" t="s">
        <v>359</v>
      </c>
      <c r="B653" t="s">
        <v>489</v>
      </c>
      <c r="C653" t="s">
        <v>34</v>
      </c>
      <c r="D653" t="s">
        <v>35</v>
      </c>
      <c r="E653" s="2">
        <v>1516.1849999999999</v>
      </c>
      <c r="F653" s="2">
        <v>0</v>
      </c>
      <c r="G653" s="2">
        <v>252.44583333333301</v>
      </c>
      <c r="H653" s="2">
        <v>-247.88533333333299</v>
      </c>
      <c r="I653" s="1">
        <v>0.99950203965874795</v>
      </c>
      <c r="J653" s="1">
        <v>0.99047840468016701</v>
      </c>
      <c r="K653" s="1">
        <v>0.90781113257743895</v>
      </c>
      <c r="L653" s="1">
        <v>0.58216931176147602</v>
      </c>
      <c r="P653" s="1">
        <f>I653-'Passo 2'!I653</f>
        <v>0.26228593476389694</v>
      </c>
      <c r="Q653" s="1">
        <f>J653-'Passo 2'!J653</f>
        <v>0.224524711694153</v>
      </c>
      <c r="R653" s="8">
        <f t="shared" si="41"/>
        <v>1515.4299999999987</v>
      </c>
      <c r="S653" s="8">
        <f t="shared" si="40"/>
        <v>1501.748499999999</v>
      </c>
      <c r="T653" s="1">
        <f t="shared" si="42"/>
        <v>1376.4096220469241</v>
      </c>
      <c r="U653" s="1">
        <f t="shared" si="43"/>
        <v>882.67637795307348</v>
      </c>
    </row>
    <row r="654" spans="1:21" x14ac:dyDescent="0.3">
      <c r="A654" t="s">
        <v>359</v>
      </c>
      <c r="B654" t="s">
        <v>490</v>
      </c>
      <c r="C654" t="s">
        <v>574</v>
      </c>
      <c r="D654" t="s">
        <v>575</v>
      </c>
      <c r="E654" s="2">
        <v>141</v>
      </c>
      <c r="F654" s="2">
        <v>8.0180000000000007</v>
      </c>
      <c r="G654" s="2">
        <v>10.112499999999899</v>
      </c>
      <c r="H654" s="2">
        <v>-10.112499999999899</v>
      </c>
      <c r="I654" s="1">
        <v>0.68672695035460896</v>
      </c>
      <c r="J654" s="1">
        <v>0.68672695035460896</v>
      </c>
      <c r="K654" s="1">
        <v>0.45561102131102299</v>
      </c>
      <c r="L654" s="1">
        <v>0.446275503511671</v>
      </c>
      <c r="P654" s="1">
        <f>I654-'Passo 2'!I654</f>
        <v>0</v>
      </c>
      <c r="Q654" s="1">
        <f>J654-'Passo 2'!J654</f>
        <v>0</v>
      </c>
      <c r="R654" s="8">
        <f t="shared" si="41"/>
        <v>96.828499999999863</v>
      </c>
      <c r="S654" s="8">
        <f t="shared" si="40"/>
        <v>96.828499999999863</v>
      </c>
      <c r="T654" s="1">
        <f t="shared" si="42"/>
        <v>64.241154004854238</v>
      </c>
      <c r="U654" s="1">
        <f t="shared" si="43"/>
        <v>62.92484599514561</v>
      </c>
    </row>
    <row r="655" spans="1:21" x14ac:dyDescent="0.3">
      <c r="A655" t="s">
        <v>359</v>
      </c>
      <c r="B655" t="s">
        <v>491</v>
      </c>
      <c r="C655" t="s">
        <v>576</v>
      </c>
      <c r="D655" t="s">
        <v>591</v>
      </c>
      <c r="E655" s="2">
        <v>1644.9880000000001</v>
      </c>
      <c r="F655" s="2">
        <v>0</v>
      </c>
      <c r="G655" s="2">
        <v>273.83133333333302</v>
      </c>
      <c r="H655" s="2">
        <v>-273.83133333333302</v>
      </c>
      <c r="I655" s="1">
        <v>0.99939209282985597</v>
      </c>
      <c r="J655" s="1">
        <v>0.99939209282985597</v>
      </c>
      <c r="K655" s="1">
        <v>0.98552514005315595</v>
      </c>
      <c r="L655" s="1">
        <v>0.513259045606557</v>
      </c>
      <c r="P655" s="1">
        <f>I655-'Passo 2'!I655</f>
        <v>0</v>
      </c>
      <c r="Q655" s="1">
        <f>J655-'Passo 2'!J655</f>
        <v>0</v>
      </c>
      <c r="R655" s="8">
        <f t="shared" si="41"/>
        <v>1643.9879999999991</v>
      </c>
      <c r="S655" s="8">
        <f t="shared" si="40"/>
        <v>1643.9879999999991</v>
      </c>
      <c r="T655" s="1">
        <f t="shared" si="42"/>
        <v>1621.177029085761</v>
      </c>
      <c r="U655" s="1">
        <f t="shared" si="43"/>
        <v>844.30497091423899</v>
      </c>
    </row>
    <row r="656" spans="1:21" x14ac:dyDescent="0.3">
      <c r="A656" t="s">
        <v>359</v>
      </c>
      <c r="B656" t="s">
        <v>492</v>
      </c>
      <c r="C656" t="s">
        <v>574</v>
      </c>
      <c r="D656" t="s">
        <v>575</v>
      </c>
      <c r="E656" s="2">
        <v>46</v>
      </c>
      <c r="F656" s="2">
        <v>0</v>
      </c>
      <c r="G656" s="2">
        <v>3.4971666666666601</v>
      </c>
      <c r="H656" s="2">
        <v>-2.3333333333333299</v>
      </c>
      <c r="I656" s="1">
        <v>0.72807608695652104</v>
      </c>
      <c r="J656" s="1">
        <v>0.65217391304347805</v>
      </c>
      <c r="K656" s="1">
        <v>0.52579470856198096</v>
      </c>
      <c r="L656" s="1">
        <v>0.35445529143801802</v>
      </c>
      <c r="P656" s="1">
        <f>I656-'Passo 2'!I656</f>
        <v>0</v>
      </c>
      <c r="Q656" s="1">
        <f>J656-'Passo 2'!J656</f>
        <v>5.5543478260871026E-3</v>
      </c>
      <c r="R656" s="8">
        <f t="shared" si="41"/>
        <v>33.491499999999967</v>
      </c>
      <c r="S656" s="8">
        <f t="shared" si="40"/>
        <v>29.999999999999989</v>
      </c>
      <c r="T656" s="1">
        <f t="shared" si="42"/>
        <v>24.186556593851122</v>
      </c>
      <c r="U656" s="1">
        <f t="shared" si="43"/>
        <v>16.30494340614883</v>
      </c>
    </row>
    <row r="657" spans="1:21" x14ac:dyDescent="0.3">
      <c r="A657" t="s">
        <v>359</v>
      </c>
      <c r="B657" t="s">
        <v>493</v>
      </c>
      <c r="C657" t="s">
        <v>34</v>
      </c>
      <c r="D657" t="s">
        <v>35</v>
      </c>
      <c r="E657" s="2">
        <v>74</v>
      </c>
      <c r="F657" s="2">
        <v>0</v>
      </c>
      <c r="G657" s="2">
        <v>12.3333333333333</v>
      </c>
      <c r="H657" s="2">
        <v>-12.251333333333299</v>
      </c>
      <c r="I657" s="1">
        <v>1</v>
      </c>
      <c r="J657" s="1">
        <v>0.99667567567567505</v>
      </c>
      <c r="K657" s="1">
        <v>0.86925610622758598</v>
      </c>
      <c r="L657" s="1">
        <v>0.62741956944808797</v>
      </c>
      <c r="P657" s="1">
        <f>I657-'Passo 2'!I657</f>
        <v>0.11486486486486502</v>
      </c>
      <c r="Q657" s="1">
        <f>J657-'Passo 2'!J657</f>
        <v>0.16559459459459402</v>
      </c>
      <c r="R657" s="8">
        <f t="shared" si="41"/>
        <v>74</v>
      </c>
      <c r="S657" s="8">
        <f t="shared" si="40"/>
        <v>73.753999999999948</v>
      </c>
      <c r="T657" s="1">
        <f t="shared" si="42"/>
        <v>64.324951860841367</v>
      </c>
      <c r="U657" s="1">
        <f t="shared" si="43"/>
        <v>46.42904813915851</v>
      </c>
    </row>
    <row r="658" spans="1:21" x14ac:dyDescent="0.3">
      <c r="A658" t="s">
        <v>359</v>
      </c>
      <c r="B658" t="s">
        <v>494</v>
      </c>
      <c r="C658" t="s">
        <v>34</v>
      </c>
      <c r="D658" t="s">
        <v>35</v>
      </c>
      <c r="E658" s="2">
        <v>3547.491</v>
      </c>
      <c r="F658" s="2">
        <v>0</v>
      </c>
      <c r="G658" s="2">
        <v>585.08299999999997</v>
      </c>
      <c r="H658" s="2">
        <v>-582.58333333333303</v>
      </c>
      <c r="I658" s="1">
        <v>0.99478603328380499</v>
      </c>
      <c r="J658" s="1">
        <v>0.99267214490466604</v>
      </c>
      <c r="K658" s="1">
        <v>0.89185620251017605</v>
      </c>
      <c r="L658" s="1">
        <v>0.59560197567829498</v>
      </c>
      <c r="P658" s="1">
        <f>I658-'Passo 2'!I658</f>
        <v>0.25497640445035696</v>
      </c>
      <c r="Q658" s="1">
        <f>J658-'Passo 2'!J658</f>
        <v>0.16281070198627701</v>
      </c>
      <c r="R658" s="8">
        <f t="shared" si="41"/>
        <v>3528.9944999999984</v>
      </c>
      <c r="S658" s="8">
        <f t="shared" si="40"/>
        <v>3521.4954999999986</v>
      </c>
      <c r="T658" s="1">
        <f t="shared" si="42"/>
        <v>3163.8518516990271</v>
      </c>
      <c r="U658" s="1">
        <f t="shared" si="43"/>
        <v>2112.8926483009704</v>
      </c>
    </row>
    <row r="659" spans="1:21" x14ac:dyDescent="0.3">
      <c r="A659" t="s">
        <v>359</v>
      </c>
      <c r="B659" t="s">
        <v>495</v>
      </c>
      <c r="C659" t="s">
        <v>574</v>
      </c>
      <c r="D659" t="s">
        <v>575</v>
      </c>
      <c r="E659" s="2">
        <v>681</v>
      </c>
      <c r="F659" s="2">
        <v>6.1189999999999998</v>
      </c>
      <c r="G659" s="2">
        <v>40.139666666666599</v>
      </c>
      <c r="H659" s="2">
        <v>-41.222999999999999</v>
      </c>
      <c r="I659" s="1">
        <v>0.67233406754772396</v>
      </c>
      <c r="J659" s="1">
        <v>0.67710646108663697</v>
      </c>
      <c r="K659" s="1">
        <v>0.41110359972959998</v>
      </c>
      <c r="L659" s="1">
        <v>0.44282958676085499</v>
      </c>
      <c r="P659" s="1">
        <f>I659-'Passo 2'!I659</f>
        <v>7.3421439060294968E-4</v>
      </c>
      <c r="Q659" s="1">
        <f>J659-'Passo 2'!J659</f>
        <v>4.0381791483109497E-3</v>
      </c>
      <c r="R659" s="8">
        <f t="shared" si="41"/>
        <v>457.85950000000003</v>
      </c>
      <c r="S659" s="8">
        <f t="shared" si="40"/>
        <v>461.1094999999998</v>
      </c>
      <c r="T659" s="1">
        <f t="shared" si="42"/>
        <v>279.96155141585757</v>
      </c>
      <c r="U659" s="1">
        <f t="shared" si="43"/>
        <v>301.56694858414227</v>
      </c>
    </row>
    <row r="660" spans="1:21" x14ac:dyDescent="0.3">
      <c r="A660" t="s">
        <v>359</v>
      </c>
      <c r="B660" t="s">
        <v>496</v>
      </c>
      <c r="C660" t="s">
        <v>576</v>
      </c>
      <c r="D660" t="s">
        <v>591</v>
      </c>
      <c r="E660" s="2">
        <v>422</v>
      </c>
      <c r="F660" s="2">
        <v>0</v>
      </c>
      <c r="G660" s="2">
        <v>62.944666666666599</v>
      </c>
      <c r="H660" s="2">
        <v>-65.111333333333306</v>
      </c>
      <c r="I660" s="1">
        <v>0.947473933649289</v>
      </c>
      <c r="J660" s="1">
        <v>0.96287677725118404</v>
      </c>
      <c r="K660" s="1">
        <v>0.67751206297259103</v>
      </c>
      <c r="L660" s="1">
        <v>0.732838647927882</v>
      </c>
      <c r="P660" s="1">
        <f>I660-'Passo 2'!I660</f>
        <v>-1.1848341232220116E-3</v>
      </c>
      <c r="Q660" s="1">
        <f>J660-'Passo 2'!J660</f>
        <v>-5.924170616113944E-3</v>
      </c>
      <c r="R660" s="8">
        <f t="shared" si="41"/>
        <v>399.83399999999995</v>
      </c>
      <c r="S660" s="8">
        <f t="shared" si="40"/>
        <v>406.33399999999966</v>
      </c>
      <c r="T660" s="1">
        <f t="shared" si="42"/>
        <v>285.91009057443341</v>
      </c>
      <c r="U660" s="1">
        <f t="shared" si="43"/>
        <v>309.2579094255662</v>
      </c>
    </row>
    <row r="661" spans="1:21" x14ac:dyDescent="0.3">
      <c r="A661" t="s">
        <v>359</v>
      </c>
      <c r="B661" t="s">
        <v>497</v>
      </c>
      <c r="C661" t="s">
        <v>574</v>
      </c>
      <c r="D661" t="s">
        <v>575</v>
      </c>
      <c r="E661" s="2">
        <v>35.438000000000002</v>
      </c>
      <c r="F661" s="2">
        <v>8.0000000000000002E-3</v>
      </c>
      <c r="G661" s="2">
        <v>2.4063333333333299</v>
      </c>
      <c r="H661" s="2">
        <v>-2.4063333333333299</v>
      </c>
      <c r="I661" s="1">
        <v>0.703595011005135</v>
      </c>
      <c r="J661" s="1">
        <v>0.703595011005135</v>
      </c>
      <c r="K661" s="1">
        <v>0.42771611037353902</v>
      </c>
      <c r="L661" s="1">
        <v>0.47958678482370598</v>
      </c>
      <c r="P661" s="1">
        <f>I661-'Passo 2'!I661</f>
        <v>0</v>
      </c>
      <c r="Q661" s="1">
        <f>J661-'Passo 2'!J661</f>
        <v>0</v>
      </c>
      <c r="R661" s="8">
        <f t="shared" si="41"/>
        <v>24.933999999999976</v>
      </c>
      <c r="S661" s="8">
        <f t="shared" si="40"/>
        <v>24.933999999999976</v>
      </c>
      <c r="T661" s="1">
        <f t="shared" si="42"/>
        <v>15.157403519417477</v>
      </c>
      <c r="U661" s="1">
        <f t="shared" si="43"/>
        <v>16.995596480582492</v>
      </c>
    </row>
    <row r="662" spans="1:21" x14ac:dyDescent="0.3">
      <c r="A662" t="s">
        <v>359</v>
      </c>
      <c r="B662" t="s">
        <v>498</v>
      </c>
      <c r="C662" t="s">
        <v>34</v>
      </c>
      <c r="D662" t="s">
        <v>35</v>
      </c>
      <c r="E662" s="2">
        <v>1139.8869999999999</v>
      </c>
      <c r="F662" s="2">
        <v>0</v>
      </c>
      <c r="G662" s="2">
        <v>189.98116666666601</v>
      </c>
      <c r="H662" s="2">
        <v>-180.69516666666601</v>
      </c>
      <c r="I662" s="1">
        <v>1</v>
      </c>
      <c r="J662" s="1">
        <v>0.97556073540622801</v>
      </c>
      <c r="K662" s="1">
        <v>0.90511857154562703</v>
      </c>
      <c r="L662" s="1">
        <v>0.57044216386060098</v>
      </c>
      <c r="P662" s="1">
        <f>I662-'Passo 2'!I662</f>
        <v>0.25266934354019299</v>
      </c>
      <c r="Q662" s="1">
        <f>J662-'Passo 2'!J662</f>
        <v>0.24930102720708203</v>
      </c>
      <c r="R662" s="8">
        <f t="shared" si="41"/>
        <v>1139.8869999999999</v>
      </c>
      <c r="S662" s="8">
        <f t="shared" si="40"/>
        <v>1112.0289999999989</v>
      </c>
      <c r="T662" s="1">
        <f t="shared" si="42"/>
        <v>1031.7328931634302</v>
      </c>
      <c r="U662" s="1">
        <f t="shared" si="43"/>
        <v>650.23960683656878</v>
      </c>
    </row>
    <row r="663" spans="1:21" x14ac:dyDescent="0.3">
      <c r="A663" t="s">
        <v>359</v>
      </c>
      <c r="B663" t="s">
        <v>499</v>
      </c>
      <c r="C663" t="s">
        <v>574</v>
      </c>
      <c r="D663" t="s">
        <v>575</v>
      </c>
      <c r="E663" s="2">
        <v>202</v>
      </c>
      <c r="F663" s="2">
        <v>4.0860000000000003</v>
      </c>
      <c r="G663" s="2">
        <v>15.652333333333299</v>
      </c>
      <c r="H663" s="2">
        <v>-17.318999999999999</v>
      </c>
      <c r="I663" s="1">
        <v>0.72234653465346499</v>
      </c>
      <c r="J663" s="1">
        <v>0.74709900990098999</v>
      </c>
      <c r="K663" s="1">
        <v>0.39391800982889502</v>
      </c>
      <c r="L663" s="1">
        <v>0.58564139611169796</v>
      </c>
      <c r="P663" s="1">
        <f>I663-'Passo 2'!I663</f>
        <v>-4.9504950495050659E-3</v>
      </c>
      <c r="Q663" s="1">
        <f>J663-'Passo 2'!J663</f>
        <v>0</v>
      </c>
      <c r="R663" s="8">
        <f t="shared" si="41"/>
        <v>145.91399999999993</v>
      </c>
      <c r="S663" s="8">
        <f t="shared" si="40"/>
        <v>150.91399999999999</v>
      </c>
      <c r="T663" s="1">
        <f t="shared" si="42"/>
        <v>79.571437985436788</v>
      </c>
      <c r="U663" s="1">
        <f t="shared" si="43"/>
        <v>118.29956201456299</v>
      </c>
    </row>
    <row r="664" spans="1:21" x14ac:dyDescent="0.3">
      <c r="A664" t="s">
        <v>359</v>
      </c>
      <c r="B664" t="s">
        <v>500</v>
      </c>
      <c r="C664" t="s">
        <v>576</v>
      </c>
      <c r="D664" t="s">
        <v>591</v>
      </c>
      <c r="E664" s="2">
        <v>41</v>
      </c>
      <c r="F664" s="2">
        <v>0</v>
      </c>
      <c r="G664" s="2">
        <v>3.8303333333333298</v>
      </c>
      <c r="H664" s="2">
        <v>-3.6636666666666602</v>
      </c>
      <c r="I664" s="1">
        <v>0.78026829268292597</v>
      </c>
      <c r="J664" s="1">
        <v>0.768073170731707</v>
      </c>
      <c r="K664" s="1">
        <v>0.64980937228668401</v>
      </c>
      <c r="L664" s="1">
        <v>0.39853209112795002</v>
      </c>
      <c r="P664" s="1">
        <f>I664-'Passo 2'!I664</f>
        <v>0</v>
      </c>
      <c r="Q664" s="1">
        <f>J664-'Passo 2'!J664</f>
        <v>0</v>
      </c>
      <c r="R664" s="8">
        <f t="shared" si="41"/>
        <v>31.990999999999964</v>
      </c>
      <c r="S664" s="8">
        <f t="shared" si="40"/>
        <v>31.490999999999985</v>
      </c>
      <c r="T664" s="1">
        <f t="shared" si="42"/>
        <v>26.642184263754043</v>
      </c>
      <c r="U664" s="1">
        <f t="shared" si="43"/>
        <v>16.339815736245949</v>
      </c>
    </row>
    <row r="665" spans="1:21" x14ac:dyDescent="0.3">
      <c r="A665" t="s">
        <v>359</v>
      </c>
      <c r="B665" t="s">
        <v>501</v>
      </c>
      <c r="C665" t="s">
        <v>574</v>
      </c>
      <c r="D665" t="s">
        <v>575</v>
      </c>
      <c r="E665" s="2">
        <v>49</v>
      </c>
      <c r="F665" s="2">
        <v>0</v>
      </c>
      <c r="G665" s="2">
        <v>2.3314999999999899</v>
      </c>
      <c r="H665" s="2">
        <v>-7.6666666666666599</v>
      </c>
      <c r="I665" s="1">
        <v>0.64274489795918299</v>
      </c>
      <c r="J665" s="1">
        <v>0.96938775510204001</v>
      </c>
      <c r="K665" s="1">
        <v>0.62811606812627896</v>
      </c>
      <c r="L665" s="1">
        <v>0.48401658493494398</v>
      </c>
      <c r="P665" s="1">
        <f>I665-'Passo 2'!I665</f>
        <v>1.0204081632652962E-2</v>
      </c>
      <c r="Q665" s="1">
        <f>J665-'Passo 2'!J665</f>
        <v>5.1020408163260367E-3</v>
      </c>
      <c r="R665" s="8">
        <f t="shared" si="41"/>
        <v>31.494499999999967</v>
      </c>
      <c r="S665" s="8">
        <f t="shared" si="40"/>
        <v>47.499999999999957</v>
      </c>
      <c r="T665" s="1">
        <f t="shared" si="42"/>
        <v>30.777687338187668</v>
      </c>
      <c r="U665" s="1">
        <f t="shared" si="43"/>
        <v>23.716812661812256</v>
      </c>
    </row>
    <row r="666" spans="1:21" x14ac:dyDescent="0.3">
      <c r="A666" t="s">
        <v>359</v>
      </c>
      <c r="B666" t="s">
        <v>502</v>
      </c>
      <c r="C666" t="s">
        <v>576</v>
      </c>
      <c r="D666" t="s">
        <v>591</v>
      </c>
      <c r="E666" s="2">
        <v>0</v>
      </c>
      <c r="F666" s="2">
        <v>0</v>
      </c>
      <c r="G666" s="2">
        <v>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P666" s="1">
        <f>I666-'Passo 2'!I666</f>
        <v>0</v>
      </c>
      <c r="Q666" s="1">
        <f>J666-'Passo 2'!J666</f>
        <v>0</v>
      </c>
      <c r="R666" s="8">
        <f t="shared" si="41"/>
        <v>0</v>
      </c>
      <c r="S666" s="8">
        <f t="shared" si="40"/>
        <v>0</v>
      </c>
      <c r="T666" s="1">
        <f t="shared" si="42"/>
        <v>0</v>
      </c>
      <c r="U666" s="1">
        <f t="shared" si="43"/>
        <v>0</v>
      </c>
    </row>
    <row r="667" spans="1:21" x14ac:dyDescent="0.3">
      <c r="A667" t="s">
        <v>359</v>
      </c>
      <c r="B667" t="s">
        <v>503</v>
      </c>
      <c r="C667" t="s">
        <v>574</v>
      </c>
      <c r="D667" t="s">
        <v>575</v>
      </c>
      <c r="E667" s="2">
        <v>22.288</v>
      </c>
      <c r="F667" s="2">
        <v>3.0000000000000001E-3</v>
      </c>
      <c r="G667" s="2">
        <v>3.048</v>
      </c>
      <c r="H667" s="2">
        <v>-3.048</v>
      </c>
      <c r="I667" s="1">
        <v>0.91019831299353904</v>
      </c>
      <c r="J667" s="1">
        <v>0.91019831299353904</v>
      </c>
      <c r="K667" s="1">
        <v>0.82138231574829701</v>
      </c>
      <c r="L667" s="1">
        <v>0.49908161102844301</v>
      </c>
      <c r="P667" s="1">
        <f>I667-'Passo 2'!I667</f>
        <v>0</v>
      </c>
      <c r="Q667" s="1">
        <f>J667-'Passo 2'!J667</f>
        <v>0</v>
      </c>
      <c r="R667" s="8">
        <f t="shared" si="41"/>
        <v>20.286499999999997</v>
      </c>
      <c r="S667" s="8">
        <f t="shared" si="40"/>
        <v>20.286499999999997</v>
      </c>
      <c r="T667" s="1">
        <f t="shared" si="42"/>
        <v>18.306969053398046</v>
      </c>
      <c r="U667" s="1">
        <f t="shared" si="43"/>
        <v>11.123530946601937</v>
      </c>
    </row>
    <row r="668" spans="1:21" x14ac:dyDescent="0.3">
      <c r="A668" t="s">
        <v>359</v>
      </c>
      <c r="B668" t="s">
        <v>504</v>
      </c>
      <c r="C668" t="s">
        <v>576</v>
      </c>
      <c r="D668" t="s">
        <v>591</v>
      </c>
      <c r="E668" s="2">
        <v>12.5</v>
      </c>
      <c r="F668" s="2">
        <v>0</v>
      </c>
      <c r="G668" s="2">
        <v>1.99833333333333</v>
      </c>
      <c r="H668" s="2">
        <v>-1.99833333333333</v>
      </c>
      <c r="I668" s="1">
        <v>0.97960000000000003</v>
      </c>
      <c r="J668" s="1">
        <v>0.97960000000000003</v>
      </c>
      <c r="K668" s="1">
        <v>0.70524092880258804</v>
      </c>
      <c r="L668" s="1">
        <v>0.75395907119741101</v>
      </c>
      <c r="P668" s="1">
        <f>I668-'Passo 2'!I668</f>
        <v>0</v>
      </c>
      <c r="Q668" s="1">
        <f>J668-'Passo 2'!J668</f>
        <v>0</v>
      </c>
      <c r="R668" s="8">
        <f t="shared" si="41"/>
        <v>12.245000000000001</v>
      </c>
      <c r="S668" s="8">
        <f t="shared" si="40"/>
        <v>12.245000000000001</v>
      </c>
      <c r="T668" s="1">
        <f t="shared" si="42"/>
        <v>8.8155116100323507</v>
      </c>
      <c r="U668" s="1">
        <f t="shared" si="43"/>
        <v>9.424488389967637</v>
      </c>
    </row>
    <row r="669" spans="1:21" x14ac:dyDescent="0.3">
      <c r="A669" t="s">
        <v>359</v>
      </c>
      <c r="B669" t="s">
        <v>505</v>
      </c>
      <c r="C669" t="s">
        <v>34</v>
      </c>
      <c r="D669" t="s">
        <v>35</v>
      </c>
      <c r="E669" s="2">
        <v>6.7380000000000004</v>
      </c>
      <c r="F669" s="2">
        <v>0</v>
      </c>
      <c r="G669" s="2">
        <v>1.123</v>
      </c>
      <c r="H669" s="2">
        <v>-1.123</v>
      </c>
      <c r="I669" s="1">
        <v>0.999999999999999</v>
      </c>
      <c r="J669" s="1">
        <v>0.999999999999999</v>
      </c>
      <c r="K669" s="1">
        <v>0.99600015273467102</v>
      </c>
      <c r="L669" s="1">
        <v>0.50399984726532798</v>
      </c>
      <c r="P669" s="1">
        <f>I669-'Passo 2'!I669</f>
        <v>-9.9920072216264089E-16</v>
      </c>
      <c r="Q669" s="1">
        <f>J669-'Passo 2'!J669</f>
        <v>-9.9920072216264089E-16</v>
      </c>
      <c r="R669" s="8">
        <f t="shared" si="41"/>
        <v>6.7379999999999933</v>
      </c>
      <c r="S669" s="8">
        <f t="shared" si="40"/>
        <v>6.7379999999999933</v>
      </c>
      <c r="T669" s="1">
        <f t="shared" si="42"/>
        <v>6.7110490291262135</v>
      </c>
      <c r="U669" s="1">
        <f t="shared" si="43"/>
        <v>3.3959509708737801</v>
      </c>
    </row>
    <row r="670" spans="1:21" x14ac:dyDescent="0.3">
      <c r="A670" t="s">
        <v>359</v>
      </c>
      <c r="B670" t="s">
        <v>506</v>
      </c>
      <c r="C670" t="s">
        <v>34</v>
      </c>
      <c r="D670" t="s">
        <v>35</v>
      </c>
      <c r="E670" s="2">
        <v>1821.4580000000001</v>
      </c>
      <c r="F670" s="2">
        <v>0</v>
      </c>
      <c r="G670" s="2">
        <v>296.55983333333302</v>
      </c>
      <c r="H670" s="2">
        <v>-286.73099999999999</v>
      </c>
      <c r="I670" s="1">
        <v>0.98844359847989904</v>
      </c>
      <c r="J670" s="1">
        <v>0.972255193367071</v>
      </c>
      <c r="K670" s="1">
        <v>0.89299064763584302</v>
      </c>
      <c r="L670" s="1">
        <v>0.56770814421112703</v>
      </c>
      <c r="P670" s="1">
        <f>I670-'Passo 2'!I670</f>
        <v>0.24226910529916201</v>
      </c>
      <c r="Q670" s="1">
        <f>J670-'Passo 2'!J670</f>
        <v>0.24596394756288598</v>
      </c>
      <c r="R670" s="8">
        <f t="shared" si="41"/>
        <v>1800.4085</v>
      </c>
      <c r="S670" s="8">
        <f t="shared" si="40"/>
        <v>1770.9219999999984</v>
      </c>
      <c r="T670" s="1">
        <f t="shared" si="42"/>
        <v>1626.5449590614874</v>
      </c>
      <c r="U670" s="1">
        <f t="shared" si="43"/>
        <v>1034.056540938511</v>
      </c>
    </row>
    <row r="671" spans="1:21" x14ac:dyDescent="0.3">
      <c r="A671" t="s">
        <v>359</v>
      </c>
      <c r="B671" t="s">
        <v>507</v>
      </c>
      <c r="C671" t="s">
        <v>574</v>
      </c>
      <c r="D671" t="s">
        <v>575</v>
      </c>
      <c r="E671" s="2">
        <v>630</v>
      </c>
      <c r="F671" s="2">
        <v>39.24</v>
      </c>
      <c r="G671" s="2">
        <v>42.626666666666601</v>
      </c>
      <c r="H671" s="2">
        <v>-48.126666666666601</v>
      </c>
      <c r="I671" s="1">
        <v>0.67184126984126902</v>
      </c>
      <c r="J671" s="1">
        <v>0.698031746031746</v>
      </c>
      <c r="K671" s="1">
        <v>0.34510221047156697</v>
      </c>
      <c r="L671" s="1">
        <v>0.55591366254430497</v>
      </c>
      <c r="P671" s="1">
        <f>I671-'Passo 2'!I671</f>
        <v>-7.9365079365101288E-4</v>
      </c>
      <c r="Q671" s="1">
        <f>J671-'Passo 2'!J671</f>
        <v>-3.9682539682495133E-4</v>
      </c>
      <c r="R671" s="8">
        <f t="shared" si="41"/>
        <v>423.25999999999948</v>
      </c>
      <c r="S671" s="8">
        <f t="shared" si="40"/>
        <v>439.76</v>
      </c>
      <c r="T671" s="1">
        <f t="shared" si="42"/>
        <v>217.41439259708719</v>
      </c>
      <c r="U671" s="1">
        <f t="shared" si="43"/>
        <v>350.22560740291215</v>
      </c>
    </row>
    <row r="672" spans="1:21" x14ac:dyDescent="0.3">
      <c r="A672" t="s">
        <v>359</v>
      </c>
      <c r="B672" t="s">
        <v>508</v>
      </c>
      <c r="C672" t="s">
        <v>576</v>
      </c>
      <c r="D672" t="s">
        <v>591</v>
      </c>
      <c r="E672" s="2">
        <v>90</v>
      </c>
      <c r="F672" s="2">
        <v>0.75</v>
      </c>
      <c r="G672" s="2">
        <v>9.1588333333333303</v>
      </c>
      <c r="H672" s="2">
        <v>-8.9921666666666606</v>
      </c>
      <c r="I672" s="1">
        <v>0.80112777777777699</v>
      </c>
      <c r="J672" s="1">
        <v>0.79557222222222201</v>
      </c>
      <c r="K672" s="1">
        <v>0.57998282407407398</v>
      </c>
      <c r="L672" s="1">
        <v>0.52088384259259202</v>
      </c>
      <c r="P672" s="1">
        <f>I672-'Passo 2'!I672</f>
        <v>-5.5555555555559799E-3</v>
      </c>
      <c r="Q672" s="1">
        <f>J672-'Passo 2'!J672</f>
        <v>-1.1111111111110961E-2</v>
      </c>
      <c r="R672" s="8">
        <f t="shared" si="41"/>
        <v>72.10149999999993</v>
      </c>
      <c r="S672" s="8">
        <f t="shared" si="40"/>
        <v>71.601499999999987</v>
      </c>
      <c r="T672" s="1">
        <f t="shared" si="42"/>
        <v>52.198454166666657</v>
      </c>
      <c r="U672" s="1">
        <f t="shared" si="43"/>
        <v>46.879545833333282</v>
      </c>
    </row>
    <row r="673" spans="1:21" x14ac:dyDescent="0.3">
      <c r="A673" t="s">
        <v>359</v>
      </c>
      <c r="B673" t="s">
        <v>509</v>
      </c>
      <c r="C673" t="s">
        <v>574</v>
      </c>
      <c r="D673" t="s">
        <v>575</v>
      </c>
      <c r="E673" s="2">
        <v>62</v>
      </c>
      <c r="F673" s="2">
        <v>2.1</v>
      </c>
      <c r="G673" s="2">
        <v>8.9833333333333307</v>
      </c>
      <c r="H673" s="2">
        <v>-9.2333333333333307</v>
      </c>
      <c r="I673" s="1">
        <v>0.91774193548386995</v>
      </c>
      <c r="J673" s="1">
        <v>0.929838709677419</v>
      </c>
      <c r="K673" s="1">
        <v>0.553173780535546</v>
      </c>
      <c r="L673" s="1">
        <v>0.81134234849671105</v>
      </c>
      <c r="P673" s="1">
        <f>I673-'Passo 2'!I673</f>
        <v>-9.9920072216264089E-16</v>
      </c>
      <c r="Q673" s="1">
        <f>J673-'Passo 2'!J673</f>
        <v>1.2096774193548043E-2</v>
      </c>
      <c r="R673" s="8">
        <f t="shared" si="41"/>
        <v>56.899999999999935</v>
      </c>
      <c r="S673" s="8">
        <f t="shared" si="40"/>
        <v>57.649999999999977</v>
      </c>
      <c r="T673" s="1">
        <f t="shared" si="42"/>
        <v>34.296774393203854</v>
      </c>
      <c r="U673" s="1">
        <f t="shared" si="43"/>
        <v>50.303225606796083</v>
      </c>
    </row>
    <row r="674" spans="1:21" x14ac:dyDescent="0.3">
      <c r="A674" t="s">
        <v>359</v>
      </c>
      <c r="B674" t="s">
        <v>510</v>
      </c>
      <c r="C674" t="s">
        <v>34</v>
      </c>
      <c r="D674" t="s">
        <v>35</v>
      </c>
      <c r="E674" s="2">
        <v>135.29400000000001</v>
      </c>
      <c r="F674" s="2">
        <v>0</v>
      </c>
      <c r="G674" s="2">
        <v>22.370833333333302</v>
      </c>
      <c r="H674" s="2">
        <v>-22.411999999999999</v>
      </c>
      <c r="I674" s="1">
        <v>0.996049344390734</v>
      </c>
      <c r="J674" s="1">
        <v>0.99696217127145303</v>
      </c>
      <c r="K674" s="1">
        <v>0.92790497290737695</v>
      </c>
      <c r="L674" s="1">
        <v>0.56510654275480898</v>
      </c>
      <c r="P674" s="1">
        <f>I674-'Passo 2'!I674</f>
        <v>0.26365914231229803</v>
      </c>
      <c r="Q674" s="1">
        <f>J674-'Passo 2'!J674</f>
        <v>0.26524088281815905</v>
      </c>
      <c r="R674" s="8">
        <f t="shared" si="41"/>
        <v>134.75949999999997</v>
      </c>
      <c r="S674" s="8">
        <f t="shared" si="40"/>
        <v>134.88299999999998</v>
      </c>
      <c r="T674" s="1">
        <f t="shared" si="42"/>
        <v>125.53997540453067</v>
      </c>
      <c r="U674" s="1">
        <f t="shared" si="43"/>
        <v>76.455524595469129</v>
      </c>
    </row>
    <row r="675" spans="1:21" x14ac:dyDescent="0.3">
      <c r="A675" t="s">
        <v>359</v>
      </c>
      <c r="B675" t="s">
        <v>511</v>
      </c>
      <c r="C675" t="s">
        <v>574</v>
      </c>
      <c r="D675" t="s">
        <v>575</v>
      </c>
      <c r="E675" s="2">
        <v>18</v>
      </c>
      <c r="F675" s="2">
        <v>0</v>
      </c>
      <c r="G675" s="2">
        <v>2.3333333333333299</v>
      </c>
      <c r="H675" s="2">
        <v>-1.5</v>
      </c>
      <c r="I675" s="1">
        <v>0.88888888888888795</v>
      </c>
      <c r="J675" s="1">
        <v>0.75</v>
      </c>
      <c r="K675" s="1">
        <v>0.63730967277957495</v>
      </c>
      <c r="L675" s="1">
        <v>0.501579216109313</v>
      </c>
      <c r="P675" s="1">
        <f>I675-'Passo 2'!I675</f>
        <v>0</v>
      </c>
      <c r="Q675" s="1">
        <f>J675-'Passo 2'!J675</f>
        <v>0</v>
      </c>
      <c r="R675" s="8">
        <f t="shared" si="41"/>
        <v>15.999999999999982</v>
      </c>
      <c r="S675" s="8">
        <f t="shared" si="40"/>
        <v>13.5</v>
      </c>
      <c r="T675" s="1">
        <f t="shared" si="42"/>
        <v>11.47157411003235</v>
      </c>
      <c r="U675" s="1">
        <f t="shared" si="43"/>
        <v>9.0284258899676342</v>
      </c>
    </row>
    <row r="676" spans="1:21" x14ac:dyDescent="0.3">
      <c r="A676" t="s">
        <v>359</v>
      </c>
      <c r="B676" t="s">
        <v>512</v>
      </c>
      <c r="C676" t="s">
        <v>574</v>
      </c>
      <c r="D676" t="s">
        <v>575</v>
      </c>
      <c r="E676" s="2">
        <v>29</v>
      </c>
      <c r="F676" s="2">
        <v>6.0000000000000001E-3</v>
      </c>
      <c r="G676" s="2">
        <v>3.3686666666666598</v>
      </c>
      <c r="H676" s="2">
        <v>-3.3686666666666598</v>
      </c>
      <c r="I676" s="1">
        <v>0.84837931034482705</v>
      </c>
      <c r="J676" s="1">
        <v>0.84837931034482705</v>
      </c>
      <c r="K676" s="1">
        <v>0.56485420154000598</v>
      </c>
      <c r="L676" s="1">
        <v>0.63200786742550996</v>
      </c>
      <c r="P676" s="1">
        <f>I676-'Passo 2'!I676</f>
        <v>0</v>
      </c>
      <c r="Q676" s="1">
        <f>J676-'Passo 2'!J676</f>
        <v>0</v>
      </c>
      <c r="R676" s="8">
        <f t="shared" si="41"/>
        <v>24.602999999999984</v>
      </c>
      <c r="S676" s="8">
        <f t="shared" si="40"/>
        <v>24.602999999999984</v>
      </c>
      <c r="T676" s="1">
        <f t="shared" si="42"/>
        <v>16.380771844660174</v>
      </c>
      <c r="U676" s="1">
        <f t="shared" si="43"/>
        <v>18.32822815533979</v>
      </c>
    </row>
    <row r="677" spans="1:21" x14ac:dyDescent="0.3">
      <c r="A677" t="s">
        <v>359</v>
      </c>
      <c r="B677" t="s">
        <v>513</v>
      </c>
      <c r="C677" t="s">
        <v>580</v>
      </c>
      <c r="D677" t="s">
        <v>581</v>
      </c>
      <c r="E677" s="2">
        <v>22</v>
      </c>
      <c r="F677" s="2">
        <v>6.0000000000000001E-3</v>
      </c>
      <c r="G677" s="2">
        <v>2.0816666666666599</v>
      </c>
      <c r="H677" s="2">
        <v>-2.1666666666666599</v>
      </c>
      <c r="I677" s="1">
        <v>0.78372727272727205</v>
      </c>
      <c r="J677" s="1">
        <v>0.79531818181818104</v>
      </c>
      <c r="K677" s="1">
        <v>0.64611202559576297</v>
      </c>
      <c r="L677" s="1">
        <v>0.43306979258605399</v>
      </c>
      <c r="P677" s="1">
        <f>I677-'Passo 2'!I677</f>
        <v>2.272727272727304E-2</v>
      </c>
      <c r="Q677" s="1">
        <f>J677-'Passo 2'!J677</f>
        <v>2.2931818181817998E-2</v>
      </c>
      <c r="R677" s="8">
        <f t="shared" si="41"/>
        <v>17.241999999999987</v>
      </c>
      <c r="S677" s="8">
        <f t="shared" si="40"/>
        <v>17.496999999999982</v>
      </c>
      <c r="T677" s="1">
        <f t="shared" si="42"/>
        <v>14.214464563106786</v>
      </c>
      <c r="U677" s="1">
        <f t="shared" si="43"/>
        <v>9.5275354368931886</v>
      </c>
    </row>
    <row r="678" spans="1:21" x14ac:dyDescent="0.3">
      <c r="A678" t="s">
        <v>359</v>
      </c>
      <c r="B678" t="s">
        <v>514</v>
      </c>
      <c r="C678" t="s">
        <v>34</v>
      </c>
      <c r="D678" t="s">
        <v>35</v>
      </c>
      <c r="E678" s="2">
        <v>1486.059</v>
      </c>
      <c r="F678" s="2">
        <v>0</v>
      </c>
      <c r="G678" s="2">
        <v>247.6765</v>
      </c>
      <c r="H678" s="2">
        <v>-207.89216666666599</v>
      </c>
      <c r="I678" s="1">
        <v>1</v>
      </c>
      <c r="J678" s="1">
        <v>0.91968488465128195</v>
      </c>
      <c r="K678" s="1">
        <v>0.930489043732318</v>
      </c>
      <c r="L678" s="1">
        <v>0.48919584091896301</v>
      </c>
      <c r="P678" s="1">
        <f>I678-'Passo 2'!I678</f>
        <v>0.17331344179470698</v>
      </c>
      <c r="Q678" s="1">
        <f>J678-'Passo 2'!J678</f>
        <v>0.1515330145034619</v>
      </c>
      <c r="R678" s="8">
        <f t="shared" si="41"/>
        <v>1486.059</v>
      </c>
      <c r="S678" s="8">
        <f t="shared" si="40"/>
        <v>1366.7059999999994</v>
      </c>
      <c r="T678" s="1">
        <f t="shared" si="42"/>
        <v>1382.7616178398048</v>
      </c>
      <c r="U678" s="1">
        <f t="shared" si="43"/>
        <v>726.97388216019328</v>
      </c>
    </row>
    <row r="679" spans="1:21" x14ac:dyDescent="0.3">
      <c r="A679" t="s">
        <v>359</v>
      </c>
      <c r="B679" t="s">
        <v>515</v>
      </c>
      <c r="C679" t="s">
        <v>574</v>
      </c>
      <c r="D679" t="s">
        <v>575</v>
      </c>
      <c r="E679" s="2">
        <v>246</v>
      </c>
      <c r="F679" s="2">
        <v>6.9000000000000006E-2</v>
      </c>
      <c r="G679" s="2">
        <v>15.342000000000001</v>
      </c>
      <c r="H679" s="2">
        <v>-15.600166666666601</v>
      </c>
      <c r="I679" s="1">
        <v>0.68695731707316998</v>
      </c>
      <c r="J679" s="1">
        <v>0.69010569105691</v>
      </c>
      <c r="K679" s="1">
        <v>0.39147695572526098</v>
      </c>
      <c r="L679" s="1">
        <v>0.485726296307259</v>
      </c>
      <c r="P679" s="1">
        <f>I679-'Passo 2'!I679</f>
        <v>1.0162601626010348E-3</v>
      </c>
      <c r="Q679" s="1">
        <f>J679-'Passo 2'!J679</f>
        <v>3.148373983740016E-3</v>
      </c>
      <c r="R679" s="8">
        <f t="shared" si="41"/>
        <v>168.9914999999998</v>
      </c>
      <c r="S679" s="8">
        <f t="shared" si="40"/>
        <v>169.76599999999985</v>
      </c>
      <c r="T679" s="1">
        <f t="shared" si="42"/>
        <v>96.303331108414199</v>
      </c>
      <c r="U679" s="1">
        <f t="shared" si="43"/>
        <v>119.48866889158572</v>
      </c>
    </row>
    <row r="680" spans="1:21" x14ac:dyDescent="0.3">
      <c r="A680" t="s">
        <v>359</v>
      </c>
      <c r="B680" t="s">
        <v>516</v>
      </c>
      <c r="C680" t="s">
        <v>576</v>
      </c>
      <c r="D680" t="s">
        <v>591</v>
      </c>
      <c r="E680" s="2">
        <v>23</v>
      </c>
      <c r="F680" s="2">
        <v>0</v>
      </c>
      <c r="G680" s="2">
        <v>1.5</v>
      </c>
      <c r="H680" s="2">
        <v>-1.5</v>
      </c>
      <c r="I680" s="1">
        <v>0.69565217391304301</v>
      </c>
      <c r="J680" s="1">
        <v>0.69565217391304301</v>
      </c>
      <c r="K680" s="1">
        <v>0.51027978049809997</v>
      </c>
      <c r="L680" s="1">
        <v>0.38102456732798601</v>
      </c>
      <c r="P680" s="1">
        <f>I680-'Passo 2'!I680</f>
        <v>0</v>
      </c>
      <c r="Q680" s="1">
        <f>J680-'Passo 2'!J680</f>
        <v>0</v>
      </c>
      <c r="R680" s="8">
        <f t="shared" si="41"/>
        <v>15.999999999999989</v>
      </c>
      <c r="S680" s="8">
        <f t="shared" si="40"/>
        <v>15.999999999999989</v>
      </c>
      <c r="T680" s="1">
        <f t="shared" si="42"/>
        <v>11.7364349514563</v>
      </c>
      <c r="U680" s="1">
        <f t="shared" si="43"/>
        <v>8.7635650485436773</v>
      </c>
    </row>
    <row r="681" spans="1:21" x14ac:dyDescent="0.3">
      <c r="A681" t="s">
        <v>359</v>
      </c>
      <c r="B681" t="s">
        <v>517</v>
      </c>
      <c r="C681" t="s">
        <v>574</v>
      </c>
      <c r="D681" t="s">
        <v>575</v>
      </c>
      <c r="E681" s="2">
        <v>3</v>
      </c>
      <c r="F681" s="2">
        <v>1E-3</v>
      </c>
      <c r="G681" s="2">
        <v>0.16666666666666599</v>
      </c>
      <c r="H681" s="2">
        <v>-0.16666666666666599</v>
      </c>
      <c r="I681" s="1">
        <v>0.66649999999999998</v>
      </c>
      <c r="J681" s="1">
        <v>0.66649999999999998</v>
      </c>
      <c r="K681" s="1">
        <v>0.43937709007551201</v>
      </c>
      <c r="L681" s="1">
        <v>0.39378957659115399</v>
      </c>
      <c r="P681" s="1">
        <f>I681-'Passo 2'!I681</f>
        <v>0</v>
      </c>
      <c r="Q681" s="1">
        <f>J681-'Passo 2'!J681</f>
        <v>0</v>
      </c>
      <c r="R681" s="8">
        <f t="shared" si="41"/>
        <v>1.9994999999999998</v>
      </c>
      <c r="S681" s="8">
        <f t="shared" si="40"/>
        <v>1.9994999999999998</v>
      </c>
      <c r="T681" s="1">
        <f t="shared" si="42"/>
        <v>1.318131270226536</v>
      </c>
      <c r="U681" s="1">
        <f t="shared" si="43"/>
        <v>1.1813687297734621</v>
      </c>
    </row>
    <row r="682" spans="1:21" x14ac:dyDescent="0.3">
      <c r="A682" t="s">
        <v>359</v>
      </c>
      <c r="B682" t="s">
        <v>518</v>
      </c>
      <c r="C682" t="s">
        <v>34</v>
      </c>
      <c r="D682" t="s">
        <v>35</v>
      </c>
      <c r="E682" s="2">
        <v>326.20400000000001</v>
      </c>
      <c r="F682" s="2">
        <v>0</v>
      </c>
      <c r="G682" s="2">
        <v>54.115499999999997</v>
      </c>
      <c r="H682" s="2">
        <v>-51.596333333333298</v>
      </c>
      <c r="I682" s="1">
        <v>0.99768396463562603</v>
      </c>
      <c r="J682" s="1">
        <v>0.97451594707606204</v>
      </c>
      <c r="K682" s="1">
        <v>0.91542655889702895</v>
      </c>
      <c r="L682" s="1">
        <v>0.55677335281466001</v>
      </c>
      <c r="P682" s="1">
        <f>I682-'Passo 2'!I682</f>
        <v>0.24914317421000298</v>
      </c>
      <c r="Q682" s="1">
        <f>J682-'Passo 2'!J682</f>
        <v>0.22663425341197507</v>
      </c>
      <c r="R682" s="8">
        <f t="shared" si="41"/>
        <v>325.44849999999974</v>
      </c>
      <c r="S682" s="8">
        <f t="shared" si="40"/>
        <v>317.89099999999974</v>
      </c>
      <c r="T682" s="1">
        <f t="shared" si="42"/>
        <v>298.61580521844644</v>
      </c>
      <c r="U682" s="1">
        <f t="shared" si="43"/>
        <v>181.62169478155334</v>
      </c>
    </row>
    <row r="683" spans="1:21" x14ac:dyDescent="0.3">
      <c r="A683" t="s">
        <v>359</v>
      </c>
      <c r="B683" t="s">
        <v>519</v>
      </c>
      <c r="C683" t="s">
        <v>574</v>
      </c>
      <c r="D683" t="s">
        <v>575</v>
      </c>
      <c r="E683" s="2">
        <v>195.25</v>
      </c>
      <c r="F683" s="2">
        <v>1.018</v>
      </c>
      <c r="G683" s="2">
        <v>15.533499999999901</v>
      </c>
      <c r="H683" s="2">
        <v>-16.0416666666666</v>
      </c>
      <c r="I683" s="1">
        <v>0.73606402048655495</v>
      </c>
      <c r="J683" s="1">
        <v>0.74387195902688796</v>
      </c>
      <c r="K683" s="1">
        <v>0.51227254121966204</v>
      </c>
      <c r="L683" s="1">
        <v>0.47027035250632898</v>
      </c>
      <c r="P683" s="1">
        <f>I683-'Passo 2'!I683</f>
        <v>-7.8079385403330148E-3</v>
      </c>
      <c r="Q683" s="1">
        <f>J683-'Passo 2'!J683</f>
        <v>0</v>
      </c>
      <c r="R683" s="8">
        <f t="shared" si="41"/>
        <v>143.71649999999985</v>
      </c>
      <c r="S683" s="8">
        <f t="shared" si="40"/>
        <v>145.24099999999987</v>
      </c>
      <c r="T683" s="1">
        <f t="shared" si="42"/>
        <v>100.02121367313902</v>
      </c>
      <c r="U683" s="1">
        <f t="shared" si="43"/>
        <v>91.820286326860739</v>
      </c>
    </row>
    <row r="684" spans="1:21" x14ac:dyDescent="0.3">
      <c r="A684" t="s">
        <v>359</v>
      </c>
      <c r="B684" t="s">
        <v>520</v>
      </c>
      <c r="C684" t="s">
        <v>34</v>
      </c>
      <c r="D684" t="s">
        <v>35</v>
      </c>
      <c r="E684" s="2">
        <v>43.271000000000001</v>
      </c>
      <c r="F684" s="2">
        <v>0</v>
      </c>
      <c r="G684" s="2">
        <v>7.0458333333333298</v>
      </c>
      <c r="H684" s="2">
        <v>-6.8333333333333304</v>
      </c>
      <c r="I684" s="1">
        <v>0.98849113725127602</v>
      </c>
      <c r="J684" s="1">
        <v>0.97375840632294097</v>
      </c>
      <c r="K684" s="1">
        <v>0.95921537788599398</v>
      </c>
      <c r="L684" s="1">
        <v>0.50303416568822401</v>
      </c>
      <c r="P684" s="1">
        <f>I684-'Passo 2'!I684</f>
        <v>0.25146171800975203</v>
      </c>
      <c r="Q684" s="1">
        <f>J684-'Passo 2'!J684</f>
        <v>0.26307457650620503</v>
      </c>
      <c r="R684" s="8">
        <f t="shared" si="41"/>
        <v>42.772999999999968</v>
      </c>
      <c r="S684" s="8">
        <f t="shared" si="40"/>
        <v>42.135499999999979</v>
      </c>
      <c r="T684" s="1">
        <f t="shared" si="42"/>
        <v>41.50620861650485</v>
      </c>
      <c r="U684" s="1">
        <f t="shared" si="43"/>
        <v>21.766791383495143</v>
      </c>
    </row>
    <row r="685" spans="1:21" x14ac:dyDescent="0.3">
      <c r="A685" t="s">
        <v>359</v>
      </c>
      <c r="B685" t="s">
        <v>521</v>
      </c>
      <c r="C685" t="s">
        <v>574</v>
      </c>
      <c r="D685" t="s">
        <v>575</v>
      </c>
      <c r="E685" s="2">
        <v>3</v>
      </c>
      <c r="F685" s="2">
        <v>0</v>
      </c>
      <c r="G685" s="2">
        <v>0.33333333333333298</v>
      </c>
      <c r="H685" s="2">
        <v>-0.33333333333333298</v>
      </c>
      <c r="I685" s="1">
        <v>0.83333333333333304</v>
      </c>
      <c r="J685" s="1">
        <v>0.83333333333333304</v>
      </c>
      <c r="K685" s="1">
        <v>0.56715355987055005</v>
      </c>
      <c r="L685" s="1">
        <v>0.59951310679611602</v>
      </c>
      <c r="P685" s="1">
        <f>I685-'Passo 2'!I685</f>
        <v>0</v>
      </c>
      <c r="Q685" s="1">
        <f>J685-'Passo 2'!J685</f>
        <v>0</v>
      </c>
      <c r="R685" s="8">
        <f t="shared" si="41"/>
        <v>2.4999999999999991</v>
      </c>
      <c r="S685" s="8">
        <f t="shared" si="40"/>
        <v>2.4999999999999991</v>
      </c>
      <c r="T685" s="1">
        <f t="shared" si="42"/>
        <v>1.70146067961165</v>
      </c>
      <c r="U685" s="1">
        <f t="shared" si="43"/>
        <v>1.7985393203883482</v>
      </c>
    </row>
    <row r="686" spans="1:21" x14ac:dyDescent="0.3">
      <c r="A686" t="s">
        <v>359</v>
      </c>
      <c r="B686" t="s">
        <v>522</v>
      </c>
      <c r="C686" t="s">
        <v>34</v>
      </c>
      <c r="D686" t="s">
        <v>35</v>
      </c>
      <c r="E686" s="2">
        <v>71.664000000000001</v>
      </c>
      <c r="F686" s="2">
        <v>0</v>
      </c>
      <c r="G686" s="2">
        <v>11.8663333333333</v>
      </c>
      <c r="H686" s="2">
        <v>-11.7016666666666</v>
      </c>
      <c r="I686" s="1">
        <v>0.99674871623130101</v>
      </c>
      <c r="J686" s="1">
        <v>0.98985543648135699</v>
      </c>
      <c r="K686" s="1">
        <v>0.93012807633935002</v>
      </c>
      <c r="L686" s="1">
        <v>0.55647607637330898</v>
      </c>
      <c r="P686" s="1">
        <f>I686-'Passo 2'!I686</f>
        <v>0.25637000446528202</v>
      </c>
      <c r="Q686" s="1">
        <f>J686-'Passo 2'!J686</f>
        <v>0.27539629381558395</v>
      </c>
      <c r="R686" s="8">
        <f t="shared" si="41"/>
        <v>71.430999999999955</v>
      </c>
      <c r="S686" s="8">
        <f t="shared" si="40"/>
        <v>70.936999999999969</v>
      </c>
      <c r="T686" s="1">
        <f t="shared" si="42"/>
        <v>66.656698462783183</v>
      </c>
      <c r="U686" s="1">
        <f t="shared" si="43"/>
        <v>39.879301537216818</v>
      </c>
    </row>
    <row r="687" spans="1:21" x14ac:dyDescent="0.3">
      <c r="A687" t="s">
        <v>359</v>
      </c>
      <c r="B687" t="s">
        <v>523</v>
      </c>
      <c r="C687" t="s">
        <v>34</v>
      </c>
      <c r="D687" t="s">
        <v>35</v>
      </c>
      <c r="E687" s="2">
        <v>5</v>
      </c>
      <c r="F687" s="2">
        <v>0</v>
      </c>
      <c r="G687" s="2">
        <v>0.83333333333333304</v>
      </c>
      <c r="H687" s="2">
        <v>-0.83333333333333304</v>
      </c>
      <c r="I687" s="1">
        <v>1</v>
      </c>
      <c r="J687" s="1">
        <v>1</v>
      </c>
      <c r="K687" s="1">
        <v>0.87013897249190897</v>
      </c>
      <c r="L687" s="1">
        <v>0.62986102750809003</v>
      </c>
      <c r="P687" s="1">
        <f>I687-'Passo 2'!I687</f>
        <v>0.11499999999999999</v>
      </c>
      <c r="Q687" s="1">
        <f>J687-'Passo 2'!J687</f>
        <v>0.15000000000000002</v>
      </c>
      <c r="R687" s="8">
        <f t="shared" si="41"/>
        <v>5</v>
      </c>
      <c r="S687" s="8">
        <f t="shared" si="40"/>
        <v>5</v>
      </c>
      <c r="T687" s="1">
        <f t="shared" si="42"/>
        <v>4.3506948624595445</v>
      </c>
      <c r="U687" s="1">
        <f t="shared" si="43"/>
        <v>3.1493051375404502</v>
      </c>
    </row>
    <row r="688" spans="1:21" x14ac:dyDescent="0.3">
      <c r="A688" t="s">
        <v>359</v>
      </c>
      <c r="B688" t="s">
        <v>524</v>
      </c>
      <c r="C688" t="s">
        <v>34</v>
      </c>
      <c r="D688" t="s">
        <v>35</v>
      </c>
      <c r="E688" s="2">
        <v>3964.1390000000001</v>
      </c>
      <c r="F688" s="2">
        <v>0</v>
      </c>
      <c r="G688" s="2">
        <v>659.06349999999998</v>
      </c>
      <c r="H688" s="2">
        <v>-648.79583333333301</v>
      </c>
      <c r="I688" s="1">
        <v>0.99876921571115396</v>
      </c>
      <c r="J688" s="1">
        <v>0.99099880200971702</v>
      </c>
      <c r="K688" s="1">
        <v>0.90198572950317601</v>
      </c>
      <c r="L688" s="1">
        <v>0.58778228821769596</v>
      </c>
      <c r="P688" s="1">
        <f>I688-'Passo 2'!I688</f>
        <v>0.25372382249966496</v>
      </c>
      <c r="Q688" s="1">
        <f>J688-'Passo 2'!J688</f>
        <v>0.23241276352822104</v>
      </c>
      <c r="R688" s="8">
        <f t="shared" si="41"/>
        <v>3959.2599999999984</v>
      </c>
      <c r="S688" s="8">
        <f t="shared" si="40"/>
        <v>3928.4569999999976</v>
      </c>
      <c r="T688" s="1">
        <f t="shared" si="42"/>
        <v>3575.5968077669909</v>
      </c>
      <c r="U688" s="1">
        <f t="shared" si="43"/>
        <v>2330.0506922330092</v>
      </c>
    </row>
    <row r="689" spans="1:21" x14ac:dyDescent="0.3">
      <c r="A689" t="s">
        <v>359</v>
      </c>
      <c r="B689" t="s">
        <v>525</v>
      </c>
      <c r="C689" t="s">
        <v>574</v>
      </c>
      <c r="D689" t="s">
        <v>575</v>
      </c>
      <c r="E689" s="2">
        <v>186</v>
      </c>
      <c r="F689" s="2">
        <v>5.7000000000000002E-2</v>
      </c>
      <c r="G689" s="2">
        <v>25.589500000000001</v>
      </c>
      <c r="H689" s="2">
        <v>-25.839500000000001</v>
      </c>
      <c r="I689" s="1">
        <v>0.91258064516129</v>
      </c>
      <c r="J689" s="1">
        <v>0.91661290322580602</v>
      </c>
      <c r="K689" s="1">
        <v>0.60577308696106003</v>
      </c>
      <c r="L689" s="1">
        <v>0.72357368723248705</v>
      </c>
      <c r="P689" s="1">
        <f>I689-'Passo 2'!I689</f>
        <v>1.3440860215050421E-3</v>
      </c>
      <c r="Q689" s="1">
        <f>J689-'Passo 2'!J689</f>
        <v>4.0322580645160144E-3</v>
      </c>
      <c r="R689" s="8">
        <f t="shared" si="41"/>
        <v>169.73999999999995</v>
      </c>
      <c r="S689" s="8">
        <f t="shared" si="40"/>
        <v>170.48999999999992</v>
      </c>
      <c r="T689" s="1">
        <f t="shared" si="42"/>
        <v>112.67379417475716</v>
      </c>
      <c r="U689" s="1">
        <f t="shared" si="43"/>
        <v>134.58470582524259</v>
      </c>
    </row>
    <row r="690" spans="1:21" x14ac:dyDescent="0.3">
      <c r="A690" t="s">
        <v>359</v>
      </c>
      <c r="B690" t="s">
        <v>526</v>
      </c>
      <c r="C690" t="s">
        <v>576</v>
      </c>
      <c r="D690" t="s">
        <v>591</v>
      </c>
      <c r="E690" s="2">
        <v>1352</v>
      </c>
      <c r="F690" s="2">
        <v>0</v>
      </c>
      <c r="G690" s="2">
        <v>203.071333333333</v>
      </c>
      <c r="H690" s="2">
        <v>-208.988</v>
      </c>
      <c r="I690" s="1">
        <v>0.95060207100591698</v>
      </c>
      <c r="J690" s="1">
        <v>0.96373076923076895</v>
      </c>
      <c r="K690" s="1">
        <v>0.70606273879880699</v>
      </c>
      <c r="L690" s="1">
        <v>0.70827010143787905</v>
      </c>
      <c r="P690" s="1">
        <f>I690-'Passo 2'!I690</f>
        <v>-4.6231508875740346E-3</v>
      </c>
      <c r="Q690" s="1">
        <f>J690-'Passo 2'!J690</f>
        <v>-9.8002958579880284E-3</v>
      </c>
      <c r="R690" s="8">
        <f t="shared" si="41"/>
        <v>1285.2139999999997</v>
      </c>
      <c r="S690" s="8">
        <f t="shared" si="40"/>
        <v>1302.9639999999997</v>
      </c>
      <c r="T690" s="1">
        <f t="shared" si="42"/>
        <v>954.59682285598706</v>
      </c>
      <c r="U690" s="1">
        <f t="shared" si="43"/>
        <v>957.58117714401249</v>
      </c>
    </row>
    <row r="691" spans="1:21" x14ac:dyDescent="0.3">
      <c r="A691" t="s">
        <v>359</v>
      </c>
      <c r="B691" t="s">
        <v>767</v>
      </c>
      <c r="C691" t="s">
        <v>576</v>
      </c>
      <c r="D691" t="s">
        <v>589</v>
      </c>
      <c r="E691" s="2">
        <v>71.596999999999994</v>
      </c>
      <c r="F691" s="2">
        <v>0</v>
      </c>
      <c r="G691" s="2">
        <v>11.932833333333299</v>
      </c>
      <c r="H691" s="2">
        <v>-11.932833333333299</v>
      </c>
      <c r="I691" s="1">
        <v>1</v>
      </c>
      <c r="J691" s="1">
        <v>1</v>
      </c>
      <c r="K691" s="1">
        <v>0.99966794092410305</v>
      </c>
      <c r="L691" s="1">
        <v>0.50033205907589595</v>
      </c>
      <c r="P691" s="1">
        <f>I691-'Passo 2'!I691</f>
        <v>4.7837199882679871E-3</v>
      </c>
      <c r="Q691" s="1">
        <f>J691-'Passo 2'!J691</f>
        <v>4.9164071120300079E-3</v>
      </c>
      <c r="R691" s="8">
        <f t="shared" si="41"/>
        <v>71.596999999999994</v>
      </c>
      <c r="S691" s="8">
        <f t="shared" si="40"/>
        <v>71.596999999999994</v>
      </c>
      <c r="T691" s="1">
        <f t="shared" si="42"/>
        <v>71.573225566342998</v>
      </c>
      <c r="U691" s="1">
        <f t="shared" si="43"/>
        <v>35.822274433656922</v>
      </c>
    </row>
    <row r="692" spans="1:21" x14ac:dyDescent="0.3">
      <c r="A692" t="s">
        <v>359</v>
      </c>
      <c r="B692" t="s">
        <v>527</v>
      </c>
      <c r="C692" t="s">
        <v>574</v>
      </c>
      <c r="D692" t="s">
        <v>575</v>
      </c>
      <c r="E692" s="2">
        <v>84.97</v>
      </c>
      <c r="F692" s="2">
        <v>0</v>
      </c>
      <c r="G692" s="2">
        <v>13.6666666666666</v>
      </c>
      <c r="H692" s="2">
        <v>-13.4635</v>
      </c>
      <c r="I692" s="1">
        <v>0.98252324349770503</v>
      </c>
      <c r="J692" s="1">
        <v>0.97535012357302497</v>
      </c>
      <c r="K692" s="1">
        <v>0.73032756421169698</v>
      </c>
      <c r="L692" s="1">
        <v>0.72754580285903303</v>
      </c>
      <c r="P692" s="1">
        <f>I692-'Passo 2'!I692</f>
        <v>0</v>
      </c>
      <c r="Q692" s="1">
        <f>J692-'Passo 2'!J692</f>
        <v>5.7667412027695431E-4</v>
      </c>
      <c r="R692" s="8">
        <f t="shared" si="41"/>
        <v>83.484999999999999</v>
      </c>
      <c r="S692" s="8">
        <f t="shared" si="40"/>
        <v>82.875499999999931</v>
      </c>
      <c r="T692" s="1">
        <f t="shared" si="42"/>
        <v>62.055933131067889</v>
      </c>
      <c r="U692" s="1">
        <f t="shared" si="43"/>
        <v>61.819566868932036</v>
      </c>
    </row>
    <row r="693" spans="1:21" x14ac:dyDescent="0.3">
      <c r="A693" t="s">
        <v>359</v>
      </c>
      <c r="B693" t="s">
        <v>528</v>
      </c>
      <c r="C693" t="s">
        <v>574</v>
      </c>
      <c r="D693" t="s">
        <v>575</v>
      </c>
      <c r="E693" s="2">
        <v>735</v>
      </c>
      <c r="F693" s="2">
        <v>0</v>
      </c>
      <c r="G693" s="2">
        <v>122.5</v>
      </c>
      <c r="H693" s="2">
        <v>-122.5</v>
      </c>
      <c r="I693" s="1">
        <v>1</v>
      </c>
      <c r="J693" s="1">
        <v>1</v>
      </c>
      <c r="K693" s="1">
        <v>0.99121543661801303</v>
      </c>
      <c r="L693" s="1">
        <v>0.50878456338198697</v>
      </c>
      <c r="P693" s="1">
        <f>I693-'Passo 2'!I693</f>
        <v>0.27210952380952402</v>
      </c>
      <c r="Q693" s="1">
        <f>J693-'Passo 2'!J693</f>
        <v>0.22316326530612296</v>
      </c>
      <c r="R693" s="8">
        <f t="shared" si="41"/>
        <v>735</v>
      </c>
      <c r="S693" s="8">
        <f t="shared" si="40"/>
        <v>735</v>
      </c>
      <c r="T693" s="1">
        <f t="shared" si="42"/>
        <v>728.54334591423958</v>
      </c>
      <c r="U693" s="1">
        <f t="shared" si="43"/>
        <v>373.95665408576042</v>
      </c>
    </row>
    <row r="694" spans="1:21" x14ac:dyDescent="0.3">
      <c r="A694" t="s">
        <v>359</v>
      </c>
      <c r="B694" t="s">
        <v>529</v>
      </c>
      <c r="C694" t="s">
        <v>574</v>
      </c>
      <c r="D694" t="s">
        <v>575</v>
      </c>
      <c r="E694" s="2">
        <v>3.02</v>
      </c>
      <c r="F694" s="2">
        <v>0</v>
      </c>
      <c r="G694" s="2">
        <v>0</v>
      </c>
      <c r="H694" s="2">
        <v>-0.50333333333333297</v>
      </c>
      <c r="I694" s="1">
        <v>0.5</v>
      </c>
      <c r="J694" s="1">
        <v>0.999999999999999</v>
      </c>
      <c r="K694" s="1">
        <v>0.15728155339805799</v>
      </c>
      <c r="L694" s="1">
        <v>0.84271844660194095</v>
      </c>
      <c r="P694" s="1">
        <f>I694-'Passo 2'!I694</f>
        <v>0</v>
      </c>
      <c r="Q694" s="1">
        <f>J694-'Passo 2'!J694</f>
        <v>-9.9920072216264089E-16</v>
      </c>
      <c r="R694" s="8">
        <f t="shared" si="41"/>
        <v>1.51</v>
      </c>
      <c r="S694" s="8">
        <f t="shared" si="40"/>
        <v>3.0199999999999969</v>
      </c>
      <c r="T694" s="1">
        <f t="shared" si="42"/>
        <v>0.47499029126213516</v>
      </c>
      <c r="U694" s="1">
        <f t="shared" si="43"/>
        <v>2.5450097087378616</v>
      </c>
    </row>
    <row r="695" spans="1:21" x14ac:dyDescent="0.3">
      <c r="A695" t="s">
        <v>359</v>
      </c>
      <c r="B695" t="s">
        <v>768</v>
      </c>
      <c r="C695" t="s">
        <v>576</v>
      </c>
      <c r="D695" t="s">
        <v>577</v>
      </c>
      <c r="E695" s="2">
        <v>28.46</v>
      </c>
      <c r="F695" s="2">
        <v>0</v>
      </c>
      <c r="G695" s="2">
        <v>3.08083333333333</v>
      </c>
      <c r="H695" s="2">
        <v>-2.97983333333333</v>
      </c>
      <c r="I695" s="1">
        <v>0.82475404075895997</v>
      </c>
      <c r="J695" s="1">
        <v>0.81410751932536796</v>
      </c>
      <c r="K695" s="1">
        <v>0.54824911816277599</v>
      </c>
      <c r="L695" s="1">
        <v>0.59061244192155204</v>
      </c>
      <c r="P695" s="1">
        <f>I695-'Passo 2'!I695</f>
        <v>4.9191848208011923E-2</v>
      </c>
      <c r="Q695" s="1">
        <f>J695-'Passo 2'!J695</f>
        <v>-1.2789880534083031E-2</v>
      </c>
      <c r="R695" s="8">
        <f t="shared" si="41"/>
        <v>23.4725</v>
      </c>
      <c r="S695" s="8">
        <f t="shared" si="40"/>
        <v>23.169499999999974</v>
      </c>
      <c r="T695" s="1">
        <f t="shared" si="42"/>
        <v>15.603169902912605</v>
      </c>
      <c r="U695" s="1">
        <f t="shared" si="43"/>
        <v>16.808830097087373</v>
      </c>
    </row>
    <row r="696" spans="1:21" x14ac:dyDescent="0.3">
      <c r="A696" t="s">
        <v>359</v>
      </c>
      <c r="B696" t="s">
        <v>530</v>
      </c>
      <c r="C696" t="s">
        <v>574</v>
      </c>
      <c r="D696" t="s">
        <v>575</v>
      </c>
      <c r="E696" s="2">
        <v>503.97899999999998</v>
      </c>
      <c r="F696" s="2">
        <v>0.11899999999999999</v>
      </c>
      <c r="G696" s="2">
        <v>82.735500000000002</v>
      </c>
      <c r="H696" s="2">
        <v>-66.576499999999996</v>
      </c>
      <c r="I696" s="1">
        <v>0.99237567438325802</v>
      </c>
      <c r="J696" s="1">
        <v>0.89618714271824795</v>
      </c>
      <c r="K696" s="1">
        <v>0.71533281358919798</v>
      </c>
      <c r="L696" s="1">
        <v>0.67334806398704905</v>
      </c>
      <c r="P696" s="1">
        <f>I696-'Passo 2'!I696</f>
        <v>3.8692088361047539E-5</v>
      </c>
      <c r="Q696" s="1">
        <f>J696-'Passo 2'!J696</f>
        <v>-6.2856785699404005E-2</v>
      </c>
      <c r="R696" s="8">
        <f t="shared" si="41"/>
        <v>500.13649999999996</v>
      </c>
      <c r="S696" s="8">
        <f t="shared" si="40"/>
        <v>451.65949999999987</v>
      </c>
      <c r="T696" s="1">
        <f t="shared" si="42"/>
        <v>360.5127160598704</v>
      </c>
      <c r="U696" s="1">
        <f t="shared" si="43"/>
        <v>339.35328394012896</v>
      </c>
    </row>
    <row r="697" spans="1:21" x14ac:dyDescent="0.3">
      <c r="A697" t="s">
        <v>359</v>
      </c>
      <c r="B697" t="s">
        <v>531</v>
      </c>
      <c r="C697" t="s">
        <v>574</v>
      </c>
      <c r="D697" t="s">
        <v>575</v>
      </c>
      <c r="E697" s="2">
        <v>73.444999999999993</v>
      </c>
      <c r="F697" s="2">
        <v>0</v>
      </c>
      <c r="G697" s="2">
        <v>8.7029999999999994</v>
      </c>
      <c r="H697" s="2">
        <v>-8.6773333333333298</v>
      </c>
      <c r="I697" s="1">
        <v>0.85549050309755503</v>
      </c>
      <c r="J697" s="1">
        <v>0.85444209953025996</v>
      </c>
      <c r="K697" s="1">
        <v>0.56288565833447302</v>
      </c>
      <c r="L697" s="1">
        <v>0.64704694429334297</v>
      </c>
      <c r="P697" s="1">
        <f>I697-'Passo 2'!I697</f>
        <v>6.401388794335805E-2</v>
      </c>
      <c r="Q697" s="1">
        <f>J697-'Passo 2'!J697</f>
        <v>2.0899993192179389E-3</v>
      </c>
      <c r="R697" s="8">
        <f t="shared" si="41"/>
        <v>62.83149999999992</v>
      </c>
      <c r="S697" s="8">
        <f t="shared" si="40"/>
        <v>62.754499999999936</v>
      </c>
      <c r="T697" s="1">
        <f t="shared" si="42"/>
        <v>41.341137176375369</v>
      </c>
      <c r="U697" s="1">
        <f t="shared" si="43"/>
        <v>47.522362823624569</v>
      </c>
    </row>
    <row r="698" spans="1:21" x14ac:dyDescent="0.3">
      <c r="A698" t="s">
        <v>359</v>
      </c>
      <c r="B698" t="s">
        <v>532</v>
      </c>
      <c r="C698" t="s">
        <v>574</v>
      </c>
      <c r="D698" t="s">
        <v>575</v>
      </c>
      <c r="E698" s="2">
        <v>50.832000000000001</v>
      </c>
      <c r="F698" s="2">
        <v>0</v>
      </c>
      <c r="G698" s="2">
        <v>8.4719999999999995</v>
      </c>
      <c r="H698" s="2">
        <v>-8.4146666666666601</v>
      </c>
      <c r="I698" s="1">
        <v>0.999999999999999</v>
      </c>
      <c r="J698" s="1">
        <v>0.99661630468995899</v>
      </c>
      <c r="K698" s="1">
        <v>0.71928237191387701</v>
      </c>
      <c r="L698" s="1">
        <v>0.77733393277608098</v>
      </c>
      <c r="P698" s="1">
        <f>I698-'Passo 2'!I698</f>
        <v>9.8166509285479986E-3</v>
      </c>
      <c r="Q698" s="1">
        <f>J698-'Passo 2'!J698</f>
        <v>-3.9345294302051137E-5</v>
      </c>
      <c r="R698" s="8">
        <f t="shared" si="41"/>
        <v>50.831999999999951</v>
      </c>
      <c r="S698" s="8">
        <f t="shared" si="40"/>
        <v>50.66</v>
      </c>
      <c r="T698" s="1">
        <f t="shared" si="42"/>
        <v>36.562561529126199</v>
      </c>
      <c r="U698" s="1">
        <f t="shared" si="43"/>
        <v>39.513438470873751</v>
      </c>
    </row>
    <row r="699" spans="1:21" x14ac:dyDescent="0.3">
      <c r="A699" t="s">
        <v>359</v>
      </c>
      <c r="B699" t="s">
        <v>533</v>
      </c>
      <c r="C699" t="s">
        <v>576</v>
      </c>
      <c r="D699" t="s">
        <v>14</v>
      </c>
      <c r="E699" s="2">
        <v>10.589</v>
      </c>
      <c r="F699" s="2">
        <v>10.589</v>
      </c>
      <c r="G699" s="2">
        <v>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P699" s="1">
        <f>I699-'Passo 2'!I699</f>
        <v>0</v>
      </c>
      <c r="Q699" s="1">
        <f>J699-'Passo 2'!J699</f>
        <v>0</v>
      </c>
      <c r="R699" s="8">
        <f t="shared" si="41"/>
        <v>0</v>
      </c>
      <c r="S699" s="8">
        <f t="shared" si="40"/>
        <v>0</v>
      </c>
      <c r="T699" s="1">
        <f t="shared" si="42"/>
        <v>0</v>
      </c>
      <c r="U699" s="1">
        <f t="shared" si="43"/>
        <v>0</v>
      </c>
    </row>
    <row r="700" spans="1:21" x14ac:dyDescent="0.3">
      <c r="A700" t="s">
        <v>359</v>
      </c>
      <c r="B700" t="s">
        <v>769</v>
      </c>
      <c r="C700" t="s">
        <v>574</v>
      </c>
      <c r="D700" t="s">
        <v>575</v>
      </c>
      <c r="E700" s="2">
        <v>78.716999999999999</v>
      </c>
      <c r="F700" s="2">
        <v>0</v>
      </c>
      <c r="G700" s="2">
        <v>9.2126666666666601</v>
      </c>
      <c r="H700" s="2">
        <v>-6.0633333333333299</v>
      </c>
      <c r="I700" s="1">
        <v>0.85110586023349399</v>
      </c>
      <c r="J700" s="1">
        <v>0.73108096091060304</v>
      </c>
      <c r="K700" s="1">
        <v>0.68535867477913204</v>
      </c>
      <c r="L700" s="1">
        <v>0.396828146364965</v>
      </c>
      <c r="P700" s="1">
        <f>I700-'Passo 2'!I700</f>
        <v>1.5987651968443983E-2</v>
      </c>
      <c r="Q700" s="1">
        <f>J700-'Passo 2'!J700</f>
        <v>9.1828956896223057E-2</v>
      </c>
      <c r="R700" s="8">
        <f t="shared" si="41"/>
        <v>66.996499999999941</v>
      </c>
      <c r="S700" s="8">
        <f t="shared" si="40"/>
        <v>57.54849999999994</v>
      </c>
      <c r="T700" s="1">
        <f t="shared" si="42"/>
        <v>53.949378802588939</v>
      </c>
      <c r="U700" s="1">
        <f t="shared" si="43"/>
        <v>31.23712119741095</v>
      </c>
    </row>
    <row r="701" spans="1:21" x14ac:dyDescent="0.3">
      <c r="A701" t="s">
        <v>359</v>
      </c>
      <c r="B701" t="s">
        <v>534</v>
      </c>
      <c r="C701" t="s">
        <v>576</v>
      </c>
      <c r="D701" t="s">
        <v>577</v>
      </c>
      <c r="E701" s="2">
        <v>0</v>
      </c>
      <c r="F701" s="2">
        <v>0</v>
      </c>
      <c r="G701" s="2">
        <v>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P701" s="1">
        <f>I701-'Passo 2'!I701</f>
        <v>0</v>
      </c>
      <c r="Q701" s="1">
        <f>J701-'Passo 2'!J701</f>
        <v>0</v>
      </c>
      <c r="R701" s="8">
        <f t="shared" si="41"/>
        <v>0</v>
      </c>
      <c r="S701" s="8">
        <f t="shared" si="40"/>
        <v>0</v>
      </c>
      <c r="T701" s="1">
        <f t="shared" si="42"/>
        <v>0</v>
      </c>
      <c r="U701" s="1">
        <f t="shared" si="43"/>
        <v>0</v>
      </c>
    </row>
    <row r="702" spans="1:21" x14ac:dyDescent="0.3">
      <c r="A702" t="s">
        <v>359</v>
      </c>
      <c r="B702" t="s">
        <v>535</v>
      </c>
      <c r="C702" t="s">
        <v>574</v>
      </c>
      <c r="D702" t="s">
        <v>575</v>
      </c>
      <c r="E702" s="2">
        <v>177.035</v>
      </c>
      <c r="F702" s="2">
        <v>3.4809999999999999</v>
      </c>
      <c r="G702" s="2">
        <v>24.530666666666601</v>
      </c>
      <c r="H702" s="2">
        <v>-24.6391666666666</v>
      </c>
      <c r="I702" s="1">
        <v>0.905860423080181</v>
      </c>
      <c r="J702" s="1">
        <v>0.90769904256220502</v>
      </c>
      <c r="K702" s="1">
        <v>0.53811783899349597</v>
      </c>
      <c r="L702" s="1">
        <v>0.785273015922198</v>
      </c>
      <c r="P702" s="1">
        <f>I702-'Passo 2'!I702</f>
        <v>-1.5138249498689582E-3</v>
      </c>
      <c r="Q702" s="1">
        <f>J702-'Passo 2'!J702</f>
        <v>-1.4545146439969292E-3</v>
      </c>
      <c r="R702" s="8">
        <f t="shared" si="41"/>
        <v>160.36899999999983</v>
      </c>
      <c r="S702" s="8">
        <f t="shared" si="40"/>
        <v>160.69449999999995</v>
      </c>
      <c r="T702" s="1">
        <f t="shared" si="42"/>
        <v>95.265691626213552</v>
      </c>
      <c r="U702" s="1">
        <f t="shared" si="43"/>
        <v>139.02080837378631</v>
      </c>
    </row>
    <row r="703" spans="1:21" x14ac:dyDescent="0.3">
      <c r="A703" t="s">
        <v>359</v>
      </c>
      <c r="B703" t="s">
        <v>536</v>
      </c>
      <c r="C703" t="s">
        <v>576</v>
      </c>
      <c r="D703" t="s">
        <v>577</v>
      </c>
      <c r="E703" s="2">
        <v>115.899</v>
      </c>
      <c r="F703" s="2">
        <v>0</v>
      </c>
      <c r="G703" s="2">
        <v>19.316500000000001</v>
      </c>
      <c r="H703" s="2">
        <v>-18.86</v>
      </c>
      <c r="I703" s="1">
        <v>1</v>
      </c>
      <c r="J703" s="1">
        <v>0.98818367716718802</v>
      </c>
      <c r="K703" s="1">
        <v>0.98139051107466002</v>
      </c>
      <c r="L703" s="1">
        <v>0.506793166092528</v>
      </c>
      <c r="P703" s="1">
        <f>I703-'Passo 2'!I703</f>
        <v>1.1816322832811976E-2</v>
      </c>
      <c r="Q703" s="1">
        <f>J703-'Passo 2'!J703</f>
        <v>3.9862293893819789E-3</v>
      </c>
      <c r="R703" s="8">
        <f t="shared" si="41"/>
        <v>115.899</v>
      </c>
      <c r="S703" s="8">
        <f t="shared" si="40"/>
        <v>114.52949999999993</v>
      </c>
      <c r="T703" s="1">
        <f t="shared" si="42"/>
        <v>113.74217884304203</v>
      </c>
      <c r="U703" s="1">
        <f t="shared" si="43"/>
        <v>58.736821156957902</v>
      </c>
    </row>
    <row r="704" spans="1:21" x14ac:dyDescent="0.3">
      <c r="A704" t="s">
        <v>359</v>
      </c>
      <c r="B704" t="s">
        <v>537</v>
      </c>
      <c r="C704" t="s">
        <v>576</v>
      </c>
      <c r="D704" t="s">
        <v>577</v>
      </c>
      <c r="E704" s="2">
        <v>74.326999999999998</v>
      </c>
      <c r="F704" s="2">
        <v>0</v>
      </c>
      <c r="G704" s="2">
        <v>12.387833333333299</v>
      </c>
      <c r="H704" s="2">
        <v>-12.387833333333299</v>
      </c>
      <c r="I704" s="1">
        <v>1</v>
      </c>
      <c r="J704" s="1">
        <v>1</v>
      </c>
      <c r="K704" s="1">
        <v>0.97985869143015003</v>
      </c>
      <c r="L704" s="1">
        <v>0.52014130856984897</v>
      </c>
      <c r="P704" s="1">
        <f>I704-'Passo 2'!I704</f>
        <v>1.4194034469310335E-3</v>
      </c>
      <c r="Q704" s="1">
        <f>J704-'Passo 2'!J704</f>
        <v>0</v>
      </c>
      <c r="R704" s="8">
        <f t="shared" si="41"/>
        <v>74.326999999999998</v>
      </c>
      <c r="S704" s="8">
        <f t="shared" si="40"/>
        <v>74.326999999999998</v>
      </c>
      <c r="T704" s="1">
        <f t="shared" si="42"/>
        <v>72.829956957928758</v>
      </c>
      <c r="U704" s="1">
        <f t="shared" si="43"/>
        <v>38.660543042071161</v>
      </c>
    </row>
    <row r="705" spans="1:21" x14ac:dyDescent="0.3">
      <c r="A705" t="s">
        <v>359</v>
      </c>
      <c r="B705" t="s">
        <v>770</v>
      </c>
      <c r="C705" t="s">
        <v>574</v>
      </c>
      <c r="D705" t="s">
        <v>575</v>
      </c>
      <c r="E705" s="2">
        <v>248.21</v>
      </c>
      <c r="F705" s="2">
        <v>0</v>
      </c>
      <c r="G705" s="2">
        <v>33.879999999999903</v>
      </c>
      <c r="H705" s="2">
        <v>-33.79</v>
      </c>
      <c r="I705" s="1">
        <v>0.90949196245115005</v>
      </c>
      <c r="J705" s="1">
        <v>0.90840417388501604</v>
      </c>
      <c r="K705" s="1">
        <v>0.55078916482141504</v>
      </c>
      <c r="L705" s="1">
        <v>0.76710697151475105</v>
      </c>
      <c r="P705" s="1">
        <f>I705-'Passo 2'!I705</f>
        <v>2.6066637121791025E-3</v>
      </c>
      <c r="Q705" s="1">
        <f>J705-'Passo 2'!J705</f>
        <v>3.4990532210628089E-2</v>
      </c>
      <c r="R705" s="8">
        <f t="shared" si="41"/>
        <v>225.74499999999995</v>
      </c>
      <c r="S705" s="8">
        <f t="shared" si="40"/>
        <v>225.47499999999985</v>
      </c>
      <c r="T705" s="1">
        <f t="shared" si="42"/>
        <v>136.71137860032343</v>
      </c>
      <c r="U705" s="1">
        <f t="shared" si="43"/>
        <v>190.40362139967635</v>
      </c>
    </row>
    <row r="706" spans="1:21" x14ac:dyDescent="0.3">
      <c r="A706" t="s">
        <v>359</v>
      </c>
      <c r="B706" t="s">
        <v>538</v>
      </c>
      <c r="C706" t="s">
        <v>574</v>
      </c>
      <c r="D706" t="s">
        <v>575</v>
      </c>
      <c r="E706" s="2">
        <v>112.631</v>
      </c>
      <c r="F706" s="2">
        <v>0</v>
      </c>
      <c r="G706" s="2">
        <v>15.363</v>
      </c>
      <c r="H706" s="2">
        <v>-15.349500000000001</v>
      </c>
      <c r="I706" s="1">
        <v>0.90920350525166205</v>
      </c>
      <c r="J706" s="1">
        <v>0.90884392396409497</v>
      </c>
      <c r="K706" s="1">
        <v>0.71890283156507895</v>
      </c>
      <c r="L706" s="1">
        <v>0.59914459765067796</v>
      </c>
      <c r="P706" s="1">
        <f>I706-'Passo 2'!I706</f>
        <v>2.7421402633378E-2</v>
      </c>
      <c r="Q706" s="1">
        <f>J706-'Passo 2'!J706</f>
        <v>7.1885182587386964E-2</v>
      </c>
      <c r="R706" s="8">
        <f t="shared" si="41"/>
        <v>102.40449999999994</v>
      </c>
      <c r="S706" s="8">
        <f t="shared" ref="S706:S769" si="44">J706*E706</f>
        <v>102.36399999999998</v>
      </c>
      <c r="T706" s="1">
        <f t="shared" si="42"/>
        <v>80.970744822006409</v>
      </c>
      <c r="U706" s="1">
        <f t="shared" si="43"/>
        <v>67.482255177993508</v>
      </c>
    </row>
    <row r="707" spans="1:21" x14ac:dyDescent="0.3">
      <c r="A707" t="s">
        <v>359</v>
      </c>
      <c r="B707" t="s">
        <v>539</v>
      </c>
      <c r="C707" t="s">
        <v>574</v>
      </c>
      <c r="D707" t="s">
        <v>575</v>
      </c>
      <c r="E707" s="2">
        <v>1435.4090000000001</v>
      </c>
      <c r="F707" s="2">
        <v>392.26900000000001</v>
      </c>
      <c r="G707" s="2">
        <v>153.028666666666</v>
      </c>
      <c r="H707" s="2">
        <v>-98.223666666666603</v>
      </c>
      <c r="I707" s="1">
        <v>0.68318925128656705</v>
      </c>
      <c r="J707" s="1">
        <v>0.56864698493599997</v>
      </c>
      <c r="K707" s="1">
        <v>0.50371942333493303</v>
      </c>
      <c r="L707" s="1">
        <v>0.38475696214126098</v>
      </c>
      <c r="P707" s="1">
        <f>I707-'Passo 2'!I707</f>
        <v>9.6225884051166055E-2</v>
      </c>
      <c r="Q707" s="1">
        <f>J707-'Passo 2'!J707</f>
        <v>7.544191237479958E-3</v>
      </c>
      <c r="R707" s="8">
        <f t="shared" ref="R707:R770" si="45">I707*E707</f>
        <v>980.65599999999995</v>
      </c>
      <c r="S707" s="8">
        <f t="shared" si="44"/>
        <v>816.24099999999885</v>
      </c>
      <c r="T707" s="1">
        <f t="shared" ref="T707:T770" si="46">K707*E707</f>
        <v>723.0433937297729</v>
      </c>
      <c r="U707" s="1">
        <f t="shared" ref="U707:U770" si="47">L707*E707</f>
        <v>552.28360627022528</v>
      </c>
    </row>
    <row r="708" spans="1:21" x14ac:dyDescent="0.3">
      <c r="A708" t="s">
        <v>359</v>
      </c>
      <c r="B708" t="s">
        <v>540</v>
      </c>
      <c r="C708" t="s">
        <v>576</v>
      </c>
      <c r="D708" t="s">
        <v>14</v>
      </c>
      <c r="E708" s="2">
        <v>0</v>
      </c>
      <c r="F708" s="2">
        <v>0</v>
      </c>
      <c r="G708" s="2">
        <v>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P708" s="1">
        <f>I708-'Passo 2'!I708</f>
        <v>0</v>
      </c>
      <c r="Q708" s="1">
        <f>J708-'Passo 2'!J708</f>
        <v>0</v>
      </c>
      <c r="R708" s="8">
        <f t="shared" si="45"/>
        <v>0</v>
      </c>
      <c r="S708" s="8">
        <f t="shared" si="44"/>
        <v>0</v>
      </c>
      <c r="T708" s="1">
        <f t="shared" si="46"/>
        <v>0</v>
      </c>
      <c r="U708" s="1">
        <f t="shared" si="47"/>
        <v>0</v>
      </c>
    </row>
    <row r="709" spans="1:21" x14ac:dyDescent="0.3">
      <c r="A709" t="s">
        <v>359</v>
      </c>
      <c r="B709" t="s">
        <v>771</v>
      </c>
      <c r="C709" t="s">
        <v>576</v>
      </c>
      <c r="D709" t="s">
        <v>577</v>
      </c>
      <c r="E709" s="2">
        <v>75.043000000000006</v>
      </c>
      <c r="F709" s="2">
        <v>0</v>
      </c>
      <c r="G709" s="2">
        <v>12.507166666666601</v>
      </c>
      <c r="H709" s="2">
        <v>-12.507166666666601</v>
      </c>
      <c r="I709" s="1">
        <v>1</v>
      </c>
      <c r="J709" s="1">
        <v>1</v>
      </c>
      <c r="K709" s="1">
        <v>0.99230666057824801</v>
      </c>
      <c r="L709" s="1">
        <v>0.50769333942175199</v>
      </c>
      <c r="P709" s="1">
        <f>I709-'Passo 2'!I709</f>
        <v>3.6645656490297274E-4</v>
      </c>
      <c r="Q709" s="1">
        <f>J709-'Passo 2'!J709</f>
        <v>2.7317671201898541E-4</v>
      </c>
      <c r="R709" s="8">
        <f t="shared" si="45"/>
        <v>75.043000000000006</v>
      </c>
      <c r="S709" s="8">
        <f t="shared" si="44"/>
        <v>75.043000000000006</v>
      </c>
      <c r="T709" s="1">
        <f t="shared" si="46"/>
        <v>74.465668729773469</v>
      </c>
      <c r="U709" s="1">
        <f t="shared" si="47"/>
        <v>38.09883127022654</v>
      </c>
    </row>
    <row r="710" spans="1:21" x14ac:dyDescent="0.3">
      <c r="A710" t="s">
        <v>359</v>
      </c>
      <c r="B710" t="s">
        <v>541</v>
      </c>
      <c r="C710" t="s">
        <v>576</v>
      </c>
      <c r="D710" t="s">
        <v>14</v>
      </c>
      <c r="E710" s="2">
        <v>0</v>
      </c>
      <c r="F710" s="2">
        <v>0</v>
      </c>
      <c r="G710" s="2">
        <v>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P710" s="1">
        <f>I710-'Passo 2'!I710</f>
        <v>0</v>
      </c>
      <c r="Q710" s="1">
        <f>J710-'Passo 2'!J710</f>
        <v>0</v>
      </c>
      <c r="R710" s="8">
        <f t="shared" si="45"/>
        <v>0</v>
      </c>
      <c r="S710" s="8">
        <f t="shared" si="44"/>
        <v>0</v>
      </c>
      <c r="T710" s="1">
        <f t="shared" si="46"/>
        <v>0</v>
      </c>
      <c r="U710" s="1">
        <f t="shared" si="47"/>
        <v>0</v>
      </c>
    </row>
    <row r="711" spans="1:21" x14ac:dyDescent="0.3">
      <c r="A711" t="s">
        <v>359</v>
      </c>
      <c r="B711" t="s">
        <v>772</v>
      </c>
      <c r="C711" t="s">
        <v>574</v>
      </c>
      <c r="D711" t="s">
        <v>575</v>
      </c>
      <c r="E711" s="2">
        <v>255.84399999999999</v>
      </c>
      <c r="F711" s="2">
        <v>0</v>
      </c>
      <c r="G711" s="2">
        <v>34.747666666666603</v>
      </c>
      <c r="H711" s="2">
        <v>-34.750166666666601</v>
      </c>
      <c r="I711" s="1">
        <v>0.90744750707462296</v>
      </c>
      <c r="J711" s="1">
        <v>0.90747682181329203</v>
      </c>
      <c r="K711" s="1">
        <v>0.74205345835743597</v>
      </c>
      <c r="L711" s="1">
        <v>0.57287087053047903</v>
      </c>
      <c r="P711" s="1">
        <f>I711-'Passo 2'!I711</f>
        <v>8.2257156704869105E-3</v>
      </c>
      <c r="Q711" s="1">
        <f>J711-'Passo 2'!J711</f>
        <v>4.2740888979220237E-3</v>
      </c>
      <c r="R711" s="8">
        <f t="shared" si="45"/>
        <v>232.16499999999982</v>
      </c>
      <c r="S711" s="8">
        <f t="shared" si="44"/>
        <v>232.17249999999987</v>
      </c>
      <c r="T711" s="1">
        <f t="shared" si="46"/>
        <v>189.84992499999984</v>
      </c>
      <c r="U711" s="1">
        <f t="shared" si="47"/>
        <v>146.56557499999988</v>
      </c>
    </row>
    <row r="712" spans="1:21" x14ac:dyDescent="0.3">
      <c r="A712" t="s">
        <v>359</v>
      </c>
      <c r="B712" t="s">
        <v>773</v>
      </c>
      <c r="C712" t="s">
        <v>576</v>
      </c>
      <c r="D712" t="s">
        <v>14</v>
      </c>
      <c r="E712" s="2">
        <v>0</v>
      </c>
      <c r="F712" s="2">
        <v>0</v>
      </c>
      <c r="G712" s="2">
        <v>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P712" s="1">
        <f>I712-'Passo 2'!I712</f>
        <v>0</v>
      </c>
      <c r="Q712" s="1">
        <f>J712-'Passo 2'!J712</f>
        <v>0</v>
      </c>
      <c r="R712" s="8">
        <f t="shared" si="45"/>
        <v>0</v>
      </c>
      <c r="S712" s="8">
        <f t="shared" si="44"/>
        <v>0</v>
      </c>
      <c r="T712" s="1">
        <f t="shared" si="46"/>
        <v>0</v>
      </c>
      <c r="U712" s="1">
        <f t="shared" si="47"/>
        <v>0</v>
      </c>
    </row>
    <row r="713" spans="1:21" x14ac:dyDescent="0.3">
      <c r="A713" t="s">
        <v>359</v>
      </c>
      <c r="B713" t="s">
        <v>542</v>
      </c>
      <c r="C713" t="s">
        <v>574</v>
      </c>
      <c r="D713" t="s">
        <v>575</v>
      </c>
      <c r="E713" s="2">
        <v>106.59699999999999</v>
      </c>
      <c r="F713" s="2">
        <v>0</v>
      </c>
      <c r="G713" s="2">
        <v>11.5348333333333</v>
      </c>
      <c r="H713" s="2">
        <v>-11.443166666666601</v>
      </c>
      <c r="I713" s="1">
        <v>0.82462921095340302</v>
      </c>
      <c r="J713" s="1">
        <v>0.82204940101503698</v>
      </c>
      <c r="K713" s="1">
        <v>0.60284396797932904</v>
      </c>
      <c r="L713" s="1">
        <v>0.54383464398911197</v>
      </c>
      <c r="P713" s="1">
        <f>I713-'Passo 2'!I713</f>
        <v>1.1022824282099775E-3</v>
      </c>
      <c r="Q713" s="1">
        <f>J713-'Passo 2'!J713</f>
        <v>7.9739579913096215E-4</v>
      </c>
      <c r="R713" s="8">
        <f t="shared" si="45"/>
        <v>87.902999999999892</v>
      </c>
      <c r="S713" s="8">
        <f t="shared" si="44"/>
        <v>87.627999999999886</v>
      </c>
      <c r="T713" s="1">
        <f t="shared" si="46"/>
        <v>64.261358454692541</v>
      </c>
      <c r="U713" s="1">
        <f t="shared" si="47"/>
        <v>57.971141545307368</v>
      </c>
    </row>
    <row r="714" spans="1:21" x14ac:dyDescent="0.3">
      <c r="A714" t="s">
        <v>359</v>
      </c>
      <c r="B714" t="s">
        <v>543</v>
      </c>
      <c r="C714" t="s">
        <v>574</v>
      </c>
      <c r="D714" t="s">
        <v>575</v>
      </c>
      <c r="E714" s="2">
        <v>0</v>
      </c>
      <c r="F714" s="2">
        <v>0</v>
      </c>
      <c r="G714" s="2">
        <v>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P714" s="1">
        <f>I714-'Passo 2'!I714</f>
        <v>0</v>
      </c>
      <c r="Q714" s="1">
        <f>J714-'Passo 2'!J714</f>
        <v>0</v>
      </c>
      <c r="R714" s="8">
        <f t="shared" si="45"/>
        <v>0</v>
      </c>
      <c r="S714" s="8">
        <f t="shared" si="44"/>
        <v>0</v>
      </c>
      <c r="T714" s="1">
        <f t="shared" si="46"/>
        <v>0</v>
      </c>
      <c r="U714" s="1">
        <f t="shared" si="47"/>
        <v>0</v>
      </c>
    </row>
    <row r="715" spans="1:21" x14ac:dyDescent="0.3">
      <c r="A715" t="s">
        <v>359</v>
      </c>
      <c r="B715" t="s">
        <v>774</v>
      </c>
      <c r="C715" t="s">
        <v>576</v>
      </c>
      <c r="D715" t="s">
        <v>14</v>
      </c>
      <c r="E715" s="2">
        <v>0</v>
      </c>
      <c r="F715" s="2">
        <v>0</v>
      </c>
      <c r="G715" s="2">
        <v>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P715" s="1">
        <f>I715-'Passo 2'!I715</f>
        <v>0</v>
      </c>
      <c r="Q715" s="1">
        <f>J715-'Passo 2'!J715</f>
        <v>0</v>
      </c>
      <c r="R715" s="8">
        <f t="shared" si="45"/>
        <v>0</v>
      </c>
      <c r="S715" s="8">
        <f t="shared" si="44"/>
        <v>0</v>
      </c>
      <c r="T715" s="1">
        <f t="shared" si="46"/>
        <v>0</v>
      </c>
      <c r="U715" s="1">
        <f t="shared" si="47"/>
        <v>0</v>
      </c>
    </row>
    <row r="716" spans="1:21" x14ac:dyDescent="0.3">
      <c r="A716" t="s">
        <v>359</v>
      </c>
      <c r="B716" t="s">
        <v>544</v>
      </c>
      <c r="C716" t="s">
        <v>574</v>
      </c>
      <c r="D716" t="s">
        <v>575</v>
      </c>
      <c r="E716" s="2">
        <v>64.009</v>
      </c>
      <c r="F716" s="2">
        <v>0</v>
      </c>
      <c r="G716" s="2">
        <v>5.4998333333333296</v>
      </c>
      <c r="H716" s="2">
        <v>-5.4998333333333296</v>
      </c>
      <c r="I716" s="1">
        <v>0.75776843881329103</v>
      </c>
      <c r="J716" s="1">
        <v>0.75776843881329103</v>
      </c>
      <c r="K716" s="1">
        <v>0.57910906200437695</v>
      </c>
      <c r="L716" s="1">
        <v>0.43642781562220601</v>
      </c>
      <c r="P716" s="1">
        <f>I716-'Passo 2'!I716</f>
        <v>8.5925416738019678E-5</v>
      </c>
      <c r="Q716" s="1">
        <f>J716-'Passo 2'!J716</f>
        <v>8.5925416738019678E-5</v>
      </c>
      <c r="R716" s="8">
        <f t="shared" si="45"/>
        <v>48.503999999999948</v>
      </c>
      <c r="S716" s="8">
        <f t="shared" si="44"/>
        <v>48.503999999999948</v>
      </c>
      <c r="T716" s="1">
        <f t="shared" si="46"/>
        <v>37.068191949838166</v>
      </c>
      <c r="U716" s="1">
        <f t="shared" si="47"/>
        <v>27.935308050161783</v>
      </c>
    </row>
    <row r="717" spans="1:21" x14ac:dyDescent="0.3">
      <c r="A717" t="s">
        <v>359</v>
      </c>
      <c r="B717" t="s">
        <v>545</v>
      </c>
      <c r="C717" t="s">
        <v>574</v>
      </c>
      <c r="D717" t="s">
        <v>575</v>
      </c>
      <c r="E717" s="2">
        <v>135.47900000000001</v>
      </c>
      <c r="F717" s="2">
        <v>12.507</v>
      </c>
      <c r="G717" s="2">
        <v>17.5036666666666</v>
      </c>
      <c r="H717" s="2">
        <v>-17.502666666666599</v>
      </c>
      <c r="I717" s="1">
        <v>0.84143668022350304</v>
      </c>
      <c r="J717" s="1">
        <v>0.84141453657024301</v>
      </c>
      <c r="K717" s="1">
        <v>0.70775890349836501</v>
      </c>
      <c r="L717" s="1">
        <v>0.52125075851567304</v>
      </c>
      <c r="P717" s="1">
        <f>I717-'Passo 2'!I717</f>
        <v>7.4764354623226059E-2</v>
      </c>
      <c r="Q717" s="1">
        <f>J717-'Passo 2'!J717</f>
        <v>8.0606588474967045E-2</v>
      </c>
      <c r="R717" s="8">
        <f t="shared" si="45"/>
        <v>113.99699999999999</v>
      </c>
      <c r="S717" s="8">
        <f t="shared" si="44"/>
        <v>113.99399999999996</v>
      </c>
      <c r="T717" s="1">
        <f t="shared" si="46"/>
        <v>95.886468487054998</v>
      </c>
      <c r="U717" s="1">
        <f t="shared" si="47"/>
        <v>70.61853151294487</v>
      </c>
    </row>
    <row r="718" spans="1:21" x14ac:dyDescent="0.3">
      <c r="A718" t="s">
        <v>359</v>
      </c>
      <c r="B718" t="s">
        <v>546</v>
      </c>
      <c r="C718" t="s">
        <v>574</v>
      </c>
      <c r="D718" t="s">
        <v>575</v>
      </c>
      <c r="E718" s="2">
        <v>73.096999999999994</v>
      </c>
      <c r="F718" s="2">
        <v>0</v>
      </c>
      <c r="G718" s="2">
        <v>10.293666666666599</v>
      </c>
      <c r="H718" s="2">
        <v>-11.963333333333299</v>
      </c>
      <c r="I718" s="1">
        <v>0.92246603827790397</v>
      </c>
      <c r="J718" s="1">
        <v>0.99099142235659399</v>
      </c>
      <c r="K718" s="1">
        <v>0.78952238667568697</v>
      </c>
      <c r="L718" s="1">
        <v>0.62393507395881198</v>
      </c>
      <c r="P718" s="1">
        <f>I718-'Passo 2'!I718</f>
        <v>1.0150895385583003E-2</v>
      </c>
      <c r="Q718" s="1">
        <f>J718-'Passo 2'!J718</f>
        <v>7.8566835848255967E-2</v>
      </c>
      <c r="R718" s="8">
        <f t="shared" si="45"/>
        <v>67.429499999999948</v>
      </c>
      <c r="S718" s="8">
        <f t="shared" si="44"/>
        <v>72.438499999999948</v>
      </c>
      <c r="T718" s="1">
        <f t="shared" si="46"/>
        <v>57.711717898832688</v>
      </c>
      <c r="U718" s="1">
        <f t="shared" si="47"/>
        <v>45.607782101167274</v>
      </c>
    </row>
    <row r="719" spans="1:21" x14ac:dyDescent="0.3">
      <c r="A719" t="s">
        <v>359</v>
      </c>
      <c r="B719" t="s">
        <v>547</v>
      </c>
      <c r="C719" t="s">
        <v>574</v>
      </c>
      <c r="D719" t="s">
        <v>575</v>
      </c>
      <c r="E719" s="2">
        <v>56.171999999999997</v>
      </c>
      <c r="F719" s="2">
        <v>0</v>
      </c>
      <c r="G719" s="2">
        <v>9.19366666666666</v>
      </c>
      <c r="H719" s="2">
        <v>-9.2050000000000001</v>
      </c>
      <c r="I719" s="1">
        <v>0.99100975575019501</v>
      </c>
      <c r="J719" s="1">
        <v>0.99161503952146901</v>
      </c>
      <c r="K719" s="1">
        <v>0.66996562741759202</v>
      </c>
      <c r="L719" s="1">
        <v>0.81265916785407299</v>
      </c>
      <c r="P719" s="1">
        <f>I719-'Passo 2'!I719</f>
        <v>1.62002421135099E-3</v>
      </c>
      <c r="Q719" s="1">
        <f>J719-'Passo 2'!J719</f>
        <v>-8.9012319309800247E-6</v>
      </c>
      <c r="R719" s="8">
        <f t="shared" si="45"/>
        <v>55.666999999999952</v>
      </c>
      <c r="S719" s="8">
        <f t="shared" si="44"/>
        <v>55.700999999999958</v>
      </c>
      <c r="T719" s="1">
        <f t="shared" si="46"/>
        <v>37.633309223300976</v>
      </c>
      <c r="U719" s="1">
        <f t="shared" si="47"/>
        <v>45.648690776698984</v>
      </c>
    </row>
    <row r="720" spans="1:21" x14ac:dyDescent="0.3">
      <c r="A720" t="s">
        <v>359</v>
      </c>
      <c r="B720" t="s">
        <v>548</v>
      </c>
      <c r="C720" t="s">
        <v>574</v>
      </c>
      <c r="D720" t="s">
        <v>575</v>
      </c>
      <c r="E720" s="2">
        <v>350</v>
      </c>
      <c r="F720" s="2">
        <v>0.128</v>
      </c>
      <c r="G720" s="2">
        <v>41.803666666666601</v>
      </c>
      <c r="H720" s="2">
        <v>-37.627999999999901</v>
      </c>
      <c r="I720" s="1">
        <v>0.85813428571428496</v>
      </c>
      <c r="J720" s="1">
        <v>0.82234285714285704</v>
      </c>
      <c r="K720" s="1">
        <v>0.64056368515950002</v>
      </c>
      <c r="L720" s="1">
        <v>0.54009631484049903</v>
      </c>
      <c r="P720" s="1">
        <f>I720-'Passo 2'!I720</f>
        <v>9.5357142857139809E-3</v>
      </c>
      <c r="Q720" s="1">
        <f>J720-'Passo 2'!J720</f>
        <v>5.7328571428570951E-3</v>
      </c>
      <c r="R720" s="8">
        <f t="shared" si="45"/>
        <v>300.34699999999975</v>
      </c>
      <c r="S720" s="8">
        <f t="shared" si="44"/>
        <v>287.81999999999994</v>
      </c>
      <c r="T720" s="1">
        <f t="shared" si="46"/>
        <v>224.19728980582499</v>
      </c>
      <c r="U720" s="1">
        <f t="shared" si="47"/>
        <v>189.03371019417466</v>
      </c>
    </row>
    <row r="721" spans="1:21" x14ac:dyDescent="0.3">
      <c r="A721" t="s">
        <v>359</v>
      </c>
      <c r="B721" t="s">
        <v>549</v>
      </c>
      <c r="C721" t="s">
        <v>574</v>
      </c>
      <c r="D721" t="s">
        <v>575</v>
      </c>
      <c r="E721" s="2">
        <v>0</v>
      </c>
      <c r="F721" s="2">
        <v>0</v>
      </c>
      <c r="G721" s="2">
        <v>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P721" s="1">
        <f>I721-'Passo 2'!I721</f>
        <v>0</v>
      </c>
      <c r="Q721" s="1">
        <f>J721-'Passo 2'!J721</f>
        <v>0</v>
      </c>
      <c r="R721" s="8">
        <f t="shared" si="45"/>
        <v>0</v>
      </c>
      <c r="S721" s="8">
        <f t="shared" si="44"/>
        <v>0</v>
      </c>
      <c r="T721" s="1">
        <f t="shared" si="46"/>
        <v>0</v>
      </c>
      <c r="U721" s="1">
        <f t="shared" si="47"/>
        <v>0</v>
      </c>
    </row>
    <row r="722" spans="1:21" x14ac:dyDescent="0.3">
      <c r="A722" t="s">
        <v>359</v>
      </c>
      <c r="B722" t="s">
        <v>550</v>
      </c>
      <c r="C722" t="s">
        <v>574</v>
      </c>
      <c r="D722" t="s">
        <v>575</v>
      </c>
      <c r="E722" s="2">
        <v>116.00700000000001</v>
      </c>
      <c r="F722" s="2">
        <v>0</v>
      </c>
      <c r="G722" s="2">
        <v>15.016500000000001</v>
      </c>
      <c r="H722" s="2">
        <v>-17.663333333333298</v>
      </c>
      <c r="I722" s="1">
        <v>0.88833432465282203</v>
      </c>
      <c r="J722" s="1">
        <v>0.95678278034946096</v>
      </c>
      <c r="K722" s="1">
        <v>0.65148083178386396</v>
      </c>
      <c r="L722" s="1">
        <v>0.69363627321841903</v>
      </c>
      <c r="P722" s="1">
        <f>I722-'Passo 2'!I722</f>
        <v>8.6201694720067223E-6</v>
      </c>
      <c r="Q722" s="1">
        <f>J722-'Passo 2'!J722</f>
        <v>3.4868585516389938E-3</v>
      </c>
      <c r="R722" s="8">
        <f t="shared" si="45"/>
        <v>103.05299999999993</v>
      </c>
      <c r="S722" s="8">
        <f t="shared" si="44"/>
        <v>110.99349999999993</v>
      </c>
      <c r="T722" s="1">
        <f t="shared" si="46"/>
        <v>75.576336852750714</v>
      </c>
      <c r="U722" s="1">
        <f t="shared" si="47"/>
        <v>80.466663147249136</v>
      </c>
    </row>
    <row r="723" spans="1:21" x14ac:dyDescent="0.3">
      <c r="A723" t="s">
        <v>359</v>
      </c>
      <c r="B723" t="s">
        <v>775</v>
      </c>
      <c r="C723" t="s">
        <v>574</v>
      </c>
      <c r="D723" t="s">
        <v>575</v>
      </c>
      <c r="E723" s="2">
        <v>46.021999999999998</v>
      </c>
      <c r="F723" s="2">
        <v>0</v>
      </c>
      <c r="G723" s="2">
        <v>7.5359999999999996</v>
      </c>
      <c r="H723" s="2">
        <v>-7.5483333333333302</v>
      </c>
      <c r="I723" s="1">
        <v>0.99124331841293301</v>
      </c>
      <c r="J723" s="1">
        <v>0.99204728173482204</v>
      </c>
      <c r="K723" s="1">
        <v>0.75799713911975897</v>
      </c>
      <c r="L723" s="1">
        <v>0.72529346102799497</v>
      </c>
      <c r="P723" s="1">
        <f>I723-'Passo 2'!I723</f>
        <v>5.1062535309198687E-4</v>
      </c>
      <c r="Q723" s="1">
        <f>J723-'Passo 2'!J723</f>
        <v>5.5299639302940351E-3</v>
      </c>
      <c r="R723" s="8">
        <f t="shared" si="45"/>
        <v>45.619</v>
      </c>
      <c r="S723" s="8">
        <f t="shared" si="44"/>
        <v>45.655999999999977</v>
      </c>
      <c r="T723" s="1">
        <f t="shared" si="46"/>
        <v>34.884544336569547</v>
      </c>
      <c r="U723" s="1">
        <f t="shared" si="47"/>
        <v>33.379455663430385</v>
      </c>
    </row>
    <row r="724" spans="1:21" x14ac:dyDescent="0.3">
      <c r="A724" t="s">
        <v>359</v>
      </c>
      <c r="B724" t="s">
        <v>551</v>
      </c>
      <c r="C724" t="s">
        <v>574</v>
      </c>
      <c r="D724" t="s">
        <v>575</v>
      </c>
      <c r="E724" s="2">
        <v>100.131</v>
      </c>
      <c r="F724" s="2">
        <v>0</v>
      </c>
      <c r="G724" s="2">
        <v>13.374666666666601</v>
      </c>
      <c r="H724" s="2">
        <v>-13.233333333333301</v>
      </c>
      <c r="I724" s="1">
        <v>0.90071506326712003</v>
      </c>
      <c r="J724" s="1">
        <v>0.89648061040037497</v>
      </c>
      <c r="K724" s="1">
        <v>0.65346276798106395</v>
      </c>
      <c r="L724" s="1">
        <v>0.64373290568643005</v>
      </c>
      <c r="P724" s="1">
        <f>I724-'Passo 2'!I724</f>
        <v>3.2657219043060737E-3</v>
      </c>
      <c r="Q724" s="1">
        <f>J724-'Passo 2'!J724</f>
        <v>1.2159071616183015E-2</v>
      </c>
      <c r="R724" s="8">
        <f t="shared" si="45"/>
        <v>90.189499999999995</v>
      </c>
      <c r="S724" s="8">
        <f t="shared" si="44"/>
        <v>89.765499999999946</v>
      </c>
      <c r="T724" s="1">
        <f t="shared" si="46"/>
        <v>65.43188042071192</v>
      </c>
      <c r="U724" s="1">
        <f t="shared" si="47"/>
        <v>64.457619579287922</v>
      </c>
    </row>
    <row r="725" spans="1:21" x14ac:dyDescent="0.3">
      <c r="A725" t="s">
        <v>359</v>
      </c>
      <c r="B725" t="s">
        <v>552</v>
      </c>
      <c r="C725" t="s">
        <v>574</v>
      </c>
      <c r="D725" t="s">
        <v>575</v>
      </c>
      <c r="E725" s="2">
        <v>70.424000000000007</v>
      </c>
      <c r="F725" s="2">
        <v>0</v>
      </c>
      <c r="G725" s="2">
        <v>9.3209999999999997</v>
      </c>
      <c r="H725" s="2">
        <v>-9.1319999999999997</v>
      </c>
      <c r="I725" s="1">
        <v>0.89706634102010596</v>
      </c>
      <c r="J725" s="1">
        <v>0.88901510848574306</v>
      </c>
      <c r="K725" s="1">
        <v>0.64755964117208498</v>
      </c>
      <c r="L725" s="1">
        <v>0.63852180833376504</v>
      </c>
      <c r="P725" s="1">
        <f>I725-'Passo 2'!I725</f>
        <v>1.0479382028853013E-2</v>
      </c>
      <c r="Q725" s="1">
        <f>J725-'Passo 2'!J725</f>
        <v>-1.160115869589895E-2</v>
      </c>
      <c r="R725" s="8">
        <f t="shared" si="45"/>
        <v>63.174999999999947</v>
      </c>
      <c r="S725" s="8">
        <f t="shared" si="44"/>
        <v>62.607999999999976</v>
      </c>
      <c r="T725" s="1">
        <f t="shared" si="46"/>
        <v>45.603740169902913</v>
      </c>
      <c r="U725" s="1">
        <f t="shared" si="47"/>
        <v>44.967259830097071</v>
      </c>
    </row>
    <row r="726" spans="1:21" x14ac:dyDescent="0.3">
      <c r="A726" t="s">
        <v>359</v>
      </c>
      <c r="B726" t="s">
        <v>553</v>
      </c>
      <c r="C726" t="s">
        <v>574</v>
      </c>
      <c r="D726" t="s">
        <v>575</v>
      </c>
      <c r="E726" s="2">
        <v>91.843999999999994</v>
      </c>
      <c r="F726" s="2">
        <v>0</v>
      </c>
      <c r="G726" s="2">
        <v>9.7959999999999994</v>
      </c>
      <c r="H726" s="2">
        <v>-15.1105</v>
      </c>
      <c r="I726" s="1">
        <v>0.81997735290274798</v>
      </c>
      <c r="J726" s="1">
        <v>0.99357061974652605</v>
      </c>
      <c r="K726" s="1">
        <v>0.55444755531364598</v>
      </c>
      <c r="L726" s="1">
        <v>0.75910041733562805</v>
      </c>
      <c r="P726" s="1">
        <f>I726-'Passo 2'!I726</f>
        <v>1.8128565829019783E-3</v>
      </c>
      <c r="Q726" s="1">
        <f>J726-'Passo 2'!J726</f>
        <v>9.2548233962097548E-5</v>
      </c>
      <c r="R726" s="8">
        <f t="shared" si="45"/>
        <v>75.309999999999974</v>
      </c>
      <c r="S726" s="8">
        <f t="shared" si="44"/>
        <v>91.253499999999931</v>
      </c>
      <c r="T726" s="1">
        <f t="shared" si="46"/>
        <v>50.922681270226498</v>
      </c>
      <c r="U726" s="1">
        <f t="shared" si="47"/>
        <v>69.718818729773417</v>
      </c>
    </row>
    <row r="727" spans="1:21" x14ac:dyDescent="0.3">
      <c r="A727" t="s">
        <v>359</v>
      </c>
      <c r="B727" t="s">
        <v>554</v>
      </c>
      <c r="C727" t="s">
        <v>574</v>
      </c>
      <c r="D727" t="s">
        <v>575</v>
      </c>
      <c r="E727" s="2">
        <v>212.29499999999999</v>
      </c>
      <c r="F727" s="2">
        <v>1.1299999999999999</v>
      </c>
      <c r="G727" s="2">
        <v>33.0728333333333</v>
      </c>
      <c r="H727" s="2">
        <v>-28.030166666666599</v>
      </c>
      <c r="I727" s="1">
        <v>0.96470006359075799</v>
      </c>
      <c r="J727" s="1">
        <v>0.89344073105819699</v>
      </c>
      <c r="K727" s="1">
        <v>0.74835235434816205</v>
      </c>
      <c r="L727" s="1">
        <v>0.61244983128974695</v>
      </c>
      <c r="P727" s="1">
        <f>I727-'Passo 2'!I727</f>
        <v>4.0613297534092041E-2</v>
      </c>
      <c r="Q727" s="1">
        <f>J727-'Passo 2'!J727</f>
        <v>1.5386608257378032E-2</v>
      </c>
      <c r="R727" s="8">
        <f t="shared" si="45"/>
        <v>204.80099999999996</v>
      </c>
      <c r="S727" s="8">
        <f t="shared" si="44"/>
        <v>189.67299999999992</v>
      </c>
      <c r="T727" s="1">
        <f t="shared" si="46"/>
        <v>158.87146306634304</v>
      </c>
      <c r="U727" s="1">
        <f t="shared" si="47"/>
        <v>130.02003693365683</v>
      </c>
    </row>
    <row r="728" spans="1:21" x14ac:dyDescent="0.3">
      <c r="A728" t="s">
        <v>359</v>
      </c>
      <c r="B728" t="s">
        <v>555</v>
      </c>
      <c r="C728" t="s">
        <v>574</v>
      </c>
      <c r="D728" t="s">
        <v>575</v>
      </c>
      <c r="E728" s="2">
        <v>47.223999999999997</v>
      </c>
      <c r="F728" s="2">
        <v>0</v>
      </c>
      <c r="G728" s="2">
        <v>5.5268333333333297</v>
      </c>
      <c r="H728" s="2">
        <v>-6.31066666666666</v>
      </c>
      <c r="I728" s="1">
        <v>0.851103252583432</v>
      </c>
      <c r="J728" s="1">
        <v>0.90089784855158395</v>
      </c>
      <c r="K728" s="1">
        <v>0.60317688468290198</v>
      </c>
      <c r="L728" s="1">
        <v>0.64882421645211397</v>
      </c>
      <c r="P728" s="1">
        <f>I728-'Passo 2'!I728</f>
        <v>2.096391665254993E-3</v>
      </c>
      <c r="Q728" s="1">
        <f>J728-'Passo 2'!J728</f>
        <v>3.2419955954599899E-2</v>
      </c>
      <c r="R728" s="8">
        <f t="shared" si="45"/>
        <v>40.192499999999988</v>
      </c>
      <c r="S728" s="8">
        <f t="shared" si="44"/>
        <v>42.543999999999997</v>
      </c>
      <c r="T728" s="1">
        <f t="shared" si="46"/>
        <v>28.48442520226536</v>
      </c>
      <c r="U728" s="1">
        <f t="shared" si="47"/>
        <v>30.640074797734627</v>
      </c>
    </row>
    <row r="729" spans="1:21" x14ac:dyDescent="0.3">
      <c r="A729" t="s">
        <v>359</v>
      </c>
      <c r="B729" t="s">
        <v>556</v>
      </c>
      <c r="C729" t="s">
        <v>574</v>
      </c>
      <c r="D729" t="s">
        <v>575</v>
      </c>
      <c r="E729" s="2">
        <v>62.033000000000001</v>
      </c>
      <c r="F729" s="2">
        <v>0</v>
      </c>
      <c r="G729" s="2">
        <v>9.9416666666666593</v>
      </c>
      <c r="H729" s="2">
        <v>-9.8833333333333293</v>
      </c>
      <c r="I729" s="1">
        <v>0.98079248142117803</v>
      </c>
      <c r="J729" s="1">
        <v>0.97797140231812096</v>
      </c>
      <c r="K729" s="1">
        <v>0.85268487628231204</v>
      </c>
      <c r="L729" s="1">
        <v>0.60607900745698695</v>
      </c>
      <c r="P729" s="1">
        <f>I729-'Passo 2'!I729</f>
        <v>2.5397772153531006E-2</v>
      </c>
      <c r="Q729" s="1">
        <f>J729-'Passo 2'!J729</f>
        <v>2.7807779730150139E-3</v>
      </c>
      <c r="R729" s="8">
        <f t="shared" si="45"/>
        <v>60.84149999999994</v>
      </c>
      <c r="S729" s="8">
        <f t="shared" si="44"/>
        <v>60.666499999999999</v>
      </c>
      <c r="T729" s="1">
        <f t="shared" si="46"/>
        <v>52.894600930420665</v>
      </c>
      <c r="U729" s="1">
        <f t="shared" si="47"/>
        <v>37.596899069579273</v>
      </c>
    </row>
    <row r="730" spans="1:21" x14ac:dyDescent="0.3">
      <c r="A730" t="s">
        <v>359</v>
      </c>
      <c r="B730" t="s">
        <v>557</v>
      </c>
      <c r="C730" t="s">
        <v>576</v>
      </c>
      <c r="D730" t="s">
        <v>577</v>
      </c>
      <c r="E730" s="2">
        <v>502.26799999999997</v>
      </c>
      <c r="F730" s="2">
        <v>0</v>
      </c>
      <c r="G730" s="2">
        <v>68.439833333333297</v>
      </c>
      <c r="H730" s="2">
        <v>-71.138999999999996</v>
      </c>
      <c r="I730" s="1">
        <v>0.90878475236328005</v>
      </c>
      <c r="J730" s="1">
        <v>0.92490662355555198</v>
      </c>
      <c r="K730" s="1">
        <v>0.86802041707423505</v>
      </c>
      <c r="L730" s="1">
        <v>0.46567095884459597</v>
      </c>
      <c r="P730" s="1">
        <f>I730-'Passo 2'!I730</f>
        <v>0.11914555575907704</v>
      </c>
      <c r="Q730" s="1">
        <f>J730-'Passo 2'!J730</f>
        <v>5.9938120684579488E-3</v>
      </c>
      <c r="R730" s="8">
        <f t="shared" si="45"/>
        <v>456.45349999999991</v>
      </c>
      <c r="S730" s="8">
        <f t="shared" si="44"/>
        <v>464.55099999999993</v>
      </c>
      <c r="T730" s="1">
        <f t="shared" si="46"/>
        <v>435.97887884304185</v>
      </c>
      <c r="U730" s="1">
        <f t="shared" si="47"/>
        <v>233.89162115695751</v>
      </c>
    </row>
    <row r="731" spans="1:21" x14ac:dyDescent="0.3">
      <c r="A731" t="s">
        <v>359</v>
      </c>
      <c r="B731" t="s">
        <v>558</v>
      </c>
      <c r="C731" t="s">
        <v>576</v>
      </c>
      <c r="D731" t="s">
        <v>14</v>
      </c>
      <c r="E731" s="2">
        <v>58.851999999999997</v>
      </c>
      <c r="F731" s="2">
        <v>0</v>
      </c>
      <c r="G731" s="2">
        <v>7.5438333333333301</v>
      </c>
      <c r="H731" s="2">
        <v>-8.2478333333333307</v>
      </c>
      <c r="I731" s="1">
        <v>0.88454937810099898</v>
      </c>
      <c r="J731" s="1">
        <v>0.920436008971657</v>
      </c>
      <c r="K731" s="1">
        <v>0.70755226363095602</v>
      </c>
      <c r="L731" s="1">
        <v>0.59743312344169996</v>
      </c>
      <c r="P731" s="1">
        <f>I731-'Passo 2'!I731</f>
        <v>5.6735539998641005E-2</v>
      </c>
      <c r="Q731" s="1">
        <f>J731-'Passo 2'!J731</f>
        <v>6.2453272616053046E-2</v>
      </c>
      <c r="R731" s="8">
        <f t="shared" si="45"/>
        <v>52.05749999999999</v>
      </c>
      <c r="S731" s="8">
        <f t="shared" si="44"/>
        <v>54.169499999999957</v>
      </c>
      <c r="T731" s="1">
        <f t="shared" si="46"/>
        <v>41.640865819209019</v>
      </c>
      <c r="U731" s="1">
        <f t="shared" si="47"/>
        <v>35.160134180790926</v>
      </c>
    </row>
    <row r="732" spans="1:21" x14ac:dyDescent="0.3">
      <c r="A732" t="s">
        <v>359</v>
      </c>
      <c r="B732" t="s">
        <v>776</v>
      </c>
      <c r="C732" t="s">
        <v>576</v>
      </c>
      <c r="D732" t="s">
        <v>14</v>
      </c>
      <c r="E732" s="2">
        <v>41.709000000000003</v>
      </c>
      <c r="F732" s="2">
        <v>0</v>
      </c>
      <c r="G732" s="2">
        <v>6.8711666666666602</v>
      </c>
      <c r="H732" s="2">
        <v>-6.8688333333333302</v>
      </c>
      <c r="I732" s="1">
        <v>0.99422187057949096</v>
      </c>
      <c r="J732" s="1">
        <v>0.994054041094248</v>
      </c>
      <c r="K732" s="1">
        <v>0.75219061220207994</v>
      </c>
      <c r="L732" s="1">
        <v>0.73608529947165902</v>
      </c>
      <c r="P732" s="1">
        <f>I732-'Passo 2'!I732</f>
        <v>4.231700592199017E-3</v>
      </c>
      <c r="Q732" s="1">
        <f>J732-'Passo 2'!J732</f>
        <v>1.5584166486903861E-4</v>
      </c>
      <c r="R732" s="8">
        <f t="shared" si="45"/>
        <v>41.467999999999989</v>
      </c>
      <c r="S732" s="8">
        <f t="shared" si="44"/>
        <v>41.460999999999991</v>
      </c>
      <c r="T732" s="1">
        <f t="shared" si="46"/>
        <v>31.373118244336556</v>
      </c>
      <c r="U732" s="1">
        <f t="shared" si="47"/>
        <v>30.701381755663427</v>
      </c>
    </row>
    <row r="733" spans="1:21" x14ac:dyDescent="0.3">
      <c r="A733" t="s">
        <v>359</v>
      </c>
      <c r="B733" t="s">
        <v>777</v>
      </c>
      <c r="C733" t="s">
        <v>574</v>
      </c>
      <c r="D733" t="s">
        <v>575</v>
      </c>
      <c r="E733" s="2">
        <v>3484.3939999999998</v>
      </c>
      <c r="F733" s="2">
        <v>0.53900000000000003</v>
      </c>
      <c r="G733" s="2">
        <v>469.87883333333298</v>
      </c>
      <c r="H733" s="2">
        <v>-446.59116666666603</v>
      </c>
      <c r="I733" s="1">
        <v>0.90447980337470402</v>
      </c>
      <c r="J733" s="1">
        <v>0.88442954499405002</v>
      </c>
      <c r="K733" s="1">
        <v>0.61712656194576898</v>
      </c>
      <c r="L733" s="1">
        <v>0.67186013129271005</v>
      </c>
      <c r="P733" s="1">
        <f>I733-'Passo 2'!I733</f>
        <v>0.14847244599778298</v>
      </c>
      <c r="Q733" s="1">
        <f>J733-'Passo 2'!J733</f>
        <v>0.16785845687944601</v>
      </c>
      <c r="R733" s="8">
        <f t="shared" si="45"/>
        <v>3151.563999999998</v>
      </c>
      <c r="S733" s="8">
        <f t="shared" si="44"/>
        <v>3081.7009999999977</v>
      </c>
      <c r="T733" s="1">
        <f t="shared" si="46"/>
        <v>2150.3120896844657</v>
      </c>
      <c r="U733" s="1">
        <f t="shared" si="47"/>
        <v>2341.0254103155312</v>
      </c>
    </row>
    <row r="734" spans="1:21" x14ac:dyDescent="0.3">
      <c r="A734" t="s">
        <v>359</v>
      </c>
      <c r="B734" t="s">
        <v>778</v>
      </c>
      <c r="C734" t="s">
        <v>576</v>
      </c>
      <c r="D734" t="s">
        <v>577</v>
      </c>
      <c r="E734" s="2">
        <v>368.75</v>
      </c>
      <c r="F734" s="2">
        <v>0</v>
      </c>
      <c r="G734" s="2">
        <v>61.4583333333333</v>
      </c>
      <c r="H734" s="2">
        <v>-61.4583333333333</v>
      </c>
      <c r="I734" s="1">
        <v>1</v>
      </c>
      <c r="J734" s="1">
        <v>1</v>
      </c>
      <c r="K734" s="1">
        <v>0.97552606691898403</v>
      </c>
      <c r="L734" s="1">
        <v>0.52447393308101498</v>
      </c>
      <c r="P734" s="1">
        <f>I734-'Passo 2'!I734</f>
        <v>2.7731525423729031E-2</v>
      </c>
      <c r="Q734" s="1">
        <f>J734-'Passo 2'!J734</f>
        <v>1.6271186440679486E-3</v>
      </c>
      <c r="R734" s="8">
        <f t="shared" si="45"/>
        <v>368.75</v>
      </c>
      <c r="S734" s="8">
        <f t="shared" si="44"/>
        <v>368.75</v>
      </c>
      <c r="T734" s="1">
        <f t="shared" si="46"/>
        <v>359.72523717637534</v>
      </c>
      <c r="U734" s="1">
        <f t="shared" si="47"/>
        <v>193.39976282362429</v>
      </c>
    </row>
    <row r="735" spans="1:21" x14ac:dyDescent="0.3">
      <c r="A735" t="s">
        <v>359</v>
      </c>
      <c r="B735" t="s">
        <v>559</v>
      </c>
      <c r="C735" t="s">
        <v>574</v>
      </c>
      <c r="D735" t="s">
        <v>575</v>
      </c>
      <c r="E735" s="2">
        <v>1165.433</v>
      </c>
      <c r="F735" s="2">
        <v>0</v>
      </c>
      <c r="G735" s="2">
        <v>190.10049999999899</v>
      </c>
      <c r="H735" s="2">
        <v>-139.84016666666599</v>
      </c>
      <c r="I735" s="1">
        <v>0.98934730696659501</v>
      </c>
      <c r="J735" s="1">
        <v>0.85996964218449201</v>
      </c>
      <c r="K735" s="1">
        <v>0.72471934466253296</v>
      </c>
      <c r="L735" s="1">
        <v>0.62459760448855395</v>
      </c>
      <c r="P735" s="1">
        <f>I735-'Passo 2'!I735</f>
        <v>0.13501805766612096</v>
      </c>
      <c r="Q735" s="1">
        <f>J735-'Passo 2'!J735</f>
        <v>3.7385246513520487E-3</v>
      </c>
      <c r="R735" s="8">
        <f t="shared" si="45"/>
        <v>1153.0179999999998</v>
      </c>
      <c r="S735" s="8">
        <f t="shared" si="44"/>
        <v>1002.2369999999991</v>
      </c>
      <c r="T735" s="1">
        <f t="shared" si="46"/>
        <v>844.61184000808976</v>
      </c>
      <c r="U735" s="1">
        <f t="shared" si="47"/>
        <v>727.92665999190888</v>
      </c>
    </row>
    <row r="736" spans="1:21" x14ac:dyDescent="0.3">
      <c r="A736" t="s">
        <v>359</v>
      </c>
      <c r="B736" t="s">
        <v>779</v>
      </c>
      <c r="C736" t="s">
        <v>574</v>
      </c>
      <c r="D736" t="s">
        <v>575</v>
      </c>
      <c r="E736" s="2">
        <v>197.47</v>
      </c>
      <c r="F736" s="2">
        <v>0.39</v>
      </c>
      <c r="G736" s="2">
        <v>22.771833333333301</v>
      </c>
      <c r="H736" s="2">
        <v>-22.768666666666601</v>
      </c>
      <c r="I736" s="1">
        <v>0.84496632399858196</v>
      </c>
      <c r="J736" s="1">
        <v>0.84491821542512702</v>
      </c>
      <c r="K736" s="1">
        <v>0.68898525674212396</v>
      </c>
      <c r="L736" s="1">
        <v>0.50188677445248697</v>
      </c>
      <c r="P736" s="1">
        <f>I736-'Passo 2'!I736</f>
        <v>-5.0893806654106477E-4</v>
      </c>
      <c r="Q736" s="1">
        <f>J736-'Passo 2'!J736</f>
        <v>1.9116827872580622E-3</v>
      </c>
      <c r="R736" s="8">
        <f t="shared" si="45"/>
        <v>166.85549999999998</v>
      </c>
      <c r="S736" s="8">
        <f t="shared" si="44"/>
        <v>166.84599999999983</v>
      </c>
      <c r="T736" s="1">
        <f t="shared" si="46"/>
        <v>136.05391864886721</v>
      </c>
      <c r="U736" s="1">
        <f t="shared" si="47"/>
        <v>99.107581351132609</v>
      </c>
    </row>
    <row r="737" spans="1:21" x14ac:dyDescent="0.3">
      <c r="A737" t="s">
        <v>359</v>
      </c>
      <c r="B737" t="s">
        <v>780</v>
      </c>
      <c r="C737" t="s">
        <v>574</v>
      </c>
      <c r="D737" t="s">
        <v>575</v>
      </c>
      <c r="E737" s="2">
        <v>307.21899999999999</v>
      </c>
      <c r="F737" s="2">
        <v>0</v>
      </c>
      <c r="G737" s="2">
        <v>51.062166666666599</v>
      </c>
      <c r="H737" s="2">
        <v>-51.021000000000001</v>
      </c>
      <c r="I737" s="1">
        <v>0.99862313203284903</v>
      </c>
      <c r="J737" s="1">
        <v>0.99822113866655304</v>
      </c>
      <c r="K737" s="1">
        <v>0.79611007542546397</v>
      </c>
      <c r="L737" s="1">
        <v>0.70073419527393799</v>
      </c>
      <c r="P737" s="1">
        <f>I737-'Passo 2'!I737</f>
        <v>2.2801324136850765E-3</v>
      </c>
      <c r="Q737" s="1">
        <f>J737-'Passo 2'!J737</f>
        <v>7.307490747640033E-4</v>
      </c>
      <c r="R737" s="8">
        <f t="shared" si="45"/>
        <v>306.79599999999982</v>
      </c>
      <c r="S737" s="8">
        <f t="shared" si="44"/>
        <v>306.67249999999973</v>
      </c>
      <c r="T737" s="1">
        <f t="shared" si="46"/>
        <v>244.58014126213561</v>
      </c>
      <c r="U737" s="1">
        <f t="shared" si="47"/>
        <v>215.27885873786394</v>
      </c>
    </row>
    <row r="738" spans="1:21" x14ac:dyDescent="0.3">
      <c r="A738" t="s">
        <v>359</v>
      </c>
      <c r="B738" t="s">
        <v>560</v>
      </c>
      <c r="C738" t="s">
        <v>574</v>
      </c>
      <c r="D738" t="s">
        <v>575</v>
      </c>
      <c r="E738" s="2">
        <v>377.63200000000001</v>
      </c>
      <c r="F738" s="2">
        <v>0</v>
      </c>
      <c r="G738" s="2">
        <v>47.868000000000002</v>
      </c>
      <c r="H738" s="2">
        <v>-47.969166666666602</v>
      </c>
      <c r="I738" s="1">
        <v>0.88027497669689003</v>
      </c>
      <c r="J738" s="1">
        <v>0.88107866918057698</v>
      </c>
      <c r="K738" s="1">
        <v>0.65263922181290301</v>
      </c>
      <c r="L738" s="1">
        <v>0.608714424064564</v>
      </c>
      <c r="P738" s="1">
        <f>I738-'Passo 2'!I738</f>
        <v>9.5092576900270842E-3</v>
      </c>
      <c r="Q738" s="1">
        <f>J738-'Passo 2'!J738</f>
        <v>1.5120540632139745E-3</v>
      </c>
      <c r="R738" s="8">
        <f t="shared" si="45"/>
        <v>332.41999999999996</v>
      </c>
      <c r="S738" s="8">
        <f t="shared" si="44"/>
        <v>332.72349999999966</v>
      </c>
      <c r="T738" s="1">
        <f t="shared" si="46"/>
        <v>246.45745461165021</v>
      </c>
      <c r="U738" s="1">
        <f t="shared" si="47"/>
        <v>229.87004538834944</v>
      </c>
    </row>
    <row r="739" spans="1:21" x14ac:dyDescent="0.3">
      <c r="A739" t="s">
        <v>359</v>
      </c>
      <c r="B739" t="s">
        <v>561</v>
      </c>
      <c r="C739" t="s">
        <v>574</v>
      </c>
      <c r="D739" t="s">
        <v>575</v>
      </c>
      <c r="E739" s="2">
        <v>58.387</v>
      </c>
      <c r="F739" s="2">
        <v>0</v>
      </c>
      <c r="G739" s="2">
        <v>8.8326666666666593</v>
      </c>
      <c r="H739" s="2">
        <v>-8.9903333333333304</v>
      </c>
      <c r="I739" s="1">
        <v>0.95383390138215696</v>
      </c>
      <c r="J739" s="1">
        <v>0.96193501978179996</v>
      </c>
      <c r="K739" s="1">
        <v>0.67692415626721802</v>
      </c>
      <c r="L739" s="1">
        <v>0.738844764896738</v>
      </c>
      <c r="P739" s="1">
        <f>I739-'Passo 2'!I739</f>
        <v>-1.1046979635870313E-3</v>
      </c>
      <c r="Q739" s="1">
        <f>J739-'Passo 2'!J739</f>
        <v>-3.5949783342183017E-2</v>
      </c>
      <c r="R739" s="8">
        <f t="shared" si="45"/>
        <v>55.691499999999998</v>
      </c>
      <c r="S739" s="8">
        <f t="shared" si="44"/>
        <v>56.164499999999954</v>
      </c>
      <c r="T739" s="1">
        <f t="shared" si="46"/>
        <v>39.52357071197406</v>
      </c>
      <c r="U739" s="1">
        <f t="shared" si="47"/>
        <v>43.138929288025842</v>
      </c>
    </row>
    <row r="740" spans="1:21" x14ac:dyDescent="0.3">
      <c r="A740" t="s">
        <v>359</v>
      </c>
      <c r="B740" t="s">
        <v>781</v>
      </c>
      <c r="C740" t="s">
        <v>574</v>
      </c>
      <c r="D740" t="s">
        <v>575</v>
      </c>
      <c r="E740" s="2">
        <v>40.789000000000001</v>
      </c>
      <c r="F740" s="2">
        <v>0</v>
      </c>
      <c r="G740" s="2">
        <v>4.4166666666666599</v>
      </c>
      <c r="H740" s="2">
        <v>-5.5028333333333297</v>
      </c>
      <c r="I740" s="1">
        <v>0.82484248204172606</v>
      </c>
      <c r="J740" s="1">
        <v>0.90472921621025204</v>
      </c>
      <c r="K740" s="1">
        <v>0.61617284837328001</v>
      </c>
      <c r="L740" s="1">
        <v>0.61339884987869897</v>
      </c>
      <c r="P740" s="1">
        <f>I740-'Passo 2'!I740</f>
        <v>1.2196915835151034E-2</v>
      </c>
      <c r="Q740" s="1">
        <f>J740-'Passo 2'!J740</f>
        <v>7.7864130035057988E-2</v>
      </c>
      <c r="R740" s="8">
        <f t="shared" si="45"/>
        <v>33.644499999999965</v>
      </c>
      <c r="S740" s="8">
        <f t="shared" si="44"/>
        <v>36.90299999999997</v>
      </c>
      <c r="T740" s="1">
        <f t="shared" si="46"/>
        <v>25.133074312297719</v>
      </c>
      <c r="U740" s="1">
        <f t="shared" si="47"/>
        <v>25.019925687702255</v>
      </c>
    </row>
    <row r="741" spans="1:21" x14ac:dyDescent="0.3">
      <c r="A741" t="s">
        <v>359</v>
      </c>
      <c r="B741" t="s">
        <v>782</v>
      </c>
      <c r="C741" t="s">
        <v>574</v>
      </c>
      <c r="D741" t="s">
        <v>575</v>
      </c>
      <c r="E741" s="2">
        <v>72.882999999999996</v>
      </c>
      <c r="F741" s="2">
        <v>3.2000000000000001E-2</v>
      </c>
      <c r="G741" s="2">
        <v>10.5933333333333</v>
      </c>
      <c r="H741" s="2">
        <v>-9.5815000000000001</v>
      </c>
      <c r="I741" s="1">
        <v>0.93582179657807696</v>
      </c>
      <c r="J741" s="1">
        <v>0.89417285237984101</v>
      </c>
      <c r="K741" s="1">
        <v>0.699683632014373</v>
      </c>
      <c r="L741" s="1">
        <v>0.63053054687507903</v>
      </c>
      <c r="P741" s="1">
        <f>I741-'Passo 2'!I741</f>
        <v>2.7715653856179578E-3</v>
      </c>
      <c r="Q741" s="1">
        <f>J741-'Passo 2'!J741</f>
        <v>-3.7827751327469961E-2</v>
      </c>
      <c r="R741" s="8">
        <f t="shared" si="45"/>
        <v>68.205499999999972</v>
      </c>
      <c r="S741" s="8">
        <f t="shared" si="44"/>
        <v>65.169999999999945</v>
      </c>
      <c r="T741" s="1">
        <f t="shared" si="46"/>
        <v>50.995042152103544</v>
      </c>
      <c r="U741" s="1">
        <f t="shared" si="47"/>
        <v>45.954957847896381</v>
      </c>
    </row>
    <row r="742" spans="1:21" x14ac:dyDescent="0.3">
      <c r="A742" t="s">
        <v>359</v>
      </c>
      <c r="B742" t="s">
        <v>783</v>
      </c>
      <c r="C742" t="s">
        <v>574</v>
      </c>
      <c r="D742" t="s">
        <v>575</v>
      </c>
      <c r="E742" s="2">
        <v>46.353000000000002</v>
      </c>
      <c r="F742" s="2">
        <v>0</v>
      </c>
      <c r="G742" s="2">
        <v>7.6153333333333304</v>
      </c>
      <c r="H742" s="2">
        <v>-7.5716666666666601</v>
      </c>
      <c r="I742" s="1">
        <v>0.99286993290617598</v>
      </c>
      <c r="J742" s="1">
        <v>0.99004379436066703</v>
      </c>
      <c r="K742" s="1">
        <v>0.68735353618499695</v>
      </c>
      <c r="L742" s="1">
        <v>0.79556019108184595</v>
      </c>
      <c r="P742" s="1">
        <f>I742-'Passo 2'!I742</f>
        <v>2.7430802752787975E-2</v>
      </c>
      <c r="Q742" s="1">
        <f>J742-'Passo 2'!J742</f>
        <v>4.0342588397740409E-3</v>
      </c>
      <c r="R742" s="8">
        <f t="shared" si="45"/>
        <v>46.02249999999998</v>
      </c>
      <c r="S742" s="8">
        <f t="shared" si="44"/>
        <v>45.891500000000001</v>
      </c>
      <c r="T742" s="1">
        <f t="shared" si="46"/>
        <v>31.860898462783165</v>
      </c>
      <c r="U742" s="1">
        <f t="shared" si="47"/>
        <v>36.876601537216807</v>
      </c>
    </row>
    <row r="743" spans="1:21" x14ac:dyDescent="0.3">
      <c r="A743" t="s">
        <v>359</v>
      </c>
      <c r="B743" t="s">
        <v>784</v>
      </c>
      <c r="C743" t="s">
        <v>576</v>
      </c>
      <c r="D743" t="s">
        <v>14</v>
      </c>
      <c r="E743" s="2">
        <v>0</v>
      </c>
      <c r="F743" s="2">
        <v>0</v>
      </c>
      <c r="G743" s="2">
        <v>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P743" s="1">
        <f>I743-'Passo 2'!I743</f>
        <v>0</v>
      </c>
      <c r="Q743" s="1">
        <f>J743-'Passo 2'!J743</f>
        <v>0</v>
      </c>
      <c r="R743" s="8">
        <f t="shared" si="45"/>
        <v>0</v>
      </c>
      <c r="S743" s="8">
        <f t="shared" si="44"/>
        <v>0</v>
      </c>
      <c r="T743" s="1">
        <f t="shared" si="46"/>
        <v>0</v>
      </c>
      <c r="U743" s="1">
        <f t="shared" si="47"/>
        <v>0</v>
      </c>
    </row>
    <row r="744" spans="1:21" x14ac:dyDescent="0.3">
      <c r="A744" t="s">
        <v>359</v>
      </c>
      <c r="B744" t="s">
        <v>723</v>
      </c>
      <c r="C744" t="s">
        <v>576</v>
      </c>
      <c r="D744" t="s">
        <v>14</v>
      </c>
      <c r="E744" s="2">
        <v>50.994</v>
      </c>
      <c r="F744" s="2">
        <v>0</v>
      </c>
      <c r="G744" s="2">
        <v>8.4154999999999998</v>
      </c>
      <c r="H744" s="2">
        <v>-8.4086666666666599</v>
      </c>
      <c r="I744" s="1">
        <v>0.99508765737145499</v>
      </c>
      <c r="J744" s="1">
        <v>0.99468564929207304</v>
      </c>
      <c r="K744" s="1">
        <v>0.83615464999604405</v>
      </c>
      <c r="L744" s="1">
        <v>0.65361865666748398</v>
      </c>
      <c r="P744" s="1">
        <f>I744-'Passo 2'!I744</f>
        <v>3.3827509118720123E-3</v>
      </c>
      <c r="Q744" s="1">
        <f>J744-'Passo 2'!J744</f>
        <v>2.4218535513980122E-3</v>
      </c>
      <c r="R744" s="8">
        <f t="shared" si="45"/>
        <v>50.743499999999976</v>
      </c>
      <c r="S744" s="8">
        <f t="shared" si="44"/>
        <v>50.722999999999971</v>
      </c>
      <c r="T744" s="1">
        <f t="shared" si="46"/>
        <v>42.638870221898273</v>
      </c>
      <c r="U744" s="1">
        <f t="shared" si="47"/>
        <v>33.330629778101681</v>
      </c>
    </row>
    <row r="745" spans="1:21" x14ac:dyDescent="0.3">
      <c r="A745" t="s">
        <v>359</v>
      </c>
      <c r="B745" t="s">
        <v>785</v>
      </c>
      <c r="C745" t="s">
        <v>576</v>
      </c>
      <c r="D745" t="s">
        <v>14</v>
      </c>
      <c r="E745" s="2">
        <v>71.334000000000003</v>
      </c>
      <c r="F745" s="2">
        <v>0</v>
      </c>
      <c r="G745" s="2">
        <v>6.4829999999999997</v>
      </c>
      <c r="H745" s="2">
        <v>-8.1118333333333297</v>
      </c>
      <c r="I745" s="1">
        <v>0.77264698460762005</v>
      </c>
      <c r="J745" s="1">
        <v>0.84114868085344896</v>
      </c>
      <c r="K745" s="1">
        <v>0.66065735151463501</v>
      </c>
      <c r="L745" s="1">
        <v>0.453138313946435</v>
      </c>
      <c r="P745" s="1">
        <f>I745-'Passo 2'!I745</f>
        <v>5.7896655171449929E-3</v>
      </c>
      <c r="Q745" s="1">
        <f>J745-'Passo 2'!J745</f>
        <v>9.9664956402275906E-2</v>
      </c>
      <c r="R745" s="8">
        <f t="shared" si="45"/>
        <v>55.115999999999971</v>
      </c>
      <c r="S745" s="8">
        <f t="shared" si="44"/>
        <v>60.002499999999934</v>
      </c>
      <c r="T745" s="1">
        <f t="shared" si="46"/>
        <v>47.127331512944977</v>
      </c>
      <c r="U745" s="1">
        <f t="shared" si="47"/>
        <v>32.324168487054997</v>
      </c>
    </row>
    <row r="746" spans="1:21" x14ac:dyDescent="0.3">
      <c r="A746" t="s">
        <v>359</v>
      </c>
      <c r="B746" t="s">
        <v>786</v>
      </c>
      <c r="C746" t="s">
        <v>574</v>
      </c>
      <c r="D746" t="s">
        <v>575</v>
      </c>
      <c r="E746" s="2">
        <v>50.465000000000003</v>
      </c>
      <c r="F746" s="2">
        <v>0</v>
      </c>
      <c r="G746" s="2">
        <v>8.4108333333333292</v>
      </c>
      <c r="H746" s="2">
        <v>-7.4633333333333303</v>
      </c>
      <c r="I746" s="1">
        <v>1</v>
      </c>
      <c r="J746" s="1">
        <v>0.943673833349846</v>
      </c>
      <c r="K746" s="1">
        <v>0.86411657186867596</v>
      </c>
      <c r="L746" s="1">
        <v>0.57955726148117004</v>
      </c>
      <c r="P746" s="1">
        <f>I746-'Passo 2'!I746</f>
        <v>3.8165064896462986E-2</v>
      </c>
      <c r="Q746" s="1">
        <f>J746-'Passo 2'!J746</f>
        <v>1.5238283959180032E-2</v>
      </c>
      <c r="R746" s="8">
        <f t="shared" si="45"/>
        <v>50.465000000000003</v>
      </c>
      <c r="S746" s="8">
        <f t="shared" si="44"/>
        <v>47.622499999999981</v>
      </c>
      <c r="T746" s="1">
        <f t="shared" si="46"/>
        <v>43.607642799352739</v>
      </c>
      <c r="U746" s="1">
        <f t="shared" si="47"/>
        <v>29.247357200647247</v>
      </c>
    </row>
    <row r="747" spans="1:21" x14ac:dyDescent="0.3">
      <c r="A747" t="s">
        <v>359</v>
      </c>
      <c r="B747" t="s">
        <v>787</v>
      </c>
      <c r="C747" t="s">
        <v>574</v>
      </c>
      <c r="D747" t="s">
        <v>575</v>
      </c>
      <c r="E747" s="2">
        <v>698.14200000000005</v>
      </c>
      <c r="F747" s="2">
        <v>0</v>
      </c>
      <c r="G747" s="2">
        <v>106.05549999999999</v>
      </c>
      <c r="H747" s="2">
        <v>-95.498999999999896</v>
      </c>
      <c r="I747" s="1">
        <v>0.95573321759756602</v>
      </c>
      <c r="J747" s="1">
        <v>0.91037066957724899</v>
      </c>
      <c r="K747" s="1">
        <v>0.68991014982680898</v>
      </c>
      <c r="L747" s="1">
        <v>0.67619373734800503</v>
      </c>
      <c r="P747" s="1">
        <f>I747-'Passo 2'!I747</f>
        <v>5.557250530694402E-2</v>
      </c>
      <c r="Q747" s="1">
        <f>J747-'Passo 2'!J747</f>
        <v>3.8994216076385979E-2</v>
      </c>
      <c r="R747" s="8">
        <f t="shared" si="45"/>
        <v>667.23749999999995</v>
      </c>
      <c r="S747" s="8">
        <f t="shared" si="44"/>
        <v>635.56799999999987</v>
      </c>
      <c r="T747" s="1">
        <f t="shared" si="46"/>
        <v>481.65525182038812</v>
      </c>
      <c r="U747" s="1">
        <f t="shared" si="47"/>
        <v>472.07924817961094</v>
      </c>
    </row>
    <row r="748" spans="1:21" x14ac:dyDescent="0.3">
      <c r="A748" t="s">
        <v>359</v>
      </c>
      <c r="B748" t="s">
        <v>788</v>
      </c>
      <c r="C748" t="s">
        <v>574</v>
      </c>
      <c r="D748" t="s">
        <v>575</v>
      </c>
      <c r="E748" s="2">
        <v>245.55</v>
      </c>
      <c r="F748" s="2">
        <v>8.9999999999999993E-3</v>
      </c>
      <c r="G748" s="2">
        <v>40.222166666666602</v>
      </c>
      <c r="H748" s="2">
        <v>-39.966833333333298</v>
      </c>
      <c r="I748" s="1">
        <v>0.99139482793728295</v>
      </c>
      <c r="J748" s="1">
        <v>0.98827530034616096</v>
      </c>
      <c r="K748" s="1">
        <v>0.67525086804011003</v>
      </c>
      <c r="L748" s="1">
        <v>0.80443758644980901</v>
      </c>
      <c r="P748" s="1">
        <f>I748-'Passo 2'!I748</f>
        <v>1.1158623498269682E-3</v>
      </c>
      <c r="Q748" s="1">
        <f>J748-'Passo 2'!J748</f>
        <v>2.3742618611279909E-3</v>
      </c>
      <c r="R748" s="8">
        <f t="shared" si="45"/>
        <v>243.43699999999984</v>
      </c>
      <c r="S748" s="8">
        <f t="shared" si="44"/>
        <v>242.67099999999982</v>
      </c>
      <c r="T748" s="1">
        <f t="shared" si="46"/>
        <v>165.80785064724901</v>
      </c>
      <c r="U748" s="1">
        <f t="shared" si="47"/>
        <v>197.52964935275062</v>
      </c>
    </row>
    <row r="749" spans="1:21" x14ac:dyDescent="0.3">
      <c r="A749" t="s">
        <v>359</v>
      </c>
      <c r="B749" t="s">
        <v>789</v>
      </c>
      <c r="C749" t="s">
        <v>574</v>
      </c>
      <c r="D749" t="s">
        <v>575</v>
      </c>
      <c r="E749" s="2">
        <v>1679.0329999999999</v>
      </c>
      <c r="F749" s="2">
        <v>511.37599999999998</v>
      </c>
      <c r="G749" s="2">
        <v>168.791</v>
      </c>
      <c r="H749" s="2">
        <v>-141.08133333333299</v>
      </c>
      <c r="I749" s="1">
        <v>0.64930320011578002</v>
      </c>
      <c r="J749" s="1">
        <v>0.59979315475038297</v>
      </c>
      <c r="K749" s="1">
        <v>0.476849164568732</v>
      </c>
      <c r="L749" s="1">
        <v>0.424530081699803</v>
      </c>
      <c r="P749" s="1">
        <f>I749-'Passo 2'!I749</f>
        <v>4.8877538440279977E-2</v>
      </c>
      <c r="Q749" s="1">
        <f>J749-'Passo 2'!J749</f>
        <v>1.972266179401938E-3</v>
      </c>
      <c r="R749" s="8">
        <f t="shared" si="45"/>
        <v>1090.2014999999983</v>
      </c>
      <c r="S749" s="8">
        <f t="shared" si="44"/>
        <v>1007.0724999999998</v>
      </c>
      <c r="T749" s="1">
        <f t="shared" si="46"/>
        <v>800.64548333333175</v>
      </c>
      <c r="U749" s="1">
        <f t="shared" si="47"/>
        <v>712.80001666666533</v>
      </c>
    </row>
    <row r="750" spans="1:21" x14ac:dyDescent="0.3">
      <c r="A750" t="s">
        <v>359</v>
      </c>
      <c r="B750" t="s">
        <v>790</v>
      </c>
      <c r="C750" t="s">
        <v>574</v>
      </c>
      <c r="D750" t="s">
        <v>575</v>
      </c>
      <c r="E750" s="2">
        <v>516.63900000000001</v>
      </c>
      <c r="F750" s="2">
        <v>0.67600000000000005</v>
      </c>
      <c r="G750" s="2">
        <v>71.3838333333333</v>
      </c>
      <c r="H750" s="2">
        <v>-82.996666666666599</v>
      </c>
      <c r="I750" s="1">
        <v>0.913854741899082</v>
      </c>
      <c r="J750" s="1">
        <v>0.98128770766434503</v>
      </c>
      <c r="K750" s="1">
        <v>0.76907160487409998</v>
      </c>
      <c r="L750" s="1">
        <v>0.62672507327060001</v>
      </c>
      <c r="P750" s="1">
        <f>I750-'Passo 2'!I750</f>
        <v>1.1396739309265991E-2</v>
      </c>
      <c r="Q750" s="1">
        <f>J750-'Passo 2'!J750</f>
        <v>0.10100669906840098</v>
      </c>
      <c r="R750" s="8">
        <f t="shared" si="45"/>
        <v>472.13299999999981</v>
      </c>
      <c r="S750" s="8">
        <f t="shared" si="44"/>
        <v>506.97149999999954</v>
      </c>
      <c r="T750" s="1">
        <f t="shared" si="46"/>
        <v>397.33238487055013</v>
      </c>
      <c r="U750" s="1">
        <f t="shared" si="47"/>
        <v>323.79061512944952</v>
      </c>
    </row>
    <row r="751" spans="1:21" x14ac:dyDescent="0.3">
      <c r="A751" t="s">
        <v>359</v>
      </c>
      <c r="B751" t="s">
        <v>562</v>
      </c>
      <c r="C751" t="s">
        <v>574</v>
      </c>
      <c r="D751" t="s">
        <v>575</v>
      </c>
      <c r="E751" s="2">
        <v>1814.703</v>
      </c>
      <c r="F751" s="2">
        <v>0</v>
      </c>
      <c r="G751" s="2">
        <v>265.70016666666601</v>
      </c>
      <c r="H751" s="2">
        <v>-263.77916666666601</v>
      </c>
      <c r="I751" s="1">
        <v>0.93924570577113697</v>
      </c>
      <c r="J751" s="1">
        <v>0.93606997949526705</v>
      </c>
      <c r="K751" s="1">
        <v>0.67757155743140096</v>
      </c>
      <c r="L751" s="1">
        <v>0.69774412783500195</v>
      </c>
      <c r="P751" s="1">
        <f>I751-'Passo 2'!I751</f>
        <v>9.4084266130599614E-3</v>
      </c>
      <c r="Q751" s="1">
        <f>J751-'Passo 2'!J751</f>
        <v>7.7600852591306002E-2</v>
      </c>
      <c r="R751" s="8">
        <f t="shared" si="45"/>
        <v>1704.4519999999995</v>
      </c>
      <c r="S751" s="8">
        <f t="shared" si="44"/>
        <v>1698.6889999999996</v>
      </c>
      <c r="T751" s="1">
        <f t="shared" si="46"/>
        <v>1229.5911379854356</v>
      </c>
      <c r="U751" s="1">
        <f t="shared" si="47"/>
        <v>1266.1983620145616</v>
      </c>
    </row>
    <row r="752" spans="1:21" x14ac:dyDescent="0.3">
      <c r="A752" t="s">
        <v>359</v>
      </c>
      <c r="B752" t="s">
        <v>563</v>
      </c>
      <c r="C752" t="s">
        <v>576</v>
      </c>
      <c r="D752" t="s">
        <v>589</v>
      </c>
      <c r="E752" s="2">
        <v>0</v>
      </c>
      <c r="F752" s="2">
        <v>0</v>
      </c>
      <c r="G752" s="2">
        <v>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P752" s="1">
        <f>I752-'Passo 2'!I752</f>
        <v>0</v>
      </c>
      <c r="Q752" s="1">
        <f>J752-'Passo 2'!J752</f>
        <v>0</v>
      </c>
      <c r="R752" s="8">
        <f t="shared" si="45"/>
        <v>0</v>
      </c>
      <c r="S752" s="8">
        <f t="shared" si="44"/>
        <v>0</v>
      </c>
      <c r="T752" s="1">
        <f t="shared" si="46"/>
        <v>0</v>
      </c>
      <c r="U752" s="1">
        <f t="shared" si="47"/>
        <v>0</v>
      </c>
    </row>
    <row r="753" spans="1:21" x14ac:dyDescent="0.3">
      <c r="A753" t="s">
        <v>359</v>
      </c>
      <c r="B753" t="s">
        <v>791</v>
      </c>
      <c r="C753" t="s">
        <v>576</v>
      </c>
      <c r="D753" t="s">
        <v>577</v>
      </c>
      <c r="E753" s="2">
        <v>919.36400000000003</v>
      </c>
      <c r="F753" s="2">
        <v>0</v>
      </c>
      <c r="G753" s="2">
        <v>152.86566666666599</v>
      </c>
      <c r="H753" s="2">
        <v>-153.22733333333301</v>
      </c>
      <c r="I753" s="1">
        <v>0.99881983632163096</v>
      </c>
      <c r="J753" s="1">
        <v>1</v>
      </c>
      <c r="K753" s="1">
        <v>0.97053425130400695</v>
      </c>
      <c r="L753" s="1">
        <v>0.52828558501762302</v>
      </c>
      <c r="P753" s="1">
        <f>I753-'Passo 2'!I753</f>
        <v>9.1279950052427949E-2</v>
      </c>
      <c r="Q753" s="1">
        <f>J753-'Passo 2'!J753</f>
        <v>1.5618949621695966E-2</v>
      </c>
      <c r="R753" s="8">
        <f t="shared" si="45"/>
        <v>918.279</v>
      </c>
      <c r="S753" s="8">
        <f t="shared" si="44"/>
        <v>919.36400000000003</v>
      </c>
      <c r="T753" s="1">
        <f t="shared" si="46"/>
        <v>892.27425141585707</v>
      </c>
      <c r="U753" s="1">
        <f t="shared" si="47"/>
        <v>485.68674858414198</v>
      </c>
    </row>
    <row r="754" spans="1:21" x14ac:dyDescent="0.3">
      <c r="A754" t="s">
        <v>359</v>
      </c>
      <c r="B754" t="s">
        <v>564</v>
      </c>
      <c r="C754" t="s">
        <v>576</v>
      </c>
      <c r="D754" t="s">
        <v>589</v>
      </c>
      <c r="E754" s="2">
        <v>0</v>
      </c>
      <c r="F754" s="2">
        <v>0</v>
      </c>
      <c r="G754" s="2">
        <v>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P754" s="1">
        <f>I754-'Passo 2'!I754</f>
        <v>0</v>
      </c>
      <c r="Q754" s="1">
        <f>J754-'Passo 2'!J754</f>
        <v>0</v>
      </c>
      <c r="R754" s="8">
        <f t="shared" si="45"/>
        <v>0</v>
      </c>
      <c r="S754" s="8">
        <f t="shared" si="44"/>
        <v>0</v>
      </c>
      <c r="T754" s="1">
        <f t="shared" si="46"/>
        <v>0</v>
      </c>
      <c r="U754" s="1">
        <f t="shared" si="47"/>
        <v>0</v>
      </c>
    </row>
    <row r="755" spans="1:21" x14ac:dyDescent="0.3">
      <c r="A755" t="s">
        <v>359</v>
      </c>
      <c r="B755" t="s">
        <v>565</v>
      </c>
      <c r="C755" t="s">
        <v>576</v>
      </c>
      <c r="D755" t="s">
        <v>589</v>
      </c>
      <c r="E755" s="2">
        <v>0</v>
      </c>
      <c r="F755" s="2">
        <v>0</v>
      </c>
      <c r="G755" s="2">
        <v>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P755" s="1">
        <f>I755-'Passo 2'!I755</f>
        <v>0</v>
      </c>
      <c r="Q755" s="1">
        <f>J755-'Passo 2'!J755</f>
        <v>0</v>
      </c>
      <c r="R755" s="8">
        <f t="shared" si="45"/>
        <v>0</v>
      </c>
      <c r="S755" s="8">
        <f t="shared" si="44"/>
        <v>0</v>
      </c>
      <c r="T755" s="1">
        <f t="shared" si="46"/>
        <v>0</v>
      </c>
      <c r="U755" s="1">
        <f t="shared" si="47"/>
        <v>0</v>
      </c>
    </row>
    <row r="756" spans="1:21" x14ac:dyDescent="0.3">
      <c r="A756" t="s">
        <v>359</v>
      </c>
      <c r="B756" t="s">
        <v>566</v>
      </c>
      <c r="C756" t="s">
        <v>576</v>
      </c>
      <c r="D756" t="s">
        <v>577</v>
      </c>
      <c r="E756" s="2">
        <v>1001.1</v>
      </c>
      <c r="F756" s="2">
        <v>0</v>
      </c>
      <c r="G756" s="2">
        <v>95.7916666666666</v>
      </c>
      <c r="H756" s="2">
        <v>-131.83849999999899</v>
      </c>
      <c r="I756" s="1">
        <v>0.78705923484167395</v>
      </c>
      <c r="J756" s="1">
        <v>0.89508091099790199</v>
      </c>
      <c r="K756" s="1">
        <v>0.63333214742100796</v>
      </c>
      <c r="L756" s="1">
        <v>0.54880799841856798</v>
      </c>
      <c r="P756" s="1">
        <f>I756-'Passo 2'!I756</f>
        <v>0.14646388972130697</v>
      </c>
      <c r="Q756" s="1">
        <f>J756-'Passo 2'!J756</f>
        <v>4.0645789631405971E-2</v>
      </c>
      <c r="R756" s="8">
        <f t="shared" si="45"/>
        <v>787.92499999999984</v>
      </c>
      <c r="S756" s="8">
        <f t="shared" si="44"/>
        <v>896.0654999999997</v>
      </c>
      <c r="T756" s="1">
        <f t="shared" si="46"/>
        <v>634.02881278317113</v>
      </c>
      <c r="U756" s="1">
        <f t="shared" si="47"/>
        <v>549.41168721682845</v>
      </c>
    </row>
    <row r="757" spans="1:21" x14ac:dyDescent="0.3">
      <c r="A757" t="s">
        <v>359</v>
      </c>
      <c r="B757" t="s">
        <v>792</v>
      </c>
      <c r="C757" t="s">
        <v>574</v>
      </c>
      <c r="D757" t="s">
        <v>575</v>
      </c>
      <c r="E757" s="2">
        <v>1097.8019999999999</v>
      </c>
      <c r="F757" s="2">
        <v>0</v>
      </c>
      <c r="G757" s="2">
        <v>159.8415</v>
      </c>
      <c r="H757" s="2">
        <v>-153.93166666666599</v>
      </c>
      <c r="I757" s="1">
        <v>0.93680417780255398</v>
      </c>
      <c r="J757" s="1">
        <v>0.92065417989764997</v>
      </c>
      <c r="K757" s="1">
        <v>0.76320727830448098</v>
      </c>
      <c r="L757" s="1">
        <v>0.59425107939572197</v>
      </c>
      <c r="P757" s="1">
        <f>I757-'Passo 2'!I757</f>
        <v>4.5205328465424022E-2</v>
      </c>
      <c r="Q757" s="1">
        <f>J757-'Passo 2'!J757</f>
        <v>4.1762540057314945E-2</v>
      </c>
      <c r="R757" s="8">
        <f t="shared" si="45"/>
        <v>1028.4254999999994</v>
      </c>
      <c r="S757" s="8">
        <f t="shared" si="44"/>
        <v>1010.6959999999998</v>
      </c>
      <c r="T757" s="1">
        <f t="shared" si="46"/>
        <v>837.85047653721574</v>
      </c>
      <c r="U757" s="1">
        <f t="shared" si="47"/>
        <v>652.37002346278234</v>
      </c>
    </row>
    <row r="758" spans="1:21" x14ac:dyDescent="0.3">
      <c r="A758" t="s">
        <v>359</v>
      </c>
      <c r="B758" t="s">
        <v>793</v>
      </c>
      <c r="C758" t="s">
        <v>574</v>
      </c>
      <c r="D758" t="s">
        <v>575</v>
      </c>
      <c r="E758" s="2">
        <v>803.42899999999997</v>
      </c>
      <c r="F758" s="2">
        <v>0.29799999999999999</v>
      </c>
      <c r="G758" s="2">
        <v>110.183333333333</v>
      </c>
      <c r="H758" s="2">
        <v>-110.312166666666</v>
      </c>
      <c r="I758" s="1">
        <v>0.91123857864229396</v>
      </c>
      <c r="J758" s="1">
        <v>0.91171964168582398</v>
      </c>
      <c r="K758" s="1">
        <v>0.76584426420136897</v>
      </c>
      <c r="L758" s="1">
        <v>0.55729941121985604</v>
      </c>
      <c r="P758" s="1">
        <f>I758-'Passo 2'!I758</f>
        <v>0.18778448375649892</v>
      </c>
      <c r="Q758" s="1">
        <f>J758-'Passo 2'!J758</f>
        <v>1.3117525008432995E-2</v>
      </c>
      <c r="R758" s="8">
        <f t="shared" si="45"/>
        <v>732.11549999999954</v>
      </c>
      <c r="S758" s="8">
        <f t="shared" si="44"/>
        <v>732.50199999999984</v>
      </c>
      <c r="T758" s="1">
        <f t="shared" si="46"/>
        <v>615.30149134304168</v>
      </c>
      <c r="U758" s="1">
        <f t="shared" si="47"/>
        <v>447.75050865695772</v>
      </c>
    </row>
    <row r="759" spans="1:21" x14ac:dyDescent="0.3">
      <c r="A759" t="s">
        <v>359</v>
      </c>
      <c r="B759" t="s">
        <v>794</v>
      </c>
      <c r="C759" t="s">
        <v>576</v>
      </c>
      <c r="D759" t="s">
        <v>577</v>
      </c>
      <c r="E759" s="2">
        <v>368.625</v>
      </c>
      <c r="F759" s="2">
        <v>0</v>
      </c>
      <c r="G759" s="2">
        <v>29.475999999999999</v>
      </c>
      <c r="H759" s="2">
        <v>-59.653999999999897</v>
      </c>
      <c r="I759" s="1">
        <v>0.73988606307222704</v>
      </c>
      <c r="J759" s="1">
        <v>0.98548524923702896</v>
      </c>
      <c r="K759" s="1">
        <v>0.72257287852499996</v>
      </c>
      <c r="L759" s="1">
        <v>0.50279843378425604</v>
      </c>
      <c r="P759" s="1">
        <f>I759-'Passo 2'!I759</f>
        <v>5.8756188538487075E-2</v>
      </c>
      <c r="Q759" s="1">
        <f>J759-'Passo 2'!J759</f>
        <v>1.0609698202781015E-2</v>
      </c>
      <c r="R759" s="8">
        <f t="shared" si="45"/>
        <v>272.74049999999971</v>
      </c>
      <c r="S759" s="8">
        <f t="shared" si="44"/>
        <v>363.27449999999982</v>
      </c>
      <c r="T759" s="1">
        <f t="shared" si="46"/>
        <v>266.35842734627812</v>
      </c>
      <c r="U759" s="1">
        <f t="shared" si="47"/>
        <v>185.34407265372138</v>
      </c>
    </row>
    <row r="760" spans="1:21" x14ac:dyDescent="0.3">
      <c r="A760" t="s">
        <v>359</v>
      </c>
      <c r="B760" t="s">
        <v>795</v>
      </c>
      <c r="C760" t="s">
        <v>574</v>
      </c>
      <c r="D760" t="s">
        <v>575</v>
      </c>
      <c r="E760" s="2">
        <v>363.20499999999998</v>
      </c>
      <c r="F760" s="2">
        <v>3.7999999999999999E-2</v>
      </c>
      <c r="G760" s="2">
        <v>46.6546666666666</v>
      </c>
      <c r="H760" s="2">
        <v>-48.487499999999898</v>
      </c>
      <c r="I760" s="1">
        <v>0.88530581902782102</v>
      </c>
      <c r="J760" s="1">
        <v>0.90044465246899097</v>
      </c>
      <c r="K760" s="1">
        <v>0.70442904724208</v>
      </c>
      <c r="L760" s="1">
        <v>0.58137373630990796</v>
      </c>
      <c r="P760" s="1">
        <f>I760-'Passo 2'!I760</f>
        <v>8.8754284770308001E-2</v>
      </c>
      <c r="Q760" s="1">
        <f>J760-'Passo 2'!J760</f>
        <v>0.10959650885863392</v>
      </c>
      <c r="R760" s="8">
        <f t="shared" si="45"/>
        <v>321.54749999999973</v>
      </c>
      <c r="S760" s="8">
        <f t="shared" si="44"/>
        <v>327.04599999999988</v>
      </c>
      <c r="T760" s="1">
        <f t="shared" si="46"/>
        <v>255.85215210355966</v>
      </c>
      <c r="U760" s="1">
        <f t="shared" si="47"/>
        <v>211.1578478964401</v>
      </c>
    </row>
    <row r="761" spans="1:21" x14ac:dyDescent="0.3">
      <c r="A761" t="s">
        <v>359</v>
      </c>
      <c r="B761" t="s">
        <v>567</v>
      </c>
      <c r="C761" t="s">
        <v>574</v>
      </c>
      <c r="D761" t="s">
        <v>575</v>
      </c>
      <c r="E761" s="2">
        <v>0</v>
      </c>
      <c r="F761" s="2">
        <v>0</v>
      </c>
      <c r="G761" s="2">
        <v>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P761" s="1">
        <f>I761-'Passo 2'!I761</f>
        <v>0</v>
      </c>
      <c r="Q761" s="1">
        <f>J761-'Passo 2'!J761</f>
        <v>0</v>
      </c>
      <c r="R761" s="8">
        <f t="shared" si="45"/>
        <v>0</v>
      </c>
      <c r="S761" s="8">
        <f t="shared" si="44"/>
        <v>0</v>
      </c>
      <c r="T761" s="1">
        <f t="shared" si="46"/>
        <v>0</v>
      </c>
      <c r="U761" s="1">
        <f t="shared" si="47"/>
        <v>0</v>
      </c>
    </row>
    <row r="762" spans="1:21" x14ac:dyDescent="0.3">
      <c r="A762" t="s">
        <v>359</v>
      </c>
      <c r="B762" t="s">
        <v>796</v>
      </c>
      <c r="C762" t="s">
        <v>576</v>
      </c>
      <c r="D762" t="s">
        <v>14</v>
      </c>
      <c r="E762" s="2">
        <v>243.60300000000001</v>
      </c>
      <c r="F762" s="2">
        <v>0</v>
      </c>
      <c r="G762" s="2">
        <v>40.600499999999997</v>
      </c>
      <c r="H762" s="2">
        <v>-40.600499999999997</v>
      </c>
      <c r="I762" s="1">
        <v>1</v>
      </c>
      <c r="J762" s="1">
        <v>1</v>
      </c>
      <c r="K762" s="1">
        <v>0.97053867069008304</v>
      </c>
      <c r="L762" s="1">
        <v>0.52946132930991596</v>
      </c>
      <c r="P762" s="1">
        <f>I762-'Passo 2'!I762</f>
        <v>0</v>
      </c>
      <c r="Q762" s="1">
        <f>J762-'Passo 2'!J762</f>
        <v>0</v>
      </c>
      <c r="R762" s="8">
        <f t="shared" si="45"/>
        <v>243.60300000000001</v>
      </c>
      <c r="S762" s="8">
        <f t="shared" si="44"/>
        <v>243.60300000000001</v>
      </c>
      <c r="T762" s="1">
        <f t="shared" si="46"/>
        <v>236.42613179611629</v>
      </c>
      <c r="U762" s="1">
        <f t="shared" si="47"/>
        <v>128.97836820388346</v>
      </c>
    </row>
    <row r="763" spans="1:21" x14ac:dyDescent="0.3">
      <c r="A763" t="s">
        <v>359</v>
      </c>
      <c r="B763" t="s">
        <v>797</v>
      </c>
      <c r="C763" t="s">
        <v>576</v>
      </c>
      <c r="D763" t="s">
        <v>14</v>
      </c>
      <c r="E763" s="2">
        <v>0</v>
      </c>
      <c r="F763" s="2">
        <v>0</v>
      </c>
      <c r="G763" s="2">
        <v>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P763" s="1">
        <f>I763-'Passo 2'!I763</f>
        <v>0</v>
      </c>
      <c r="Q763" s="1">
        <f>J763-'Passo 2'!J763</f>
        <v>0</v>
      </c>
      <c r="R763" s="8">
        <f t="shared" si="45"/>
        <v>0</v>
      </c>
      <c r="S763" s="8">
        <f t="shared" si="44"/>
        <v>0</v>
      </c>
      <c r="T763" s="1">
        <f t="shared" si="46"/>
        <v>0</v>
      </c>
      <c r="U763" s="1">
        <f t="shared" si="47"/>
        <v>0</v>
      </c>
    </row>
    <row r="764" spans="1:21" x14ac:dyDescent="0.3">
      <c r="A764" t="s">
        <v>359</v>
      </c>
      <c r="B764" t="s">
        <v>798</v>
      </c>
      <c r="C764" t="s">
        <v>576</v>
      </c>
      <c r="D764" t="s">
        <v>14</v>
      </c>
      <c r="E764" s="2">
        <v>310.81299999999999</v>
      </c>
      <c r="F764" s="2">
        <v>0</v>
      </c>
      <c r="G764" s="2">
        <v>51.802166666666601</v>
      </c>
      <c r="H764" s="2">
        <v>-51.802166666666601</v>
      </c>
      <c r="I764" s="1">
        <v>1</v>
      </c>
      <c r="J764" s="1">
        <v>1</v>
      </c>
      <c r="K764" s="1">
        <v>0.98879437539008697</v>
      </c>
      <c r="L764" s="1">
        <v>0.51120562460991203</v>
      </c>
      <c r="P764" s="1">
        <f>I764-'Passo 2'!I764</f>
        <v>0</v>
      </c>
      <c r="Q764" s="1">
        <f>J764-'Passo 2'!J764</f>
        <v>0</v>
      </c>
      <c r="R764" s="8">
        <f t="shared" si="45"/>
        <v>310.81299999999999</v>
      </c>
      <c r="S764" s="8">
        <f t="shared" si="44"/>
        <v>310.81299999999999</v>
      </c>
      <c r="T764" s="1">
        <f t="shared" si="46"/>
        <v>307.33014619811911</v>
      </c>
      <c r="U764" s="1">
        <f t="shared" si="47"/>
        <v>158.88935380188059</v>
      </c>
    </row>
    <row r="765" spans="1:21" x14ac:dyDescent="0.3">
      <c r="A765" t="s">
        <v>359</v>
      </c>
      <c r="B765" t="s">
        <v>568</v>
      </c>
      <c r="C765" t="s">
        <v>574</v>
      </c>
      <c r="D765" t="s">
        <v>575</v>
      </c>
      <c r="E765" s="2">
        <v>0</v>
      </c>
      <c r="F765" s="2">
        <v>0</v>
      </c>
      <c r="G765" s="2">
        <v>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P765" s="1">
        <f>I765-'Passo 2'!I765</f>
        <v>0</v>
      </c>
      <c r="Q765" s="1">
        <f>J765-'Passo 2'!J765</f>
        <v>0</v>
      </c>
      <c r="R765" s="8">
        <f t="shared" si="45"/>
        <v>0</v>
      </c>
      <c r="S765" s="8">
        <f t="shared" si="44"/>
        <v>0</v>
      </c>
      <c r="T765" s="1">
        <f t="shared" si="46"/>
        <v>0</v>
      </c>
      <c r="U765" s="1">
        <f t="shared" si="47"/>
        <v>0</v>
      </c>
    </row>
    <row r="766" spans="1:21" x14ac:dyDescent="0.3">
      <c r="A766" t="s">
        <v>359</v>
      </c>
      <c r="B766" t="s">
        <v>569</v>
      </c>
      <c r="C766" t="s">
        <v>576</v>
      </c>
      <c r="D766" t="s">
        <v>583</v>
      </c>
      <c r="E766" s="2">
        <v>175.75800000000001</v>
      </c>
      <c r="F766" s="2">
        <v>0</v>
      </c>
      <c r="G766" s="2">
        <v>29.292999999999999</v>
      </c>
      <c r="H766" s="2">
        <v>-29.292999999999999</v>
      </c>
      <c r="I766" s="1">
        <v>1</v>
      </c>
      <c r="J766" s="1">
        <v>1</v>
      </c>
      <c r="K766" s="1">
        <v>0.99180688617671497</v>
      </c>
      <c r="L766" s="1">
        <v>0.50819311382328403</v>
      </c>
      <c r="P766" s="1">
        <f>I766-'Passo 2'!I766</f>
        <v>2.1179690255920036E-2</v>
      </c>
      <c r="Q766" s="1">
        <f>J766-'Passo 2'!J766</f>
        <v>1.6784442244449638E-3</v>
      </c>
      <c r="R766" s="8">
        <f t="shared" si="45"/>
        <v>175.75800000000001</v>
      </c>
      <c r="S766" s="8">
        <f t="shared" si="44"/>
        <v>175.75800000000001</v>
      </c>
      <c r="T766" s="1">
        <f t="shared" si="46"/>
        <v>174.31799470064709</v>
      </c>
      <c r="U766" s="1">
        <f t="shared" si="47"/>
        <v>89.319005299352753</v>
      </c>
    </row>
    <row r="767" spans="1:21" x14ac:dyDescent="0.3">
      <c r="A767" t="s">
        <v>359</v>
      </c>
      <c r="B767" t="s">
        <v>570</v>
      </c>
      <c r="C767" t="s">
        <v>576</v>
      </c>
      <c r="D767" t="s">
        <v>577</v>
      </c>
      <c r="E767" s="2">
        <v>37.064999999999998</v>
      </c>
      <c r="F767" s="2">
        <v>0</v>
      </c>
      <c r="G767" s="2">
        <v>6.1708333333333298</v>
      </c>
      <c r="H767" s="2">
        <v>-6.1774999999999904</v>
      </c>
      <c r="I767" s="1">
        <v>0.99946040739241804</v>
      </c>
      <c r="J767" s="1">
        <v>1</v>
      </c>
      <c r="K767" s="1">
        <v>0.99253721486394297</v>
      </c>
      <c r="L767" s="1">
        <v>0.50692319252847595</v>
      </c>
      <c r="P767" s="1">
        <f>I767-'Passo 2'!I767</f>
        <v>4.8563334682305559E-4</v>
      </c>
      <c r="Q767" s="1">
        <f>J767-'Passo 2'!J767</f>
        <v>0</v>
      </c>
      <c r="R767" s="8">
        <f t="shared" si="45"/>
        <v>37.044999999999973</v>
      </c>
      <c r="S767" s="8">
        <f t="shared" si="44"/>
        <v>37.064999999999998</v>
      </c>
      <c r="T767" s="1">
        <f t="shared" si="46"/>
        <v>36.788391868932045</v>
      </c>
      <c r="U767" s="1">
        <f t="shared" si="47"/>
        <v>18.789108131067959</v>
      </c>
    </row>
    <row r="768" spans="1:21" x14ac:dyDescent="0.3">
      <c r="A768" t="s">
        <v>359</v>
      </c>
      <c r="B768" t="s">
        <v>571</v>
      </c>
      <c r="C768" t="s">
        <v>576</v>
      </c>
      <c r="D768" t="s">
        <v>14</v>
      </c>
      <c r="E768" s="2">
        <v>41.459000000000003</v>
      </c>
      <c r="F768" s="2">
        <v>0</v>
      </c>
      <c r="G768" s="2">
        <v>6.6734999999999998</v>
      </c>
      <c r="H768" s="2">
        <v>-6.82016666666666</v>
      </c>
      <c r="I768" s="1">
        <v>0.982898767457005</v>
      </c>
      <c r="J768" s="1">
        <v>0.99351166212402597</v>
      </c>
      <c r="K768" s="1">
        <v>0.78393209225597404</v>
      </c>
      <c r="L768" s="1">
        <v>0.69247833732505604</v>
      </c>
      <c r="P768" s="1">
        <f>I768-'Passo 2'!I768</f>
        <v>8.3914228514918032E-2</v>
      </c>
      <c r="Q768" s="1">
        <f>J768-'Passo 2'!J768</f>
        <v>2.6773438819075013E-2</v>
      </c>
      <c r="R768" s="8">
        <f t="shared" si="45"/>
        <v>40.749999999999972</v>
      </c>
      <c r="S768" s="8">
        <f t="shared" si="44"/>
        <v>41.19</v>
      </c>
      <c r="T768" s="1">
        <f t="shared" si="46"/>
        <v>32.501040612840427</v>
      </c>
      <c r="U768" s="1">
        <f t="shared" si="47"/>
        <v>28.709459387159502</v>
      </c>
    </row>
    <row r="769" spans="1:21" x14ac:dyDescent="0.3">
      <c r="A769" t="s">
        <v>359</v>
      </c>
      <c r="B769" t="s">
        <v>572</v>
      </c>
      <c r="C769" t="s">
        <v>574</v>
      </c>
      <c r="D769" t="s">
        <v>575</v>
      </c>
      <c r="E769" s="2">
        <v>381.38600000000002</v>
      </c>
      <c r="F769" s="2">
        <v>13.763</v>
      </c>
      <c r="G769" s="2">
        <v>54.314</v>
      </c>
      <c r="H769" s="2">
        <v>-54.892333333333298</v>
      </c>
      <c r="I769" s="1">
        <v>0.90919304851253002</v>
      </c>
      <c r="J769" s="1">
        <v>0.91374224538918503</v>
      </c>
      <c r="K769" s="1">
        <v>0.68190121329227105</v>
      </c>
      <c r="L769" s="1">
        <v>0.65907748020985002</v>
      </c>
      <c r="P769" s="1">
        <f>I769-'Passo 2'!I769</f>
        <v>5.8038312890350552E-3</v>
      </c>
      <c r="Q769" s="1">
        <f>J769-'Passo 2'!J769</f>
        <v>1.087612025611806E-2</v>
      </c>
      <c r="R769" s="8">
        <f t="shared" si="45"/>
        <v>346.7534999999998</v>
      </c>
      <c r="S769" s="8">
        <f t="shared" si="44"/>
        <v>348.48849999999976</v>
      </c>
      <c r="T769" s="1">
        <f t="shared" si="46"/>
        <v>260.0675761326861</v>
      </c>
      <c r="U769" s="1">
        <f t="shared" si="47"/>
        <v>251.36292386731387</v>
      </c>
    </row>
    <row r="770" spans="1:21" x14ac:dyDescent="0.3">
      <c r="A770" t="s">
        <v>359</v>
      </c>
      <c r="B770" t="s">
        <v>573</v>
      </c>
      <c r="C770" t="s">
        <v>576</v>
      </c>
      <c r="D770" t="s">
        <v>577</v>
      </c>
      <c r="E770" s="2">
        <v>43.466000000000001</v>
      </c>
      <c r="F770" s="2">
        <v>0</v>
      </c>
      <c r="G770" s="2">
        <v>6.0563333333333302</v>
      </c>
      <c r="H770" s="2">
        <v>-7.24433333333333</v>
      </c>
      <c r="I770" s="1">
        <v>0.91800487737541903</v>
      </c>
      <c r="J770" s="1">
        <v>1</v>
      </c>
      <c r="K770" s="1">
        <v>0.91666085455030299</v>
      </c>
      <c r="L770" s="1">
        <v>0.50134402282511603</v>
      </c>
      <c r="P770" s="1">
        <f>I770-'Passo 2'!I770</f>
        <v>1.1192656329084061E-2</v>
      </c>
      <c r="Q770" s="1">
        <f>J770-'Passo 2'!J770</f>
        <v>9.5143330419178995E-2</v>
      </c>
      <c r="R770" s="8">
        <f t="shared" si="45"/>
        <v>39.901999999999965</v>
      </c>
      <c r="S770" s="8">
        <f t="shared" ref="S770:S772" si="48">J770*E770</f>
        <v>43.466000000000001</v>
      </c>
      <c r="T770" s="1">
        <f t="shared" si="46"/>
        <v>39.843580703883468</v>
      </c>
      <c r="U770" s="1">
        <f t="shared" si="47"/>
        <v>21.791419296116494</v>
      </c>
    </row>
    <row r="771" spans="1:21" x14ac:dyDescent="0.3">
      <c r="A771" t="s">
        <v>359</v>
      </c>
      <c r="B771" t="s">
        <v>799</v>
      </c>
      <c r="C771" t="s">
        <v>576</v>
      </c>
      <c r="D771" t="s">
        <v>589</v>
      </c>
      <c r="E771" s="2">
        <v>15.593</v>
      </c>
      <c r="F771" s="2">
        <v>0</v>
      </c>
      <c r="G771" s="2">
        <v>2.5988333333333302</v>
      </c>
      <c r="H771" s="2">
        <v>-2.5988333333333302</v>
      </c>
      <c r="I771" s="1">
        <v>1</v>
      </c>
      <c r="J771" s="1">
        <v>1</v>
      </c>
      <c r="K771" s="1">
        <v>0.99995954692556599</v>
      </c>
      <c r="L771" s="1">
        <v>0.50004045307443301</v>
      </c>
      <c r="P771" s="1">
        <f>I771-'Passo 2'!I771</f>
        <v>0</v>
      </c>
      <c r="Q771" s="1">
        <f>J771-'Passo 2'!J771</f>
        <v>0</v>
      </c>
      <c r="R771" s="8">
        <f>I771*E771</f>
        <v>15.593</v>
      </c>
      <c r="S771" s="8">
        <f t="shared" si="48"/>
        <v>15.593</v>
      </c>
      <c r="T771" s="1">
        <f t="shared" ref="T771:T773" si="49">K771*E771</f>
        <v>15.592369215210351</v>
      </c>
      <c r="U771" s="1">
        <f t="shared" ref="U771:U773" si="50">L771*E771</f>
        <v>7.7971307847896343</v>
      </c>
    </row>
    <row r="772" spans="1:21" x14ac:dyDescent="0.3">
      <c r="A772" t="s">
        <v>359</v>
      </c>
      <c r="B772" t="s">
        <v>800</v>
      </c>
      <c r="C772" t="s">
        <v>574</v>
      </c>
      <c r="D772" t="s">
        <v>575</v>
      </c>
      <c r="E772" s="2">
        <v>9.4380000000000006</v>
      </c>
      <c r="F772" s="2">
        <v>0</v>
      </c>
      <c r="G772" s="2">
        <v>0</v>
      </c>
      <c r="H772" s="2">
        <v>-1.573</v>
      </c>
      <c r="I772" s="1">
        <v>0.5</v>
      </c>
      <c r="J772" s="1">
        <v>1</v>
      </c>
      <c r="K772" s="1">
        <v>0.20582524271844599</v>
      </c>
      <c r="L772" s="1">
        <v>0.79417475728155296</v>
      </c>
      <c r="P772" s="1">
        <f>I772-'Passo 2'!I772</f>
        <v>0</v>
      </c>
      <c r="Q772" s="1">
        <f>J772-'Passo 2'!J772</f>
        <v>0</v>
      </c>
      <c r="R772" s="8">
        <f t="shared" ref="R772:R773" si="51">I772*E772</f>
        <v>4.7190000000000003</v>
      </c>
      <c r="S772" s="8">
        <f t="shared" si="48"/>
        <v>9.4380000000000006</v>
      </c>
      <c r="T772" s="1">
        <f t="shared" si="49"/>
        <v>1.9425786407766934</v>
      </c>
      <c r="U772" s="1">
        <f t="shared" si="50"/>
        <v>7.4954213592232977</v>
      </c>
    </row>
    <row r="773" spans="1:21" x14ac:dyDescent="0.3">
      <c r="A773" t="s">
        <v>359</v>
      </c>
      <c r="B773" t="s">
        <v>801</v>
      </c>
      <c r="C773" t="s">
        <v>574</v>
      </c>
      <c r="D773" t="s">
        <v>575</v>
      </c>
      <c r="E773" s="2">
        <v>1354.364</v>
      </c>
      <c r="F773" s="2">
        <v>0.74299999999999999</v>
      </c>
      <c r="G773" s="2">
        <v>154.99699999999899</v>
      </c>
      <c r="H773" s="2">
        <v>-159.14949999999999</v>
      </c>
      <c r="I773" s="1">
        <v>0.84305363993726901</v>
      </c>
      <c r="J773" s="1">
        <v>0.85225168418534403</v>
      </c>
      <c r="P773" s="1">
        <f>I773-'Passo 2'!I773</f>
        <v>3.6432598621936041E-2</v>
      </c>
      <c r="Q773" s="1">
        <f>J773-'Passo 2'!J773</f>
        <v>4.0833557300696044E-2</v>
      </c>
      <c r="R773" s="8">
        <f t="shared" si="51"/>
        <v>1141.8014999999994</v>
      </c>
      <c r="S773" s="8">
        <f>J773*E773</f>
        <v>1154.2589999999993</v>
      </c>
      <c r="T773" s="1">
        <f t="shared" si="49"/>
        <v>0</v>
      </c>
      <c r="U773" s="1">
        <f t="shared" si="50"/>
        <v>0</v>
      </c>
    </row>
    <row r="775" spans="1:21" x14ac:dyDescent="0.3">
      <c r="A775" t="s">
        <v>826</v>
      </c>
      <c r="B775" t="s">
        <v>825</v>
      </c>
      <c r="C775" t="s">
        <v>827</v>
      </c>
      <c r="D775" t="s">
        <v>828</v>
      </c>
      <c r="G775" s="2" t="s">
        <v>833</v>
      </c>
      <c r="P775" s="1">
        <f>AVERAGE(P2:P773)</f>
        <v>4.2115965821105258E-2</v>
      </c>
      <c r="Q775" s="1">
        <f>AVERAGE(Q2:Q773)</f>
        <v>3.1831742075275386E-2</v>
      </c>
    </row>
    <row r="776" spans="1:21" x14ac:dyDescent="0.3">
      <c r="A776" s="6">
        <f t="shared" ref="A776:A785" si="52">SUMIF($D$2:$D$773,B776,$E$2:$E$773)</f>
        <v>12</v>
      </c>
      <c r="B776" t="s">
        <v>592</v>
      </c>
      <c r="C776" s="7">
        <f t="shared" ref="C776:C785" si="53">SUMIF($D$2:$D$773,B776,$R$2:$R$773)/A776</f>
        <v>1</v>
      </c>
      <c r="D776" s="7">
        <f t="shared" ref="D776:D785" si="54">SUMIF($D$2:$D$773,B776,$R$2:$R$773)/A776</f>
        <v>1</v>
      </c>
      <c r="F776" t="s">
        <v>826</v>
      </c>
      <c r="G776" t="s">
        <v>825</v>
      </c>
      <c r="H776" t="s">
        <v>834</v>
      </c>
      <c r="I776" t="s">
        <v>835</v>
      </c>
    </row>
    <row r="777" spans="1:21" x14ac:dyDescent="0.3">
      <c r="A777" s="6">
        <f t="shared" si="52"/>
        <v>377.298</v>
      </c>
      <c r="B777" s="4" t="s">
        <v>589</v>
      </c>
      <c r="C777" s="7">
        <f t="shared" si="53"/>
        <v>0.98758938557850773</v>
      </c>
      <c r="D777" s="7">
        <f t="shared" si="54"/>
        <v>0.98758938557850773</v>
      </c>
      <c r="F777" s="6">
        <f t="shared" ref="F777:F786" si="55">SUMIF($D$2:$D$773,G777,$E$2:$E$773)</f>
        <v>12</v>
      </c>
      <c r="G777" t="s">
        <v>592</v>
      </c>
      <c r="H777" s="7">
        <f>SUMIF($D$2:$D$773,G777,$T$2:$T$773)/F777</f>
        <v>0.79554824703344096</v>
      </c>
      <c r="I777" s="7">
        <f>SUMIF($D$2:$D$773,G777,$U$2:$U$773)/F777</f>
        <v>0.70445175296655804</v>
      </c>
    </row>
    <row r="778" spans="1:21" x14ac:dyDescent="0.3">
      <c r="A778" s="6">
        <f t="shared" si="52"/>
        <v>3793.6980000000003</v>
      </c>
      <c r="B778" s="4" t="s">
        <v>583</v>
      </c>
      <c r="C778" s="7">
        <f t="shared" si="53"/>
        <v>0.99751350792814775</v>
      </c>
      <c r="D778" s="7">
        <f t="shared" si="54"/>
        <v>0.99751350792814775</v>
      </c>
      <c r="F778" s="6">
        <f t="shared" si="55"/>
        <v>377.298</v>
      </c>
      <c r="G778" s="4" t="s">
        <v>589</v>
      </c>
      <c r="H778" s="7">
        <f t="shared" ref="H778:H786" si="56">SUMIF($D$2:$D$773,G778,$T$2:$T$773)/F778</f>
        <v>0.96654106311817767</v>
      </c>
      <c r="I778" s="7">
        <f t="shared" ref="I778:I786" si="57">SUMIF($D$2:$D$773,G778,$U$2:$U$773)/F778</f>
        <v>0.52073027147675643</v>
      </c>
    </row>
    <row r="779" spans="1:21" x14ac:dyDescent="0.3">
      <c r="A779" s="6">
        <f t="shared" si="52"/>
        <v>15348.725999999999</v>
      </c>
      <c r="B779" s="4" t="s">
        <v>577</v>
      </c>
      <c r="C779" s="7">
        <f t="shared" si="53"/>
        <v>0.94067491334459918</v>
      </c>
      <c r="D779" s="7">
        <f t="shared" si="54"/>
        <v>0.94067491334459918</v>
      </c>
      <c r="F779" s="6">
        <f t="shared" si="55"/>
        <v>3793.6980000000003</v>
      </c>
      <c r="G779" s="4" t="s">
        <v>583</v>
      </c>
      <c r="H779" s="7">
        <f t="shared" si="56"/>
        <v>0.98920522803824829</v>
      </c>
      <c r="I779" s="7">
        <f t="shared" si="57"/>
        <v>0.5067402847569179</v>
      </c>
    </row>
    <row r="780" spans="1:21" x14ac:dyDescent="0.3">
      <c r="A780" s="6">
        <f t="shared" si="52"/>
        <v>2018.587</v>
      </c>
      <c r="B780" s="4" t="s">
        <v>367</v>
      </c>
      <c r="C780" s="7">
        <f t="shared" si="53"/>
        <v>0.9835595394203962</v>
      </c>
      <c r="D780" s="7">
        <f t="shared" si="54"/>
        <v>0.9835595394203962</v>
      </c>
      <c r="F780" s="6">
        <f t="shared" si="55"/>
        <v>15348.725999999999</v>
      </c>
      <c r="G780" s="4" t="s">
        <v>577</v>
      </c>
      <c r="H780" s="7">
        <f t="shared" si="56"/>
        <v>0.83377754341429755</v>
      </c>
      <c r="I780" s="7">
        <f t="shared" si="57"/>
        <v>0.58839961317837242</v>
      </c>
    </row>
    <row r="781" spans="1:21" x14ac:dyDescent="0.3">
      <c r="A781" s="6">
        <f t="shared" si="52"/>
        <v>5040.3630000000003</v>
      </c>
      <c r="B781" s="4" t="s">
        <v>591</v>
      </c>
      <c r="C781" s="7">
        <f t="shared" si="53"/>
        <v>0.94765496056533971</v>
      </c>
      <c r="D781" s="7">
        <f t="shared" si="54"/>
        <v>0.94765496056533971</v>
      </c>
      <c r="F781" s="6">
        <f t="shared" si="55"/>
        <v>2018.587</v>
      </c>
      <c r="G781" s="4" t="s">
        <v>367</v>
      </c>
      <c r="H781" s="7">
        <f t="shared" si="56"/>
        <v>0.5460596920673062</v>
      </c>
      <c r="I781" s="7">
        <f t="shared" si="57"/>
        <v>0.92483405687688014</v>
      </c>
    </row>
    <row r="782" spans="1:21" x14ac:dyDescent="0.3">
      <c r="A782" s="6">
        <f t="shared" si="52"/>
        <v>2981.6559999999995</v>
      </c>
      <c r="B782" s="4" t="s">
        <v>14</v>
      </c>
      <c r="C782" s="7">
        <f t="shared" si="53"/>
        <v>0.8586646145631821</v>
      </c>
      <c r="D782" s="7">
        <f t="shared" si="54"/>
        <v>0.8586646145631821</v>
      </c>
      <c r="F782" s="6">
        <f t="shared" si="55"/>
        <v>5040.3630000000003</v>
      </c>
      <c r="G782" s="4" t="s">
        <v>591</v>
      </c>
      <c r="H782" s="7">
        <f t="shared" si="56"/>
        <v>0.8148434533950808</v>
      </c>
      <c r="I782" s="7">
        <f t="shared" si="57"/>
        <v>0.58598858985259761</v>
      </c>
    </row>
    <row r="783" spans="1:21" x14ac:dyDescent="0.3">
      <c r="A783" s="6">
        <f>SUMIF($D$2:$D$773,B783,$E$2:$E$773)</f>
        <v>108770.70700000002</v>
      </c>
      <c r="B783" t="s">
        <v>575</v>
      </c>
      <c r="C783" s="7">
        <f t="shared" si="53"/>
        <v>0.86167982708800406</v>
      </c>
      <c r="D783" s="7">
        <f t="shared" si="54"/>
        <v>0.86167982708800406</v>
      </c>
      <c r="F783" s="6">
        <f t="shared" si="55"/>
        <v>2981.6559999999995</v>
      </c>
      <c r="G783" s="4" t="s">
        <v>14</v>
      </c>
      <c r="H783" s="7">
        <f t="shared" si="56"/>
        <v>0.70230901214777053</v>
      </c>
      <c r="I783" s="7">
        <f t="shared" si="57"/>
        <v>0.54475453240599359</v>
      </c>
    </row>
    <row r="784" spans="1:21" x14ac:dyDescent="0.3">
      <c r="A784" s="6">
        <f t="shared" si="52"/>
        <v>1283.3349999999998</v>
      </c>
      <c r="B784" s="4" t="s">
        <v>598</v>
      </c>
      <c r="C784" s="7">
        <f t="shared" si="53"/>
        <v>0.86494212345178745</v>
      </c>
      <c r="D784" s="7">
        <f t="shared" si="54"/>
        <v>0.86494212345178745</v>
      </c>
      <c r="F784" s="6">
        <f>SUMIF($D$2:$D$773,G784,$E$2:$E$773)</f>
        <v>108770.70700000002</v>
      </c>
      <c r="G784" t="s">
        <v>575</v>
      </c>
      <c r="H784" s="7">
        <f t="shared" si="56"/>
        <v>0.65479323447184812</v>
      </c>
      <c r="I784" s="7">
        <f t="shared" si="57"/>
        <v>0.57259882890786207</v>
      </c>
    </row>
    <row r="785" spans="1:9" x14ac:dyDescent="0.3">
      <c r="A785" s="6">
        <f t="shared" si="52"/>
        <v>3668.5140000000001</v>
      </c>
      <c r="B785" s="4" t="s">
        <v>595</v>
      </c>
      <c r="C785" s="7">
        <f t="shared" si="53"/>
        <v>0.93814361891490639</v>
      </c>
      <c r="D785" s="7">
        <f t="shared" si="54"/>
        <v>0.93814361891490639</v>
      </c>
      <c r="F785" s="6">
        <f t="shared" si="55"/>
        <v>1283.3349999999998</v>
      </c>
      <c r="G785" s="4" t="s">
        <v>598</v>
      </c>
      <c r="H785" s="7">
        <f t="shared" si="56"/>
        <v>0.56593194760349386</v>
      </c>
      <c r="I785" s="7">
        <f t="shared" si="57"/>
        <v>0.72361832570783891</v>
      </c>
    </row>
    <row r="786" spans="1:9" x14ac:dyDescent="0.3">
      <c r="F786" s="6">
        <f t="shared" si="55"/>
        <v>3668.5140000000001</v>
      </c>
      <c r="G786" s="4" t="s">
        <v>595</v>
      </c>
      <c r="H786" s="7">
        <f t="shared" si="56"/>
        <v>0.76126779244325093</v>
      </c>
      <c r="I786" s="7">
        <f t="shared" si="57"/>
        <v>0.62743455406544335</v>
      </c>
    </row>
  </sheetData>
  <autoFilter ref="A1:J773" xr:uid="{AF76F722-0702-4A5B-8BF7-F2EA2080844E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6D33-7B7C-4AE5-8106-3A7F930C1A19}">
  <dimension ref="A1:U786"/>
  <sheetViews>
    <sheetView zoomScale="70" zoomScaleNormal="70" workbookViewId="0">
      <selection activeCell="K789" sqref="K789"/>
    </sheetView>
  </sheetViews>
  <sheetFormatPr defaultRowHeight="14.4" x14ac:dyDescent="0.3"/>
  <cols>
    <col min="1" max="1" width="12.77734375" customWidth="1"/>
    <col min="2" max="2" width="21.6640625" customWidth="1"/>
    <col min="3" max="3" width="15.5546875" customWidth="1"/>
    <col min="4" max="4" width="20.77734375" customWidth="1"/>
    <col min="5" max="5" width="10" style="2" bestFit="1" customWidth="1"/>
    <col min="6" max="6" width="8.88671875" style="2"/>
    <col min="7" max="7" width="11" style="2" bestFit="1" customWidth="1"/>
    <col min="8" max="8" width="10.6640625" style="2" bestFit="1" customWidth="1"/>
    <col min="9" max="10" width="12" style="1" bestFit="1" customWidth="1"/>
    <col min="11" max="11" width="12" style="1" customWidth="1"/>
    <col min="12" max="12" width="8.88671875" style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839</v>
      </c>
      <c r="L1" s="1" t="s">
        <v>840</v>
      </c>
      <c r="R1" t="s">
        <v>824</v>
      </c>
      <c r="S1" t="s">
        <v>824</v>
      </c>
      <c r="T1" t="s">
        <v>836</v>
      </c>
      <c r="U1" t="s">
        <v>836</v>
      </c>
    </row>
    <row r="2" spans="1:21" x14ac:dyDescent="0.3">
      <c r="A2" t="s">
        <v>10</v>
      </c>
      <c r="B2" t="s">
        <v>11</v>
      </c>
      <c r="C2" t="s">
        <v>574</v>
      </c>
      <c r="D2" t="s">
        <v>575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P2" s="1">
        <f>I2-'Passo 2'!I2</f>
        <v>0</v>
      </c>
      <c r="Q2" s="1">
        <f>J2-'Passo 2'!J2</f>
        <v>0</v>
      </c>
      <c r="R2" s="1">
        <f>I2*E2</f>
        <v>0</v>
      </c>
      <c r="S2">
        <f t="shared" ref="S2:S65" si="0">J2*E2</f>
        <v>0</v>
      </c>
      <c r="T2" s="1">
        <f>K2*E2</f>
        <v>0</v>
      </c>
      <c r="U2" s="1">
        <f>L2*E2</f>
        <v>0</v>
      </c>
    </row>
    <row r="3" spans="1:21" x14ac:dyDescent="0.3">
      <c r="A3" t="s">
        <v>10</v>
      </c>
      <c r="B3" t="s">
        <v>12</v>
      </c>
      <c r="C3" t="s">
        <v>576</v>
      </c>
      <c r="D3" t="s">
        <v>577</v>
      </c>
      <c r="E3" s="2">
        <v>143.99</v>
      </c>
      <c r="F3" s="2">
        <v>0</v>
      </c>
      <c r="G3" s="2">
        <v>26.2575</v>
      </c>
      <c r="H3" s="2">
        <v>-29.416250000000002</v>
      </c>
      <c r="I3" s="1">
        <v>0.86471282727967202</v>
      </c>
      <c r="J3" s="1">
        <v>0.90858740190290999</v>
      </c>
      <c r="K3" s="1">
        <v>0.56926007508836796</v>
      </c>
      <c r="L3" s="1">
        <v>0.70404015409421405</v>
      </c>
      <c r="P3" s="1">
        <f>I3-'Passo 2'!I3</f>
        <v>5.4628793666226971E-2</v>
      </c>
      <c r="Q3" s="1">
        <f>J3-'Passo 2'!J3</f>
        <v>5.6601152857893577E-4</v>
      </c>
      <c r="R3" s="1">
        <f t="shared" ref="R3:R66" si="1">I3*E3</f>
        <v>124.50999999999998</v>
      </c>
      <c r="S3">
        <f t="shared" si="0"/>
        <v>130.82750000000001</v>
      </c>
      <c r="T3" s="1">
        <f t="shared" ref="T3:T66" si="2">K3*E3</f>
        <v>81.9677582119741</v>
      </c>
      <c r="U3" s="1">
        <f t="shared" ref="U3:U66" si="3">L3*E3</f>
        <v>101.37474178802589</v>
      </c>
    </row>
    <row r="4" spans="1:21" x14ac:dyDescent="0.3">
      <c r="A4" t="s">
        <v>10</v>
      </c>
      <c r="B4" t="s">
        <v>13</v>
      </c>
      <c r="C4" t="s">
        <v>576</v>
      </c>
      <c r="D4" t="s">
        <v>14</v>
      </c>
      <c r="E4" s="2">
        <v>16.018000000000001</v>
      </c>
      <c r="F4" s="2">
        <v>0</v>
      </c>
      <c r="G4" s="2">
        <v>2.1062500000000002</v>
      </c>
      <c r="H4" s="2">
        <v>-4.0045000000000002</v>
      </c>
      <c r="I4" s="1">
        <v>0.76298539143463595</v>
      </c>
      <c r="J4" s="1">
        <v>1</v>
      </c>
      <c r="K4" s="1">
        <v>0.59906136391462494</v>
      </c>
      <c r="L4" s="1">
        <v>0.66392402752001001</v>
      </c>
      <c r="M4" s="1">
        <f>(E4-F4+G4*4)/(2*E4)</f>
        <v>0.76298539143463606</v>
      </c>
      <c r="N4" s="1">
        <f>(E4-F4-H4*4)/(2*E4)</f>
        <v>1</v>
      </c>
      <c r="P4" s="1">
        <f>I4-'Passo 2'!I4</f>
        <v>-4.6791110001248026E-2</v>
      </c>
      <c r="Q4" s="1">
        <f>J4-'Passo 2'!J4</f>
        <v>0.23823198901236198</v>
      </c>
      <c r="R4" s="1">
        <f t="shared" si="1"/>
        <v>12.221499999999999</v>
      </c>
      <c r="S4">
        <f t="shared" si="0"/>
        <v>16.018000000000001</v>
      </c>
      <c r="T4" s="1">
        <f t="shared" si="2"/>
        <v>9.5957649271844634</v>
      </c>
      <c r="U4" s="1">
        <f t="shared" si="3"/>
        <v>10.63473507281552</v>
      </c>
    </row>
    <row r="5" spans="1:21" x14ac:dyDescent="0.3">
      <c r="A5" t="s">
        <v>10</v>
      </c>
      <c r="B5" t="s">
        <v>15</v>
      </c>
      <c r="C5" t="s">
        <v>574</v>
      </c>
      <c r="D5" t="s">
        <v>575</v>
      </c>
      <c r="E5" s="2">
        <v>244.435</v>
      </c>
      <c r="F5" s="2">
        <v>3.8879999999999999</v>
      </c>
      <c r="G5" s="2">
        <v>46.964500000000001</v>
      </c>
      <c r="H5" s="2">
        <v>-44.420749999999998</v>
      </c>
      <c r="I5" s="1">
        <v>0.87631681224047198</v>
      </c>
      <c r="J5" s="1">
        <v>0.85550350809008502</v>
      </c>
      <c r="K5" s="1">
        <v>0.73133713534474798</v>
      </c>
      <c r="L5" s="1">
        <v>0.50843621953487195</v>
      </c>
      <c r="P5" s="1">
        <f>I5-'Passo 2'!I5</f>
        <v>-1.5478552580441063E-2</v>
      </c>
      <c r="Q5" s="1">
        <f>J5-'Passo 2'!J5</f>
        <v>1.7080205371570178E-3</v>
      </c>
      <c r="R5" s="1">
        <f t="shared" si="1"/>
        <v>214.20249999999976</v>
      </c>
      <c r="S5">
        <f t="shared" si="0"/>
        <v>209.11499999999992</v>
      </c>
      <c r="T5" s="1">
        <f t="shared" si="2"/>
        <v>178.76439267799347</v>
      </c>
      <c r="U5" s="1">
        <f t="shared" si="3"/>
        <v>124.27960732200643</v>
      </c>
    </row>
    <row r="6" spans="1:21" x14ac:dyDescent="0.3">
      <c r="A6" t="s">
        <v>10</v>
      </c>
      <c r="B6" t="s">
        <v>16</v>
      </c>
      <c r="C6" t="s">
        <v>574</v>
      </c>
      <c r="D6" t="s">
        <v>575</v>
      </c>
      <c r="E6" s="2">
        <v>10963.710999999999</v>
      </c>
      <c r="F6" s="2">
        <v>0</v>
      </c>
      <c r="G6" s="2">
        <v>2044.60475</v>
      </c>
      <c r="H6" s="2">
        <v>-2077.6224999999999</v>
      </c>
      <c r="I6" s="1">
        <v>0.87297676854123496</v>
      </c>
      <c r="J6" s="1">
        <v>0.87899986601252</v>
      </c>
      <c r="K6" s="1">
        <v>0.70024275643231604</v>
      </c>
      <c r="L6" s="1">
        <v>0.55173387812143904</v>
      </c>
      <c r="P6" s="1">
        <f>I6-'Passo 2'!I6</f>
        <v>0.100875013943727</v>
      </c>
      <c r="Q6" s="1">
        <f>J6-'Passo 2'!J6</f>
        <v>0.10318445095825601</v>
      </c>
      <c r="R6" s="1">
        <f t="shared" si="1"/>
        <v>9571.0649999999914</v>
      </c>
      <c r="S6">
        <f t="shared" si="0"/>
        <v>9637.1004999999914</v>
      </c>
      <c r="T6" s="1">
        <f t="shared" si="2"/>
        <v>7677.2592113673036</v>
      </c>
      <c r="U6" s="1">
        <f t="shared" si="3"/>
        <v>6049.0507886326805</v>
      </c>
    </row>
    <row r="7" spans="1:21" x14ac:dyDescent="0.3">
      <c r="A7" t="s">
        <v>10</v>
      </c>
      <c r="B7" t="s">
        <v>17</v>
      </c>
      <c r="C7" t="s">
        <v>576</v>
      </c>
      <c r="D7" t="s">
        <v>14</v>
      </c>
      <c r="E7" s="2">
        <v>11.031000000000001</v>
      </c>
      <c r="F7" s="2">
        <v>0</v>
      </c>
      <c r="G7" s="2">
        <v>2.6397499999999998</v>
      </c>
      <c r="H7" s="2">
        <v>-2.677</v>
      </c>
      <c r="I7" s="1">
        <v>0.97860574743903495</v>
      </c>
      <c r="J7" s="1">
        <v>0.985359441573746</v>
      </c>
      <c r="K7" s="1">
        <v>0.65787055984326503</v>
      </c>
      <c r="L7" s="1">
        <v>0.80609462916951602</v>
      </c>
      <c r="P7" s="1">
        <f>I7-'Passo 2'!I7</f>
        <v>3.8074517269509611E-3</v>
      </c>
      <c r="Q7" s="1">
        <f>J7-'Passo 2'!J7</f>
        <v>0</v>
      </c>
      <c r="R7" s="1">
        <f t="shared" si="1"/>
        <v>10.794999999999995</v>
      </c>
      <c r="S7">
        <f t="shared" si="0"/>
        <v>10.869499999999993</v>
      </c>
      <c r="T7" s="1">
        <f t="shared" si="2"/>
        <v>7.2569701456310574</v>
      </c>
      <c r="U7" s="1">
        <f t="shared" si="3"/>
        <v>8.892029854368932</v>
      </c>
    </row>
    <row r="8" spans="1:21" x14ac:dyDescent="0.3">
      <c r="A8" t="s">
        <v>10</v>
      </c>
      <c r="B8" t="s">
        <v>578</v>
      </c>
      <c r="C8" t="s">
        <v>574</v>
      </c>
      <c r="D8" t="s">
        <v>575</v>
      </c>
      <c r="E8" s="2">
        <v>214.44900000000001</v>
      </c>
      <c r="F8" s="2">
        <v>0</v>
      </c>
      <c r="G8" s="2">
        <v>38.676499999999997</v>
      </c>
      <c r="H8" s="2">
        <v>-39.084249999999997</v>
      </c>
      <c r="I8" s="1">
        <v>0.86070580884032999</v>
      </c>
      <c r="J8" s="1">
        <v>0.86450857779705104</v>
      </c>
      <c r="K8" s="1">
        <v>0.61691890299548602</v>
      </c>
      <c r="L8" s="1">
        <v>0.60829548364189601</v>
      </c>
      <c r="P8" s="1">
        <f>I8-'Passo 2'!I8</f>
        <v>1.3625617279632962E-2</v>
      </c>
      <c r="Q8" s="1">
        <f>J8-'Passo 2'!J8</f>
        <v>5.3625803804080441E-5</v>
      </c>
      <c r="R8" s="1">
        <f t="shared" si="1"/>
        <v>184.57749999999993</v>
      </c>
      <c r="S8">
        <f t="shared" si="0"/>
        <v>185.3929999999998</v>
      </c>
      <c r="T8" s="1">
        <f t="shared" si="2"/>
        <v>132.29764182847899</v>
      </c>
      <c r="U8" s="1">
        <f t="shared" si="3"/>
        <v>130.44835817152097</v>
      </c>
    </row>
    <row r="9" spans="1:21" x14ac:dyDescent="0.3">
      <c r="A9" t="s">
        <v>10</v>
      </c>
      <c r="B9" t="s">
        <v>579</v>
      </c>
      <c r="C9" t="s">
        <v>576</v>
      </c>
      <c r="D9" t="s">
        <v>14</v>
      </c>
      <c r="E9" s="2">
        <v>10.714</v>
      </c>
      <c r="F9" s="2">
        <v>0</v>
      </c>
      <c r="G9" s="2">
        <v>2.5950000000000002</v>
      </c>
      <c r="H9" s="2">
        <v>-2.5952500000000001</v>
      </c>
      <c r="I9" s="1">
        <v>0.98441291767780403</v>
      </c>
      <c r="J9" s="1">
        <v>0.98445958558894897</v>
      </c>
      <c r="K9" s="1">
        <v>0.66880406454851704</v>
      </c>
      <c r="L9" s="1">
        <v>0.80006843871823596</v>
      </c>
      <c r="P9" s="1">
        <f>I9-'Passo 2'!I9</f>
        <v>4.5734552921410376E-3</v>
      </c>
      <c r="Q9" s="1">
        <f>J9-'Passo 2'!J9</f>
        <v>1.4000373343289185E-3</v>
      </c>
      <c r="R9" s="1">
        <f t="shared" si="1"/>
        <v>10.546999999999993</v>
      </c>
      <c r="S9">
        <f t="shared" si="0"/>
        <v>10.547499999999999</v>
      </c>
      <c r="T9" s="1">
        <f t="shared" si="2"/>
        <v>7.1655667475728118</v>
      </c>
      <c r="U9" s="1">
        <f t="shared" si="3"/>
        <v>8.571933252427181</v>
      </c>
    </row>
    <row r="10" spans="1:21" x14ac:dyDescent="0.3">
      <c r="A10" t="s">
        <v>10</v>
      </c>
      <c r="B10" t="s">
        <v>18</v>
      </c>
      <c r="C10" t="s">
        <v>574</v>
      </c>
      <c r="D10" t="s">
        <v>575</v>
      </c>
      <c r="E10" s="2">
        <v>74.23</v>
      </c>
      <c r="F10" s="2">
        <v>0</v>
      </c>
      <c r="G10" s="2">
        <v>17.627500000000001</v>
      </c>
      <c r="H10" s="2">
        <v>-18.029499999999999</v>
      </c>
      <c r="I10" s="1">
        <v>0.97494274552067794</v>
      </c>
      <c r="J10" s="1">
        <v>0.98577394584399802</v>
      </c>
      <c r="K10" s="1">
        <v>0.595180918922948</v>
      </c>
      <c r="L10" s="1">
        <v>0.86553577244172797</v>
      </c>
      <c r="P10" s="1">
        <f>I10-'Passo 2'!I10</f>
        <v>-6.075710629126041E-3</v>
      </c>
      <c r="Q10" s="1">
        <f>J10-'Passo 2'!J10</f>
        <v>1.5499124343258064E-2</v>
      </c>
      <c r="R10" s="1">
        <f t="shared" si="1"/>
        <v>72.369999999999933</v>
      </c>
      <c r="S10">
        <f t="shared" si="0"/>
        <v>73.173999999999978</v>
      </c>
      <c r="T10" s="1">
        <f t="shared" si="2"/>
        <v>44.180279611650434</v>
      </c>
      <c r="U10" s="1">
        <f t="shared" si="3"/>
        <v>64.248720388349469</v>
      </c>
    </row>
    <row r="11" spans="1:21" x14ac:dyDescent="0.3">
      <c r="A11" t="s">
        <v>10</v>
      </c>
      <c r="B11" t="s">
        <v>19</v>
      </c>
      <c r="C11" t="s">
        <v>580</v>
      </c>
      <c r="D11" t="s">
        <v>581</v>
      </c>
      <c r="E11" s="2">
        <v>414.096</v>
      </c>
      <c r="F11" s="2">
        <v>0</v>
      </c>
      <c r="G11" s="2">
        <v>101.54174999999999</v>
      </c>
      <c r="H11" s="2">
        <v>-100.039</v>
      </c>
      <c r="I11" s="1">
        <v>0.99042613307059202</v>
      </c>
      <c r="J11" s="1">
        <v>0.98316815424442605</v>
      </c>
      <c r="K11" s="1">
        <v>0.77134725431146201</v>
      </c>
      <c r="L11" s="1">
        <v>0.70224703300355595</v>
      </c>
      <c r="P11" s="1">
        <f>I11-'Passo 2'!I11</f>
        <v>2.8417323519184023E-2</v>
      </c>
      <c r="Q11" s="1">
        <f>J11-'Passo 2'!J11</f>
        <v>3.381100034774509E-2</v>
      </c>
      <c r="R11" s="1">
        <f t="shared" si="1"/>
        <v>410.1314999999999</v>
      </c>
      <c r="S11">
        <f t="shared" si="0"/>
        <v>407.12599999999986</v>
      </c>
      <c r="T11" s="1">
        <f t="shared" si="2"/>
        <v>319.41181262135916</v>
      </c>
      <c r="U11" s="1">
        <f t="shared" si="3"/>
        <v>290.79768737864049</v>
      </c>
    </row>
    <row r="12" spans="1:21" x14ac:dyDescent="0.3">
      <c r="A12" t="s">
        <v>10</v>
      </c>
      <c r="B12" t="s">
        <v>20</v>
      </c>
      <c r="C12" t="s">
        <v>576</v>
      </c>
      <c r="D12" t="s">
        <v>577</v>
      </c>
      <c r="E12" s="2">
        <v>83.188000000000002</v>
      </c>
      <c r="F12" s="2">
        <v>0</v>
      </c>
      <c r="G12" s="2">
        <v>17.99025</v>
      </c>
      <c r="H12" s="2">
        <v>-17.984749999999998</v>
      </c>
      <c r="I12" s="1">
        <v>0.93252031543011005</v>
      </c>
      <c r="J12" s="1">
        <v>0.93238808481992597</v>
      </c>
      <c r="K12" s="1">
        <v>0.52325392231624701</v>
      </c>
      <c r="L12" s="1">
        <v>0.841654477933788</v>
      </c>
      <c r="P12" s="1">
        <f>I12-'Passo 2'!I12</f>
        <v>1.1786555753234063E-2</v>
      </c>
      <c r="Q12" s="1">
        <f>J12-'Passo 2'!J12</f>
        <v>1.0217819877900158E-4</v>
      </c>
      <c r="R12" s="1">
        <f t="shared" si="1"/>
        <v>77.5745</v>
      </c>
      <c r="S12">
        <f t="shared" si="0"/>
        <v>77.563500000000005</v>
      </c>
      <c r="T12" s="1">
        <f t="shared" si="2"/>
        <v>43.528447289643957</v>
      </c>
      <c r="U12" s="1">
        <f t="shared" si="3"/>
        <v>70.015552710355962</v>
      </c>
    </row>
    <row r="13" spans="1:21" x14ac:dyDescent="0.3">
      <c r="A13" t="s">
        <v>10</v>
      </c>
      <c r="B13" t="s">
        <v>582</v>
      </c>
      <c r="C13" t="s">
        <v>574</v>
      </c>
      <c r="D13" t="s">
        <v>575</v>
      </c>
      <c r="E13" s="2">
        <v>43.667999999999999</v>
      </c>
      <c r="F13" s="2">
        <v>0.17399999999999999</v>
      </c>
      <c r="G13" s="2">
        <v>10.26975</v>
      </c>
      <c r="H13" s="2">
        <v>-10.22325</v>
      </c>
      <c r="I13" s="1">
        <v>0.96836356141797197</v>
      </c>
      <c r="J13" s="1">
        <v>0.96623385545479501</v>
      </c>
      <c r="K13" s="1">
        <v>0.61510710560086601</v>
      </c>
      <c r="L13" s="1">
        <v>0.82148261685035595</v>
      </c>
      <c r="P13" s="1">
        <f>I13-'Passo 2'!I13</f>
        <v>6.9845195566597962E-4</v>
      </c>
      <c r="Q13" s="1">
        <f>J13-'Passo 2'!J13</f>
        <v>-9.6180269304702026E-4</v>
      </c>
      <c r="R13" s="1">
        <f t="shared" si="1"/>
        <v>42.286499999999997</v>
      </c>
      <c r="S13">
        <f t="shared" si="0"/>
        <v>42.193499999999986</v>
      </c>
      <c r="T13" s="1">
        <f t="shared" si="2"/>
        <v>26.860497087378615</v>
      </c>
      <c r="U13" s="1">
        <f t="shared" si="3"/>
        <v>35.872502912621343</v>
      </c>
    </row>
    <row r="14" spans="1:21" x14ac:dyDescent="0.3">
      <c r="A14" t="s">
        <v>10</v>
      </c>
      <c r="B14" t="s">
        <v>21</v>
      </c>
      <c r="C14" t="s">
        <v>576</v>
      </c>
      <c r="D14" t="s">
        <v>583</v>
      </c>
      <c r="E14" s="2">
        <v>40.799999999999997</v>
      </c>
      <c r="F14" s="2">
        <v>0</v>
      </c>
      <c r="G14" s="2">
        <v>10.084</v>
      </c>
      <c r="H14" s="2">
        <v>-10.11825</v>
      </c>
      <c r="I14" s="1">
        <v>0.99431372549019603</v>
      </c>
      <c r="J14" s="1">
        <v>0.99599264705882296</v>
      </c>
      <c r="K14" s="1">
        <v>0.92263663579893695</v>
      </c>
      <c r="L14" s="1">
        <v>0.56766973675008203</v>
      </c>
      <c r="P14" s="1">
        <f>I14-'Passo 2'!I14</f>
        <v>1.5870098039216018E-2</v>
      </c>
      <c r="Q14" s="1">
        <f>J14-'Passo 2'!J14</f>
        <v>5.9191176470589912E-3</v>
      </c>
      <c r="R14" s="1">
        <f t="shared" si="1"/>
        <v>40.567999999999998</v>
      </c>
      <c r="S14">
        <f t="shared" si="0"/>
        <v>40.636499999999977</v>
      </c>
      <c r="T14" s="1">
        <f t="shared" si="2"/>
        <v>37.643574740596627</v>
      </c>
      <c r="U14" s="1">
        <f t="shared" si="3"/>
        <v>23.160925259403346</v>
      </c>
    </row>
    <row r="15" spans="1:21" x14ac:dyDescent="0.3">
      <c r="A15" t="s">
        <v>10</v>
      </c>
      <c r="B15" t="s">
        <v>22</v>
      </c>
      <c r="C15" t="s">
        <v>574</v>
      </c>
      <c r="D15" t="s">
        <v>575</v>
      </c>
      <c r="E15" s="2">
        <v>1100.02</v>
      </c>
      <c r="F15" s="2">
        <v>0</v>
      </c>
      <c r="G15" s="2">
        <v>233.08775</v>
      </c>
      <c r="H15" s="2">
        <v>-226.05924999999999</v>
      </c>
      <c r="I15" s="1">
        <v>0.92378820385083904</v>
      </c>
      <c r="J15" s="1">
        <v>0.91100934528463096</v>
      </c>
      <c r="K15" s="1">
        <v>0.673251623359716</v>
      </c>
      <c r="L15" s="1">
        <v>0.661545925775753</v>
      </c>
      <c r="P15" s="1">
        <f>I15-'Passo 2'!I15</f>
        <v>1.9304194469192071E-2</v>
      </c>
      <c r="Q15" s="1">
        <f>J15-'Passo 2'!J15</f>
        <v>4.1115616079707928E-2</v>
      </c>
      <c r="R15" s="1">
        <f t="shared" si="1"/>
        <v>1016.1854999999999</v>
      </c>
      <c r="S15">
        <f t="shared" si="0"/>
        <v>1002.1284999999997</v>
      </c>
      <c r="T15" s="1">
        <f t="shared" si="2"/>
        <v>740.59025072815473</v>
      </c>
      <c r="U15" s="1">
        <f t="shared" si="3"/>
        <v>727.71374927184377</v>
      </c>
    </row>
    <row r="16" spans="1:21" x14ac:dyDescent="0.3">
      <c r="A16" t="s">
        <v>10</v>
      </c>
      <c r="B16" t="s">
        <v>23</v>
      </c>
      <c r="C16" t="s">
        <v>574</v>
      </c>
      <c r="D16" t="s">
        <v>575</v>
      </c>
      <c r="E16" s="2">
        <v>245.61799999999999</v>
      </c>
      <c r="F16" s="2">
        <v>0</v>
      </c>
      <c r="G16" s="2">
        <v>59.536999999999999</v>
      </c>
      <c r="H16" s="2">
        <v>-58.904000000000003</v>
      </c>
      <c r="I16" s="1">
        <v>0.98479345976272004</v>
      </c>
      <c r="J16" s="1">
        <v>0.97963911439715301</v>
      </c>
      <c r="K16" s="1">
        <v>0.72590222800654403</v>
      </c>
      <c r="L16" s="1">
        <v>0.73853034615333002</v>
      </c>
      <c r="P16" s="1">
        <f>I16-'Passo 2'!I16</f>
        <v>5.6449445887515992E-2</v>
      </c>
      <c r="Q16" s="1">
        <f>J16-'Passo 2'!J16</f>
        <v>4.313608937456026E-3</v>
      </c>
      <c r="R16" s="1">
        <f t="shared" si="1"/>
        <v>241.88299999999975</v>
      </c>
      <c r="S16">
        <f t="shared" si="0"/>
        <v>240.61699999999993</v>
      </c>
      <c r="T16" s="1">
        <f t="shared" si="2"/>
        <v>178.29465343851132</v>
      </c>
      <c r="U16" s="1">
        <f t="shared" si="3"/>
        <v>181.3963465614886</v>
      </c>
    </row>
    <row r="17" spans="1:21" x14ac:dyDescent="0.3">
      <c r="A17" t="s">
        <v>10</v>
      </c>
      <c r="B17" t="s">
        <v>24</v>
      </c>
      <c r="C17" t="s">
        <v>576</v>
      </c>
      <c r="D17" t="s">
        <v>583</v>
      </c>
      <c r="E17" s="2">
        <v>35.563000000000002</v>
      </c>
      <c r="F17" s="2">
        <v>0</v>
      </c>
      <c r="G17" s="2">
        <v>8.5730000000000004</v>
      </c>
      <c r="H17" s="2">
        <v>-8.7185000000000006</v>
      </c>
      <c r="I17" s="1">
        <v>0.98213030396760603</v>
      </c>
      <c r="J17" s="1">
        <v>0.99031296572280103</v>
      </c>
      <c r="K17" s="1">
        <v>0.86912625907338203</v>
      </c>
      <c r="L17" s="1">
        <v>0.60331701061702503</v>
      </c>
      <c r="P17" s="1">
        <f>I17-'Passo 2'!I17</f>
        <v>4.3725220032055034E-2</v>
      </c>
      <c r="Q17" s="1">
        <f>J17-'Passo 2'!J17</f>
        <v>3.0495177572195997E-2</v>
      </c>
      <c r="R17" s="1">
        <f t="shared" si="1"/>
        <v>34.927499999999974</v>
      </c>
      <c r="S17">
        <f t="shared" si="0"/>
        <v>35.218499999999977</v>
      </c>
      <c r="T17" s="1">
        <f t="shared" si="2"/>
        <v>30.908737151426688</v>
      </c>
      <c r="U17" s="1">
        <f t="shared" si="3"/>
        <v>21.455762848573261</v>
      </c>
    </row>
    <row r="18" spans="1:21" x14ac:dyDescent="0.3">
      <c r="A18" t="s">
        <v>10</v>
      </c>
      <c r="B18" t="s">
        <v>25</v>
      </c>
      <c r="C18" t="s">
        <v>576</v>
      </c>
      <c r="D18" t="s">
        <v>583</v>
      </c>
      <c r="E18" s="2">
        <v>162.19</v>
      </c>
      <c r="F18" s="2">
        <v>0</v>
      </c>
      <c r="G18" s="2">
        <v>40.472000000000001</v>
      </c>
      <c r="H18" s="2">
        <v>-40.547499999999999</v>
      </c>
      <c r="I18" s="1">
        <v>0.99906899315617403</v>
      </c>
      <c r="J18" s="1">
        <v>1</v>
      </c>
      <c r="K18" s="1">
        <v>0.98741496648522997</v>
      </c>
      <c r="L18" s="1">
        <v>0.51165402667094395</v>
      </c>
      <c r="P18" s="1">
        <f>I18-'Passo 2'!I18</f>
        <v>2.8608422220850471E-3</v>
      </c>
      <c r="Q18" s="1">
        <f>J18-'Passo 2'!J18</f>
        <v>1.8589308835319507E-3</v>
      </c>
      <c r="R18" s="1">
        <f t="shared" si="1"/>
        <v>162.03899999999987</v>
      </c>
      <c r="S18">
        <f t="shared" si="0"/>
        <v>162.19</v>
      </c>
      <c r="T18" s="1">
        <f t="shared" si="2"/>
        <v>160.14883341423945</v>
      </c>
      <c r="U18" s="1">
        <f t="shared" si="3"/>
        <v>82.985166585760396</v>
      </c>
    </row>
    <row r="19" spans="1:21" x14ac:dyDescent="0.3">
      <c r="A19" t="s">
        <v>10</v>
      </c>
      <c r="B19" t="s">
        <v>26</v>
      </c>
      <c r="C19" t="s">
        <v>576</v>
      </c>
      <c r="D19" t="s">
        <v>583</v>
      </c>
      <c r="E19" s="2">
        <v>162.16900000000001</v>
      </c>
      <c r="F19" s="2">
        <v>0</v>
      </c>
      <c r="G19" s="2">
        <v>40.542250000000003</v>
      </c>
      <c r="H19" s="2">
        <v>-40.517249999999997</v>
      </c>
      <c r="I19" s="1">
        <v>1</v>
      </c>
      <c r="J19" s="1">
        <v>0.99969167966750705</v>
      </c>
      <c r="K19" s="1">
        <v>0.98837815767166504</v>
      </c>
      <c r="L19" s="1">
        <v>0.51131352199584201</v>
      </c>
      <c r="P19" s="1">
        <f>I19-'Passo 2'!I19</f>
        <v>2.9814576152049632E-3</v>
      </c>
      <c r="Q19" s="1">
        <f>J19-'Passo 2'!J19</f>
        <v>1.6340977622110175E-3</v>
      </c>
      <c r="R19" s="1">
        <f t="shared" si="1"/>
        <v>162.16900000000001</v>
      </c>
      <c r="S19">
        <f t="shared" si="0"/>
        <v>162.11899999999997</v>
      </c>
      <c r="T19" s="1">
        <f t="shared" si="2"/>
        <v>160.28429745145627</v>
      </c>
      <c r="U19" s="1">
        <f t="shared" si="3"/>
        <v>82.919202548543709</v>
      </c>
    </row>
    <row r="20" spans="1:21" x14ac:dyDescent="0.3">
      <c r="A20" t="s">
        <v>10</v>
      </c>
      <c r="B20" t="s">
        <v>27</v>
      </c>
      <c r="C20" t="s">
        <v>576</v>
      </c>
      <c r="D20" t="s">
        <v>577</v>
      </c>
      <c r="E20" s="2">
        <v>126.41200000000001</v>
      </c>
      <c r="F20" s="2">
        <v>0</v>
      </c>
      <c r="G20" s="2">
        <v>25.128</v>
      </c>
      <c r="H20" s="2">
        <v>-31.186499999999999</v>
      </c>
      <c r="I20" s="1">
        <v>0.89755719393728395</v>
      </c>
      <c r="J20" s="1">
        <v>0.99341043571812804</v>
      </c>
      <c r="K20" s="1">
        <v>0.50928937082700798</v>
      </c>
      <c r="L20" s="1">
        <v>0.88167825882840301</v>
      </c>
      <c r="P20" s="1">
        <f>I20-'Passo 2'!I20</f>
        <v>0.111298769104199</v>
      </c>
      <c r="Q20" s="1">
        <f>J20-'Passo 2'!J20</f>
        <v>7.914596715501987E-3</v>
      </c>
      <c r="R20" s="1">
        <f t="shared" si="1"/>
        <v>113.46199999999995</v>
      </c>
      <c r="S20">
        <f t="shared" si="0"/>
        <v>125.57900000000001</v>
      </c>
      <c r="T20" s="1">
        <f t="shared" si="2"/>
        <v>64.380287944983735</v>
      </c>
      <c r="U20" s="1">
        <f t="shared" si="3"/>
        <v>111.45471205501609</v>
      </c>
    </row>
    <row r="21" spans="1:21" x14ac:dyDescent="0.3">
      <c r="A21" t="s">
        <v>10</v>
      </c>
      <c r="B21" t="s">
        <v>28</v>
      </c>
      <c r="C21" t="s">
        <v>576</v>
      </c>
      <c r="D21" t="s">
        <v>577</v>
      </c>
      <c r="E21" s="2">
        <v>86.302999999999997</v>
      </c>
      <c r="F21" s="2">
        <v>0</v>
      </c>
      <c r="G21" s="2">
        <v>15.96175</v>
      </c>
      <c r="H21" s="2">
        <v>-16.010999999999999</v>
      </c>
      <c r="I21" s="1">
        <v>0.86990023521777904</v>
      </c>
      <c r="J21" s="1">
        <v>0.87104156286571699</v>
      </c>
      <c r="K21" s="1">
        <v>0.51798361174018204</v>
      </c>
      <c r="L21" s="1">
        <v>0.72295818634331399</v>
      </c>
      <c r="P21" s="1">
        <f>I21-'Passo 2'!I21</f>
        <v>5.6081480365690606E-3</v>
      </c>
      <c r="Q21" s="1">
        <f>J21-'Passo 2'!J21</f>
        <v>-2.6650290256402531E-4</v>
      </c>
      <c r="R21" s="1">
        <f t="shared" si="1"/>
        <v>75.074999999999989</v>
      </c>
      <c r="S21">
        <f t="shared" si="0"/>
        <v>75.173499999999976</v>
      </c>
      <c r="T21" s="1">
        <f t="shared" si="2"/>
        <v>44.703539644012928</v>
      </c>
      <c r="U21" s="1">
        <f t="shared" si="3"/>
        <v>62.393460355987024</v>
      </c>
    </row>
    <row r="22" spans="1:21" x14ac:dyDescent="0.3">
      <c r="A22" t="s">
        <v>10</v>
      </c>
      <c r="B22" t="s">
        <v>584</v>
      </c>
      <c r="C22" t="s">
        <v>576</v>
      </c>
      <c r="D22" t="s">
        <v>577</v>
      </c>
      <c r="E22" s="2">
        <v>263.41399999999999</v>
      </c>
      <c r="F22" s="2">
        <v>0</v>
      </c>
      <c r="G22" s="2">
        <v>59.174500000000002</v>
      </c>
      <c r="H22" s="2">
        <v>-61.671250000000001</v>
      </c>
      <c r="I22" s="1">
        <v>0.94928895199192098</v>
      </c>
      <c r="J22" s="1">
        <v>0.96824580318434095</v>
      </c>
      <c r="K22" s="1">
        <v>0.87856242445628496</v>
      </c>
      <c r="L22" s="1">
        <v>0.53897233071997597</v>
      </c>
      <c r="P22" s="1">
        <f>I22-'Passo 2'!I22</f>
        <v>7.9299126090488947E-2</v>
      </c>
      <c r="Q22" s="1">
        <f>J22-'Passo 2'!J22</f>
        <v>1.0455025169504917E-2</v>
      </c>
      <c r="R22" s="1">
        <f t="shared" si="1"/>
        <v>250.05599999999987</v>
      </c>
      <c r="S22">
        <f t="shared" si="0"/>
        <v>255.04949999999997</v>
      </c>
      <c r="T22" s="1">
        <f t="shared" si="2"/>
        <v>231.42564247572784</v>
      </c>
      <c r="U22" s="1">
        <f t="shared" si="3"/>
        <v>141.97285752427175</v>
      </c>
    </row>
    <row r="23" spans="1:21" x14ac:dyDescent="0.3">
      <c r="A23" t="s">
        <v>10</v>
      </c>
      <c r="B23" t="s">
        <v>29</v>
      </c>
      <c r="C23" t="s">
        <v>576</v>
      </c>
      <c r="D23" t="s">
        <v>577</v>
      </c>
      <c r="E23" s="2">
        <v>73.927000000000007</v>
      </c>
      <c r="F23" s="2">
        <v>0</v>
      </c>
      <c r="G23" s="2">
        <v>18.16675</v>
      </c>
      <c r="H23" s="2">
        <v>-18.315000000000001</v>
      </c>
      <c r="I23" s="1">
        <v>0.99147807972729796</v>
      </c>
      <c r="J23" s="1">
        <v>0.99548879299849802</v>
      </c>
      <c r="K23" s="1">
        <v>0.56547839953460599</v>
      </c>
      <c r="L23" s="1">
        <v>0.92148847319119098</v>
      </c>
      <c r="P23" s="1">
        <f>I23-'Passo 2'!I23</f>
        <v>1.2850514696930992E-2</v>
      </c>
      <c r="Q23" s="1">
        <f>J23-'Passo 2'!J23</f>
        <v>2.0290286363600085E-4</v>
      </c>
      <c r="R23" s="1">
        <f t="shared" si="1"/>
        <v>73.296999999999969</v>
      </c>
      <c r="S23">
        <f t="shared" si="0"/>
        <v>73.593499999999963</v>
      </c>
      <c r="T23" s="1">
        <f t="shared" si="2"/>
        <v>41.804121642394819</v>
      </c>
      <c r="U23" s="1">
        <f t="shared" si="3"/>
        <v>68.122878357605188</v>
      </c>
    </row>
    <row r="24" spans="1:21" x14ac:dyDescent="0.3">
      <c r="A24" t="s">
        <v>10</v>
      </c>
      <c r="B24" t="s">
        <v>585</v>
      </c>
      <c r="C24" t="s">
        <v>576</v>
      </c>
      <c r="D24" t="s">
        <v>577</v>
      </c>
      <c r="E24" s="2">
        <v>523.80799999999999</v>
      </c>
      <c r="F24" s="2">
        <v>0</v>
      </c>
      <c r="G24" s="2">
        <v>113.77200000000001</v>
      </c>
      <c r="H24" s="2">
        <v>-129.90475000000001</v>
      </c>
      <c r="I24" s="1">
        <v>0.93440344553729604</v>
      </c>
      <c r="J24" s="1">
        <v>0.99600139745861005</v>
      </c>
      <c r="K24" s="1">
        <v>0.70809656073368399</v>
      </c>
      <c r="L24" s="1">
        <v>0.72230828226222199</v>
      </c>
      <c r="P24" s="1">
        <f>I24-'Passo 2'!I24</f>
        <v>6.3506093835909994E-2</v>
      </c>
      <c r="Q24" s="1">
        <f>J24-'Passo 2'!J24</f>
        <v>3.9986025413890625E-3</v>
      </c>
      <c r="R24" s="1">
        <f t="shared" si="1"/>
        <v>489.44799999999998</v>
      </c>
      <c r="S24">
        <f t="shared" si="0"/>
        <v>521.71349999999961</v>
      </c>
      <c r="T24" s="1">
        <f t="shared" si="2"/>
        <v>370.90664328478954</v>
      </c>
      <c r="U24" s="1">
        <f t="shared" si="3"/>
        <v>378.35085671520994</v>
      </c>
    </row>
    <row r="25" spans="1:21" x14ac:dyDescent="0.3">
      <c r="A25" t="s">
        <v>10</v>
      </c>
      <c r="B25" t="s">
        <v>586</v>
      </c>
      <c r="C25" t="s">
        <v>576</v>
      </c>
      <c r="D25" t="s">
        <v>577</v>
      </c>
      <c r="E25" s="2">
        <v>345.80599999999998</v>
      </c>
      <c r="F25" s="2">
        <v>0</v>
      </c>
      <c r="G25" s="2">
        <v>80.691249999999997</v>
      </c>
      <c r="H25" s="2">
        <v>-84.052499999999995</v>
      </c>
      <c r="I25" s="1">
        <v>0.96668507776036205</v>
      </c>
      <c r="J25" s="1">
        <v>0.98612516844704801</v>
      </c>
      <c r="K25" s="1">
        <v>0.790504043136257</v>
      </c>
      <c r="L25" s="1">
        <v>0.66230620307115295</v>
      </c>
      <c r="P25" s="1">
        <f>I25-'Passo 2'!I25</f>
        <v>5.0885467574304011E-2</v>
      </c>
      <c r="Q25" s="1">
        <f>J25-'Passo 2'!J25</f>
        <v>0</v>
      </c>
      <c r="R25" s="1">
        <f t="shared" si="1"/>
        <v>334.28549999999973</v>
      </c>
      <c r="S25">
        <f t="shared" si="0"/>
        <v>341.00799999999987</v>
      </c>
      <c r="T25" s="1">
        <f t="shared" si="2"/>
        <v>273.36104114077648</v>
      </c>
      <c r="U25" s="1">
        <f t="shared" si="3"/>
        <v>229.0294588592231</v>
      </c>
    </row>
    <row r="26" spans="1:21" x14ac:dyDescent="0.3">
      <c r="A26" t="s">
        <v>10</v>
      </c>
      <c r="B26" t="s">
        <v>587</v>
      </c>
      <c r="C26" t="s">
        <v>576</v>
      </c>
      <c r="D26" t="s">
        <v>577</v>
      </c>
      <c r="E26" s="2">
        <v>347.702</v>
      </c>
      <c r="F26" s="2">
        <v>0</v>
      </c>
      <c r="G26" s="2">
        <v>80.222499999999997</v>
      </c>
      <c r="H26" s="2">
        <v>-83.894000000000005</v>
      </c>
      <c r="I26" s="1">
        <v>0.96144399514526802</v>
      </c>
      <c r="J26" s="1">
        <v>0.98256265422689504</v>
      </c>
      <c r="K26" s="1">
        <v>0.78417051728390197</v>
      </c>
      <c r="L26" s="1">
        <v>0.65983613208826097</v>
      </c>
      <c r="P26" s="1">
        <f>I26-'Passo 2'!I26</f>
        <v>8.5648054943610052E-3</v>
      </c>
      <c r="Q26" s="1">
        <f>J26-'Passo 2'!J26</f>
        <v>1.9068052527740909E-3</v>
      </c>
      <c r="R26" s="1">
        <f t="shared" si="1"/>
        <v>334.29599999999999</v>
      </c>
      <c r="S26">
        <f t="shared" si="0"/>
        <v>341.63899999999984</v>
      </c>
      <c r="T26" s="1">
        <f t="shared" si="2"/>
        <v>272.65765720064729</v>
      </c>
      <c r="U26" s="1">
        <f t="shared" si="3"/>
        <v>229.42634279935251</v>
      </c>
    </row>
    <row r="27" spans="1:21" x14ac:dyDescent="0.3">
      <c r="A27" t="s">
        <v>10</v>
      </c>
      <c r="B27" t="s">
        <v>588</v>
      </c>
      <c r="C27" t="s">
        <v>576</v>
      </c>
      <c r="D27" t="s">
        <v>577</v>
      </c>
      <c r="E27" s="2">
        <v>570.59299999999996</v>
      </c>
      <c r="F27" s="2">
        <v>0</v>
      </c>
      <c r="G27" s="2">
        <v>92.005499999999998</v>
      </c>
      <c r="H27" s="2">
        <v>-138.6585</v>
      </c>
      <c r="I27" s="1">
        <v>0.82249081219012499</v>
      </c>
      <c r="J27" s="1">
        <v>0.98601542605675097</v>
      </c>
      <c r="K27" s="1">
        <v>0.46567233349586701</v>
      </c>
      <c r="L27" s="1">
        <v>0.84283390475100795</v>
      </c>
      <c r="P27" s="1">
        <f>I27-'Passo 2'!I27</f>
        <v>3.872287252034301E-2</v>
      </c>
      <c r="Q27" s="1">
        <f>J27-'Passo 2'!J27</f>
        <v>1.0042184183822966E-2</v>
      </c>
      <c r="R27" s="1">
        <f t="shared" si="1"/>
        <v>469.30749999999995</v>
      </c>
      <c r="S27">
        <f t="shared" si="0"/>
        <v>562.6134999999997</v>
      </c>
      <c r="T27" s="1">
        <f t="shared" si="2"/>
        <v>265.70937378640724</v>
      </c>
      <c r="U27" s="1">
        <f t="shared" si="3"/>
        <v>480.91512621359186</v>
      </c>
    </row>
    <row r="28" spans="1:21" x14ac:dyDescent="0.3">
      <c r="A28" t="s">
        <v>10</v>
      </c>
      <c r="B28" t="s">
        <v>30</v>
      </c>
      <c r="C28" t="s">
        <v>576</v>
      </c>
      <c r="D28" t="s">
        <v>583</v>
      </c>
      <c r="E28" s="2">
        <v>66.665000000000006</v>
      </c>
      <c r="F28" s="2">
        <v>0</v>
      </c>
      <c r="G28" s="2">
        <v>13.377750000000001</v>
      </c>
      <c r="H28" s="2">
        <v>-11.17</v>
      </c>
      <c r="I28" s="1">
        <v>0.90134253356333904</v>
      </c>
      <c r="J28" s="1">
        <v>0.83510837770944202</v>
      </c>
      <c r="K28" s="1">
        <v>0.77221089269936005</v>
      </c>
      <c r="L28" s="1">
        <v>0.46424001857342101</v>
      </c>
      <c r="P28" s="1">
        <f>I28-'Passo 2'!I28</f>
        <v>3.2198304957623991E-2</v>
      </c>
      <c r="Q28" s="1">
        <f>J28-'Passo 2'!J28</f>
        <v>6.9211730293257001E-2</v>
      </c>
      <c r="R28" s="1">
        <f t="shared" si="1"/>
        <v>60.088000000000001</v>
      </c>
      <c r="S28">
        <f t="shared" si="0"/>
        <v>55.672499999999957</v>
      </c>
      <c r="T28" s="1">
        <f t="shared" si="2"/>
        <v>51.479439161802844</v>
      </c>
      <c r="U28" s="1">
        <f t="shared" si="3"/>
        <v>30.948560838197114</v>
      </c>
    </row>
    <row r="29" spans="1:21" x14ac:dyDescent="0.3">
      <c r="A29" t="s">
        <v>10</v>
      </c>
      <c r="B29" t="s">
        <v>31</v>
      </c>
      <c r="C29" t="s">
        <v>576</v>
      </c>
      <c r="D29" t="s">
        <v>583</v>
      </c>
      <c r="E29" s="2">
        <v>28.361999999999998</v>
      </c>
      <c r="F29" s="2">
        <v>0</v>
      </c>
      <c r="G29" s="2">
        <v>7.02475</v>
      </c>
      <c r="H29" s="2">
        <v>-7.0597500000000002</v>
      </c>
      <c r="I29" s="1">
        <v>0.995363514561737</v>
      </c>
      <c r="J29" s="1">
        <v>0.99783160566955698</v>
      </c>
      <c r="K29" s="1">
        <v>0.97858411776512499</v>
      </c>
      <c r="L29" s="1">
        <v>0.51461100246616998</v>
      </c>
      <c r="P29" s="1">
        <f>I29-'Passo 2'!I29</f>
        <v>7.933149989419741E-4</v>
      </c>
      <c r="Q29" s="1">
        <f>J29-'Passo 2'!J29</f>
        <v>3.2614061067619549E-3</v>
      </c>
      <c r="R29" s="1">
        <f t="shared" si="1"/>
        <v>28.230499999999981</v>
      </c>
      <c r="S29">
        <f t="shared" si="0"/>
        <v>28.300499999999975</v>
      </c>
      <c r="T29" s="1">
        <f t="shared" si="2"/>
        <v>27.754602748054474</v>
      </c>
      <c r="U29" s="1">
        <f t="shared" si="3"/>
        <v>14.595397251945512</v>
      </c>
    </row>
    <row r="30" spans="1:21" x14ac:dyDescent="0.3">
      <c r="A30" t="s">
        <v>10</v>
      </c>
      <c r="B30" t="s">
        <v>32</v>
      </c>
      <c r="C30" t="s">
        <v>576</v>
      </c>
      <c r="D30" t="s">
        <v>589</v>
      </c>
      <c r="E30" s="2">
        <v>38.585000000000001</v>
      </c>
      <c r="F30" s="2">
        <v>0</v>
      </c>
      <c r="G30" s="2">
        <v>9.5422499999999992</v>
      </c>
      <c r="H30" s="2">
        <v>-9.6462500000000002</v>
      </c>
      <c r="I30" s="1">
        <v>0.99460930413373005</v>
      </c>
      <c r="J30" s="1">
        <v>1</v>
      </c>
      <c r="K30" s="1">
        <v>0.87866009478506002</v>
      </c>
      <c r="L30" s="1">
        <v>0.61594920934867003</v>
      </c>
      <c r="P30" s="1">
        <f>I30-'Passo 2'!I30</f>
        <v>1.9761565375146062E-2</v>
      </c>
      <c r="Q30" s="1">
        <f>J30-'Passo 2'!J30</f>
        <v>4.5613580406900223E-3</v>
      </c>
      <c r="R30" s="1">
        <f t="shared" si="1"/>
        <v>38.376999999999974</v>
      </c>
      <c r="S30">
        <f t="shared" si="0"/>
        <v>38.585000000000001</v>
      </c>
      <c r="T30" s="1">
        <f t="shared" si="2"/>
        <v>33.903099757281545</v>
      </c>
      <c r="U30" s="1">
        <f t="shared" si="3"/>
        <v>23.766400242718433</v>
      </c>
    </row>
    <row r="31" spans="1:21" x14ac:dyDescent="0.3">
      <c r="A31" t="s">
        <v>10</v>
      </c>
      <c r="B31" t="s">
        <v>590</v>
      </c>
      <c r="C31" t="s">
        <v>576</v>
      </c>
      <c r="D31" t="s">
        <v>583</v>
      </c>
      <c r="E31" s="2">
        <v>1274.587</v>
      </c>
      <c r="F31" s="2">
        <v>0</v>
      </c>
      <c r="G31" s="2">
        <v>318.64675</v>
      </c>
      <c r="H31" s="2">
        <v>-318.64675</v>
      </c>
      <c r="I31" s="1">
        <v>1</v>
      </c>
      <c r="J31" s="1">
        <v>1</v>
      </c>
      <c r="K31" s="1">
        <v>0.99995946822308601</v>
      </c>
      <c r="L31" s="1">
        <v>0.50004053177691299</v>
      </c>
      <c r="P31" s="1">
        <f>I31-'Passo 2'!I31</f>
        <v>0</v>
      </c>
      <c r="Q31" s="1">
        <f>J31-'Passo 2'!J31</f>
        <v>0</v>
      </c>
      <c r="R31" s="1">
        <f t="shared" si="1"/>
        <v>1274.587</v>
      </c>
      <c r="S31">
        <f t="shared" si="0"/>
        <v>1274.587</v>
      </c>
      <c r="T31" s="1">
        <f t="shared" si="2"/>
        <v>1274.5353387240584</v>
      </c>
      <c r="U31" s="1">
        <f t="shared" si="3"/>
        <v>637.3451612759402</v>
      </c>
    </row>
    <row r="32" spans="1:21" x14ac:dyDescent="0.3">
      <c r="A32" t="s">
        <v>10</v>
      </c>
      <c r="B32" t="s">
        <v>33</v>
      </c>
      <c r="C32" t="s">
        <v>34</v>
      </c>
      <c r="D32" t="s">
        <v>35</v>
      </c>
      <c r="E32" s="2">
        <v>130.05000000000001</v>
      </c>
      <c r="F32" s="2">
        <v>0</v>
      </c>
      <c r="G32" s="2">
        <v>27.335999999999999</v>
      </c>
      <c r="H32" s="2">
        <v>-26.984500000000001</v>
      </c>
      <c r="I32" s="1">
        <v>0.920392156862745</v>
      </c>
      <c r="J32" s="1">
        <v>0.914986543637062</v>
      </c>
      <c r="K32" s="1">
        <v>0.83384567610913896</v>
      </c>
      <c r="L32" s="1">
        <v>0.50153302439066805</v>
      </c>
      <c r="P32" s="1">
        <f>I32-'Passo 2'!I32</f>
        <v>0.170169165705498</v>
      </c>
      <c r="Q32" s="1">
        <f>J32-'Passo 2'!J32</f>
        <v>0.16168781237985397</v>
      </c>
      <c r="R32" s="1">
        <f t="shared" si="1"/>
        <v>119.697</v>
      </c>
      <c r="S32">
        <f t="shared" si="0"/>
        <v>118.99399999999993</v>
      </c>
      <c r="T32" s="1">
        <f t="shared" si="2"/>
        <v>108.44163017799353</v>
      </c>
      <c r="U32" s="1">
        <f t="shared" si="3"/>
        <v>65.224369822006381</v>
      </c>
    </row>
    <row r="33" spans="1:21" x14ac:dyDescent="0.3">
      <c r="A33" t="s">
        <v>10</v>
      </c>
      <c r="B33" t="s">
        <v>36</v>
      </c>
      <c r="C33" t="s">
        <v>34</v>
      </c>
      <c r="D33" t="s">
        <v>35</v>
      </c>
      <c r="E33" s="2">
        <v>588.69500000000005</v>
      </c>
      <c r="F33" s="2">
        <v>0</v>
      </c>
      <c r="G33" s="2">
        <v>121.32299999999999</v>
      </c>
      <c r="H33" s="2">
        <v>-125.25</v>
      </c>
      <c r="I33" s="1">
        <v>0.91217608439004905</v>
      </c>
      <c r="J33" s="1">
        <v>0.925517458106489</v>
      </c>
      <c r="K33" s="1">
        <v>0.807430994659874</v>
      </c>
      <c r="L33" s="1">
        <v>0.53026254783666404</v>
      </c>
      <c r="P33" s="1">
        <f>I33-'Passo 2'!I33</f>
        <v>0.16561886885399102</v>
      </c>
      <c r="Q33" s="1">
        <f>J33-'Passo 2'!J33</f>
        <v>8.0388826132376967E-2</v>
      </c>
      <c r="R33" s="1">
        <f t="shared" si="1"/>
        <v>536.99349999999993</v>
      </c>
      <c r="S33">
        <f t="shared" si="0"/>
        <v>544.84749999999963</v>
      </c>
      <c r="T33" s="1">
        <f t="shared" si="2"/>
        <v>475.33058940129456</v>
      </c>
      <c r="U33" s="1">
        <f t="shared" si="3"/>
        <v>312.16291059870497</v>
      </c>
    </row>
    <row r="34" spans="1:21" x14ac:dyDescent="0.3">
      <c r="A34" t="s">
        <v>10</v>
      </c>
      <c r="B34" t="s">
        <v>37</v>
      </c>
      <c r="C34" t="s">
        <v>576</v>
      </c>
      <c r="D34" t="s">
        <v>591</v>
      </c>
      <c r="E34" s="2">
        <v>672.82500000000005</v>
      </c>
      <c r="F34" s="2">
        <v>0</v>
      </c>
      <c r="G34" s="2">
        <v>167.95625000000001</v>
      </c>
      <c r="H34" s="2">
        <v>-167.95625000000001</v>
      </c>
      <c r="I34" s="1">
        <v>0.99925686471221997</v>
      </c>
      <c r="J34" s="1">
        <v>0.99925686471221997</v>
      </c>
      <c r="K34" s="1">
        <v>0.99857799619702303</v>
      </c>
      <c r="L34" s="1">
        <v>0.49993573322741802</v>
      </c>
      <c r="P34" s="1">
        <f>I34-'Passo 2'!I34</f>
        <v>0</v>
      </c>
      <c r="Q34" s="1">
        <f>J34-'Passo 2'!J34</f>
        <v>0</v>
      </c>
      <c r="R34" s="1">
        <f t="shared" si="1"/>
        <v>672.32499999999948</v>
      </c>
      <c r="S34">
        <f t="shared" si="0"/>
        <v>672.32499999999948</v>
      </c>
      <c r="T34" s="1">
        <f t="shared" si="2"/>
        <v>671.86824029126205</v>
      </c>
      <c r="U34" s="1">
        <f t="shared" si="3"/>
        <v>336.36925970873756</v>
      </c>
    </row>
    <row r="35" spans="1:21" x14ac:dyDescent="0.3">
      <c r="A35" t="s">
        <v>10</v>
      </c>
      <c r="B35" t="s">
        <v>38</v>
      </c>
      <c r="C35" t="s">
        <v>34</v>
      </c>
      <c r="D35" t="s">
        <v>35</v>
      </c>
      <c r="E35" s="2">
        <v>367.77100000000002</v>
      </c>
      <c r="F35" s="2">
        <v>0</v>
      </c>
      <c r="G35" s="2">
        <v>79.946749999999994</v>
      </c>
      <c r="H35" s="2">
        <v>-76.090500000000006</v>
      </c>
      <c r="I35" s="1">
        <v>0.93476375244377596</v>
      </c>
      <c r="J35" s="1">
        <v>0.91379282216379198</v>
      </c>
      <c r="K35" s="1">
        <v>0.83634402813489195</v>
      </c>
      <c r="L35" s="1">
        <v>0.512212546472676</v>
      </c>
      <c r="P35" s="1">
        <f>I35-'Passo 2'!I35</f>
        <v>0.18575689763466996</v>
      </c>
      <c r="Q35" s="1">
        <f>J35-'Passo 2'!J35</f>
        <v>0.10230822984955301</v>
      </c>
      <c r="R35" s="1">
        <f t="shared" si="1"/>
        <v>343.77899999999994</v>
      </c>
      <c r="S35">
        <f t="shared" si="0"/>
        <v>336.06649999999996</v>
      </c>
      <c r="T35" s="1">
        <f t="shared" si="2"/>
        <v>307.58307957119735</v>
      </c>
      <c r="U35" s="1">
        <f t="shared" si="3"/>
        <v>188.37692042880252</v>
      </c>
    </row>
    <row r="36" spans="1:21" x14ac:dyDescent="0.3">
      <c r="A36" t="s">
        <v>10</v>
      </c>
      <c r="B36" t="s">
        <v>39</v>
      </c>
      <c r="C36" t="s">
        <v>34</v>
      </c>
      <c r="D36" t="s">
        <v>35</v>
      </c>
      <c r="E36" s="2">
        <v>172.196</v>
      </c>
      <c r="F36" s="2">
        <v>0</v>
      </c>
      <c r="G36" s="2">
        <v>38.518999999999998</v>
      </c>
      <c r="H36" s="2">
        <v>-36.9895</v>
      </c>
      <c r="I36" s="1">
        <v>0.94738553741085696</v>
      </c>
      <c r="J36" s="1">
        <v>0.92962089711723805</v>
      </c>
      <c r="K36" s="1">
        <v>0.87312630702644001</v>
      </c>
      <c r="L36" s="1">
        <v>0.50388012750165501</v>
      </c>
      <c r="P36" s="1">
        <f>I36-'Passo 2'!I36</f>
        <v>0.15504715556691195</v>
      </c>
      <c r="Q36" s="1">
        <f>J36-'Passo 2'!J36</f>
        <v>0.14506144161304502</v>
      </c>
      <c r="R36" s="1">
        <f t="shared" si="1"/>
        <v>163.13599999999991</v>
      </c>
      <c r="S36">
        <f t="shared" si="0"/>
        <v>160.07699999999991</v>
      </c>
      <c r="T36" s="1">
        <f t="shared" si="2"/>
        <v>150.34885756472485</v>
      </c>
      <c r="U36" s="1">
        <f t="shared" si="3"/>
        <v>86.766142435274986</v>
      </c>
    </row>
    <row r="37" spans="1:21" x14ac:dyDescent="0.3">
      <c r="A37" t="s">
        <v>10</v>
      </c>
      <c r="B37" t="s">
        <v>40</v>
      </c>
      <c r="C37" t="s">
        <v>34</v>
      </c>
      <c r="D37" t="s">
        <v>35</v>
      </c>
      <c r="E37" s="2">
        <v>78.796000000000006</v>
      </c>
      <c r="F37" s="2">
        <v>0</v>
      </c>
      <c r="G37" s="2">
        <v>16.63475</v>
      </c>
      <c r="H37" s="2">
        <v>-16.54175</v>
      </c>
      <c r="I37" s="1">
        <v>0.92222320929996404</v>
      </c>
      <c r="J37" s="1">
        <v>0.91986268338494304</v>
      </c>
      <c r="K37" s="1">
        <v>0.83679874834708901</v>
      </c>
      <c r="L37" s="1">
        <v>0.50528714433781796</v>
      </c>
      <c r="P37" s="1">
        <f>I37-'Passo 2'!I37</f>
        <v>0.13820498502462009</v>
      </c>
      <c r="Q37" s="1">
        <f>J37-'Passo 2'!J37</f>
        <v>0.14259607086654102</v>
      </c>
      <c r="R37" s="1">
        <f t="shared" si="1"/>
        <v>72.667499999999976</v>
      </c>
      <c r="S37">
        <f t="shared" si="0"/>
        <v>72.481499999999983</v>
      </c>
      <c r="T37" s="1">
        <f t="shared" si="2"/>
        <v>65.936394174757226</v>
      </c>
      <c r="U37" s="1">
        <f t="shared" si="3"/>
        <v>39.814605825242708</v>
      </c>
    </row>
    <row r="38" spans="1:21" x14ac:dyDescent="0.3">
      <c r="A38" t="s">
        <v>10</v>
      </c>
      <c r="B38" t="s">
        <v>41</v>
      </c>
      <c r="C38" t="s">
        <v>34</v>
      </c>
      <c r="D38" t="s">
        <v>35</v>
      </c>
      <c r="E38" s="2">
        <v>928.20100000000002</v>
      </c>
      <c r="F38" s="2">
        <v>0</v>
      </c>
      <c r="G38" s="2">
        <v>232.00024999999999</v>
      </c>
      <c r="H38" s="2">
        <v>-230.30025000000001</v>
      </c>
      <c r="I38" s="1">
        <v>0.99989226471421599</v>
      </c>
      <c r="J38" s="1">
        <v>0.99622926499755904</v>
      </c>
      <c r="K38" s="1">
        <v>0.99823768615580899</v>
      </c>
      <c r="L38" s="1">
        <v>0.49788384355596599</v>
      </c>
      <c r="P38" s="1">
        <f>I38-'Passo 2'!I38</f>
        <v>1.9947188162909857E-3</v>
      </c>
      <c r="Q38" s="1">
        <f>J38-'Passo 2'!J38</f>
        <v>0</v>
      </c>
      <c r="R38" s="1">
        <f t="shared" si="1"/>
        <v>928.101</v>
      </c>
      <c r="S38">
        <f t="shared" si="0"/>
        <v>924.70099999999934</v>
      </c>
      <c r="T38" s="1">
        <f t="shared" si="2"/>
        <v>926.56521852750814</v>
      </c>
      <c r="U38" s="1">
        <f t="shared" si="3"/>
        <v>462.13628147249119</v>
      </c>
    </row>
    <row r="39" spans="1:21" x14ac:dyDescent="0.3">
      <c r="A39" t="s">
        <v>10</v>
      </c>
      <c r="B39" t="s">
        <v>42</v>
      </c>
      <c r="C39" t="s">
        <v>576</v>
      </c>
      <c r="D39" t="s">
        <v>591</v>
      </c>
      <c r="E39" s="2">
        <v>50.05</v>
      </c>
      <c r="F39" s="2">
        <v>0</v>
      </c>
      <c r="G39" s="2">
        <v>12.512499999999999</v>
      </c>
      <c r="H39" s="2">
        <v>-12.512499999999999</v>
      </c>
      <c r="I39" s="1">
        <v>1</v>
      </c>
      <c r="J39" s="1">
        <v>1</v>
      </c>
      <c r="K39" s="1">
        <v>0.99726726428910895</v>
      </c>
      <c r="L39" s="1">
        <v>0.50273273571089006</v>
      </c>
      <c r="P39" s="1">
        <f>I39-'Passo 2'!I39</f>
        <v>0</v>
      </c>
      <c r="Q39" s="1">
        <f>J39-'Passo 2'!J39</f>
        <v>0</v>
      </c>
      <c r="R39" s="1">
        <f t="shared" si="1"/>
        <v>50.05</v>
      </c>
      <c r="S39">
        <f t="shared" si="0"/>
        <v>50.05</v>
      </c>
      <c r="T39" s="1">
        <f t="shared" si="2"/>
        <v>49.913226577669903</v>
      </c>
      <c r="U39" s="1">
        <f t="shared" si="3"/>
        <v>25.161773422330047</v>
      </c>
    </row>
    <row r="40" spans="1:21" x14ac:dyDescent="0.3">
      <c r="A40" t="s">
        <v>10</v>
      </c>
      <c r="B40" t="s">
        <v>43</v>
      </c>
      <c r="C40" t="s">
        <v>34</v>
      </c>
      <c r="D40" t="s">
        <v>35</v>
      </c>
      <c r="E40" s="2">
        <v>897.11800000000005</v>
      </c>
      <c r="F40" s="2">
        <v>0</v>
      </c>
      <c r="G40" s="2">
        <v>193.09725</v>
      </c>
      <c r="H40" s="2">
        <v>-193.25</v>
      </c>
      <c r="I40" s="1">
        <v>0.93048350384230305</v>
      </c>
      <c r="J40" s="1">
        <v>0.93082403875521302</v>
      </c>
      <c r="K40" s="1">
        <v>0.83055604249179604</v>
      </c>
      <c r="L40" s="1">
        <v>0.53075150010572103</v>
      </c>
      <c r="P40" s="1">
        <f>I40-'Passo 2'!I40</f>
        <v>0.18593930787254209</v>
      </c>
      <c r="Q40" s="1">
        <f>J40-'Passo 2'!J40</f>
        <v>0.10061218256684101</v>
      </c>
      <c r="R40" s="1">
        <f t="shared" si="1"/>
        <v>834.75349999999924</v>
      </c>
      <c r="S40">
        <f t="shared" si="0"/>
        <v>835.05899999999929</v>
      </c>
      <c r="T40" s="1">
        <f t="shared" si="2"/>
        <v>745.10677572815507</v>
      </c>
      <c r="U40" s="1">
        <f t="shared" si="3"/>
        <v>476.14672427184428</v>
      </c>
    </row>
    <row r="41" spans="1:21" x14ac:dyDescent="0.3">
      <c r="A41" t="s">
        <v>10</v>
      </c>
      <c r="B41" t="s">
        <v>44</v>
      </c>
      <c r="C41" t="s">
        <v>34</v>
      </c>
      <c r="D41" t="s">
        <v>35</v>
      </c>
      <c r="E41" s="2">
        <v>119.09699999999999</v>
      </c>
      <c r="F41" s="2">
        <v>0</v>
      </c>
      <c r="G41" s="2">
        <v>25.49775</v>
      </c>
      <c r="H41" s="2">
        <v>-23.6995</v>
      </c>
      <c r="I41" s="1">
        <v>0.92818458903246903</v>
      </c>
      <c r="J41" s="1">
        <v>0.89798651519349704</v>
      </c>
      <c r="K41" s="1">
        <v>0.92394645992104496</v>
      </c>
      <c r="L41" s="1">
        <v>0.402224644304921</v>
      </c>
      <c r="P41" s="1">
        <f>I41-'Passo 2'!I41</f>
        <v>0.188485016415191</v>
      </c>
      <c r="Q41" s="1">
        <f>J41-'Passo 2'!J41</f>
        <v>0.17761152673870806</v>
      </c>
      <c r="R41" s="1">
        <f t="shared" si="1"/>
        <v>110.54399999999995</v>
      </c>
      <c r="S41">
        <f t="shared" si="0"/>
        <v>106.94749999999991</v>
      </c>
      <c r="T41" s="1">
        <f t="shared" si="2"/>
        <v>110.03925153721669</v>
      </c>
      <c r="U41" s="1">
        <f t="shared" si="3"/>
        <v>47.90374846278317</v>
      </c>
    </row>
    <row r="42" spans="1:21" x14ac:dyDescent="0.3">
      <c r="A42" t="s">
        <v>10</v>
      </c>
      <c r="B42" t="s">
        <v>45</v>
      </c>
      <c r="C42" t="s">
        <v>34</v>
      </c>
      <c r="D42" t="s">
        <v>35</v>
      </c>
      <c r="E42" s="2">
        <v>73.054000000000002</v>
      </c>
      <c r="F42" s="2">
        <v>0</v>
      </c>
      <c r="G42" s="2">
        <v>15.3559999999999</v>
      </c>
      <c r="H42" s="2">
        <v>-15.14725</v>
      </c>
      <c r="I42" s="1">
        <v>0.92040134694883202</v>
      </c>
      <c r="J42" s="1">
        <v>0.91468639636433302</v>
      </c>
      <c r="K42" s="1">
        <v>0.81643700052514001</v>
      </c>
      <c r="L42" s="1">
        <v>0.51865074278802403</v>
      </c>
      <c r="P42" s="1">
        <f>I42-'Passo 2'!I42</f>
        <v>8.4211679031949038E-2</v>
      </c>
      <c r="Q42" s="1">
        <f>J42-'Passo 2'!J42</f>
        <v>0.10678402277767207</v>
      </c>
      <c r="R42" s="1">
        <f t="shared" si="1"/>
        <v>67.238999999999976</v>
      </c>
      <c r="S42">
        <f t="shared" si="0"/>
        <v>66.821499999999986</v>
      </c>
      <c r="T42" s="1">
        <f t="shared" si="2"/>
        <v>59.643988636363581</v>
      </c>
      <c r="U42" s="1">
        <f t="shared" si="3"/>
        <v>37.889511363636309</v>
      </c>
    </row>
    <row r="43" spans="1:21" x14ac:dyDescent="0.3">
      <c r="A43" t="s">
        <v>10</v>
      </c>
      <c r="B43" t="s">
        <v>46</v>
      </c>
      <c r="C43" t="s">
        <v>34</v>
      </c>
      <c r="D43" t="s">
        <v>35</v>
      </c>
      <c r="E43" s="2">
        <v>4</v>
      </c>
      <c r="F43" s="2">
        <v>0</v>
      </c>
      <c r="G43" s="2">
        <v>1</v>
      </c>
      <c r="H43" s="2">
        <v>-1</v>
      </c>
      <c r="I43" s="1">
        <v>1</v>
      </c>
      <c r="J43" s="1">
        <v>1</v>
      </c>
      <c r="K43" s="1">
        <v>0.84833970469255604</v>
      </c>
      <c r="L43" s="1">
        <v>0.65166029530744296</v>
      </c>
      <c r="P43" s="1">
        <f>I43-'Passo 2'!I43</f>
        <v>6.25E-2</v>
      </c>
      <c r="Q43" s="1">
        <f>J43-'Passo 2'!J43</f>
        <v>0</v>
      </c>
      <c r="R43" s="1">
        <f t="shared" si="1"/>
        <v>4</v>
      </c>
      <c r="S43">
        <f t="shared" si="0"/>
        <v>4</v>
      </c>
      <c r="T43" s="1">
        <f t="shared" si="2"/>
        <v>3.3933588187702242</v>
      </c>
      <c r="U43" s="1">
        <f t="shared" si="3"/>
        <v>2.6066411812297718</v>
      </c>
    </row>
    <row r="44" spans="1:21" x14ac:dyDescent="0.3">
      <c r="A44" t="s">
        <v>10</v>
      </c>
      <c r="B44" t="s">
        <v>47</v>
      </c>
      <c r="C44" t="s">
        <v>574</v>
      </c>
      <c r="D44" t="s">
        <v>575</v>
      </c>
      <c r="E44" s="2">
        <v>83</v>
      </c>
      <c r="F44" s="2">
        <v>3.2000000000000001E-2</v>
      </c>
      <c r="G44" s="2">
        <v>17.334499999999998</v>
      </c>
      <c r="H44" s="2">
        <v>-17.584499999999998</v>
      </c>
      <c r="I44" s="1">
        <v>0.91750602409638504</v>
      </c>
      <c r="J44" s="1">
        <v>0.92353012048192695</v>
      </c>
      <c r="K44" s="1">
        <v>0.57314350070183595</v>
      </c>
      <c r="L44" s="1">
        <v>0.76808541496081395</v>
      </c>
      <c r="P44" s="1">
        <f>I44-'Passo 2'!I44</f>
        <v>-6.0240963855419105E-3</v>
      </c>
      <c r="Q44" s="1">
        <f>J44-'Passo 2'!J44</f>
        <v>0</v>
      </c>
      <c r="R44" s="1">
        <f t="shared" si="1"/>
        <v>76.152999999999963</v>
      </c>
      <c r="S44">
        <f t="shared" si="0"/>
        <v>76.652999999999935</v>
      </c>
      <c r="T44" s="1">
        <f t="shared" si="2"/>
        <v>47.570910558252386</v>
      </c>
      <c r="U44" s="1">
        <f t="shared" si="3"/>
        <v>63.75108944174756</v>
      </c>
    </row>
    <row r="45" spans="1:21" x14ac:dyDescent="0.3">
      <c r="A45" t="s">
        <v>10</v>
      </c>
      <c r="B45" t="s">
        <v>48</v>
      </c>
      <c r="C45" t="s">
        <v>576</v>
      </c>
      <c r="D45" t="s">
        <v>591</v>
      </c>
      <c r="E45" s="2">
        <v>31</v>
      </c>
      <c r="F45" s="2">
        <v>0</v>
      </c>
      <c r="G45" s="2">
        <v>7.4935</v>
      </c>
      <c r="H45" s="2">
        <v>-7.6185</v>
      </c>
      <c r="I45" s="1">
        <v>0.98345161290322503</v>
      </c>
      <c r="J45" s="1">
        <v>0.99151612903225805</v>
      </c>
      <c r="K45" s="1">
        <v>0.82276465836726098</v>
      </c>
      <c r="L45" s="1">
        <v>0.65220308356822199</v>
      </c>
      <c r="P45" s="1">
        <f>I45-'Passo 2'!I45</f>
        <v>0</v>
      </c>
      <c r="Q45" s="1">
        <f>J45-'Passo 2'!J45</f>
        <v>-8.0645161290319178E-3</v>
      </c>
      <c r="R45" s="1">
        <f t="shared" si="1"/>
        <v>30.486999999999977</v>
      </c>
      <c r="S45">
        <f t="shared" si="0"/>
        <v>30.736999999999998</v>
      </c>
      <c r="T45" s="1">
        <f t="shared" si="2"/>
        <v>25.505704409385089</v>
      </c>
      <c r="U45" s="1">
        <f t="shared" si="3"/>
        <v>20.218295590614883</v>
      </c>
    </row>
    <row r="46" spans="1:21" x14ac:dyDescent="0.3">
      <c r="A46" t="s">
        <v>10</v>
      </c>
      <c r="B46" t="s">
        <v>49</v>
      </c>
      <c r="C46" t="s">
        <v>576</v>
      </c>
      <c r="D46" t="s">
        <v>592</v>
      </c>
      <c r="E46" s="2">
        <v>12</v>
      </c>
      <c r="F46" s="2">
        <v>0</v>
      </c>
      <c r="G46" s="2">
        <v>3</v>
      </c>
      <c r="H46" s="2">
        <v>-3</v>
      </c>
      <c r="I46" s="1">
        <v>1</v>
      </c>
      <c r="J46" s="1">
        <v>1</v>
      </c>
      <c r="K46" s="1">
        <v>0.79554824703344096</v>
      </c>
      <c r="L46" s="1">
        <v>0.70445175296655804</v>
      </c>
      <c r="P46" s="1">
        <f>I46-'Passo 2'!I46</f>
        <v>1.6000000000000014E-2</v>
      </c>
      <c r="Q46" s="1">
        <f>J46-'Passo 2'!J46</f>
        <v>0</v>
      </c>
      <c r="R46" s="1">
        <f t="shared" si="1"/>
        <v>12</v>
      </c>
      <c r="S46">
        <f t="shared" si="0"/>
        <v>12</v>
      </c>
      <c r="T46" s="1">
        <f t="shared" si="2"/>
        <v>9.5465789644012915</v>
      </c>
      <c r="U46" s="1">
        <f t="shared" si="3"/>
        <v>8.4534210355986961</v>
      </c>
    </row>
    <row r="47" spans="1:21" x14ac:dyDescent="0.3">
      <c r="A47" t="s">
        <v>10</v>
      </c>
      <c r="B47" t="s">
        <v>593</v>
      </c>
      <c r="C47" t="s">
        <v>576</v>
      </c>
      <c r="D47" t="s">
        <v>577</v>
      </c>
      <c r="E47" s="2">
        <v>56.484000000000002</v>
      </c>
      <c r="F47" s="2">
        <v>0</v>
      </c>
      <c r="G47" s="2">
        <v>14</v>
      </c>
      <c r="H47" s="2">
        <v>-14</v>
      </c>
      <c r="I47" s="1">
        <v>0.99571560087812405</v>
      </c>
      <c r="J47" s="1">
        <v>0.99571560087812405</v>
      </c>
      <c r="K47" s="1">
        <v>0.85456448316320099</v>
      </c>
      <c r="L47" s="1">
        <v>0.636866718593047</v>
      </c>
      <c r="P47" s="1">
        <f>I47-'Passo 2'!I47</f>
        <v>0</v>
      </c>
      <c r="Q47" s="1">
        <f>J47-'Passo 2'!J47</f>
        <v>0</v>
      </c>
      <c r="R47" s="1">
        <f t="shared" si="1"/>
        <v>56.241999999999962</v>
      </c>
      <c r="S47">
        <f t="shared" si="0"/>
        <v>56.241999999999962</v>
      </c>
      <c r="T47" s="1">
        <f t="shared" si="2"/>
        <v>48.269220266990246</v>
      </c>
      <c r="U47" s="1">
        <f t="shared" si="3"/>
        <v>35.972779733009666</v>
      </c>
    </row>
    <row r="48" spans="1:21" x14ac:dyDescent="0.3">
      <c r="A48" t="s">
        <v>10</v>
      </c>
      <c r="B48" t="s">
        <v>594</v>
      </c>
      <c r="C48" t="s">
        <v>576</v>
      </c>
      <c r="D48" t="s">
        <v>577</v>
      </c>
      <c r="E48" s="2">
        <v>376.13299999999998</v>
      </c>
      <c r="F48" s="2">
        <v>0</v>
      </c>
      <c r="G48" s="2">
        <v>75.636750000000006</v>
      </c>
      <c r="H48" s="2">
        <v>-93.831000000000003</v>
      </c>
      <c r="I48" s="1">
        <v>0.90218087750875298</v>
      </c>
      <c r="J48" s="1">
        <v>0.99892458252798799</v>
      </c>
      <c r="K48" s="1">
        <v>0.71869855021501905</v>
      </c>
      <c r="L48" s="1">
        <v>0.68240690982172203</v>
      </c>
      <c r="P48" s="1">
        <f>I48-'Passo 2'!I48</f>
        <v>5.0624380205937958E-2</v>
      </c>
      <c r="Q48" s="1">
        <f>J48-'Passo 2'!J48</f>
        <v>0</v>
      </c>
      <c r="R48" s="1">
        <f t="shared" si="1"/>
        <v>339.33999999999975</v>
      </c>
      <c r="S48">
        <f t="shared" si="0"/>
        <v>375.72849999999971</v>
      </c>
      <c r="T48" s="1">
        <f t="shared" si="2"/>
        <v>270.32624178802575</v>
      </c>
      <c r="U48" s="1">
        <f t="shared" si="3"/>
        <v>256.67575821197374</v>
      </c>
    </row>
    <row r="49" spans="1:21" x14ac:dyDescent="0.3">
      <c r="A49" t="s">
        <v>10</v>
      </c>
      <c r="B49" t="s">
        <v>50</v>
      </c>
      <c r="C49" t="s">
        <v>576</v>
      </c>
      <c r="D49" t="s">
        <v>14</v>
      </c>
      <c r="E49" s="2">
        <v>10.68</v>
      </c>
      <c r="F49" s="2">
        <v>0</v>
      </c>
      <c r="G49" s="2">
        <v>2.6192500000000001</v>
      </c>
      <c r="H49" s="2">
        <v>-2.601</v>
      </c>
      <c r="I49" s="1">
        <v>0.99049625468164704</v>
      </c>
      <c r="J49" s="1">
        <v>0.98707865168539299</v>
      </c>
      <c r="K49" s="1">
        <v>0.64545446453462296</v>
      </c>
      <c r="L49" s="1">
        <v>0.83212044183241796</v>
      </c>
      <c r="P49" s="1">
        <f>I49-'Passo 2'!I49</f>
        <v>2.6217228464410214E-3</v>
      </c>
      <c r="Q49" s="1">
        <f>J49-'Passo 2'!J49</f>
        <v>0</v>
      </c>
      <c r="R49" s="1">
        <f t="shared" si="1"/>
        <v>10.578499999999989</v>
      </c>
      <c r="S49">
        <f t="shared" si="0"/>
        <v>10.541999999999996</v>
      </c>
      <c r="T49" s="1">
        <f t="shared" si="2"/>
        <v>6.8934536812297731</v>
      </c>
      <c r="U49" s="1">
        <f t="shared" si="3"/>
        <v>8.8870463187702242</v>
      </c>
    </row>
    <row r="50" spans="1:21" x14ac:dyDescent="0.3">
      <c r="A50" t="s">
        <v>10</v>
      </c>
      <c r="B50" t="s">
        <v>51</v>
      </c>
      <c r="C50" t="s">
        <v>574</v>
      </c>
      <c r="D50" t="s">
        <v>575</v>
      </c>
      <c r="E50" s="2">
        <v>231.36799999999999</v>
      </c>
      <c r="F50" s="2">
        <v>0</v>
      </c>
      <c r="G50" s="2">
        <v>48.823250000000002</v>
      </c>
      <c r="H50" s="2">
        <v>-57.695749999999997</v>
      </c>
      <c r="I50" s="1">
        <v>0.92203978078213</v>
      </c>
      <c r="J50" s="1">
        <v>0.99873578022889897</v>
      </c>
      <c r="K50" s="1">
        <v>0.591296179951881</v>
      </c>
      <c r="L50" s="1">
        <v>0.82947938105914898</v>
      </c>
      <c r="P50" s="1">
        <f>I50-'Passo 2'!I50</f>
        <v>5.7879654922028956E-2</v>
      </c>
      <c r="Q50" s="1">
        <f>J50-'Passo 2'!J50</f>
        <v>2.8093772691095698E-4</v>
      </c>
      <c r="R50" s="1">
        <f t="shared" si="1"/>
        <v>213.33049999999986</v>
      </c>
      <c r="S50">
        <f t="shared" si="0"/>
        <v>231.07549999999989</v>
      </c>
      <c r="T50" s="1">
        <f t="shared" si="2"/>
        <v>136.8070145631068</v>
      </c>
      <c r="U50" s="1">
        <f t="shared" si="3"/>
        <v>191.91498543689318</v>
      </c>
    </row>
    <row r="51" spans="1:21" x14ac:dyDescent="0.3">
      <c r="A51" t="s">
        <v>10</v>
      </c>
      <c r="B51" t="s">
        <v>52</v>
      </c>
      <c r="C51" t="s">
        <v>576</v>
      </c>
      <c r="D51" t="s">
        <v>577</v>
      </c>
      <c r="E51" s="2">
        <v>72.474999999999994</v>
      </c>
      <c r="F51" s="2">
        <v>0</v>
      </c>
      <c r="G51" s="2">
        <v>16.11375</v>
      </c>
      <c r="H51" s="2">
        <v>-16.117000000000001</v>
      </c>
      <c r="I51" s="1">
        <v>0.94467057606071003</v>
      </c>
      <c r="J51" s="1">
        <v>0.94476026215936504</v>
      </c>
      <c r="K51" s="1">
        <v>0.51482145109740995</v>
      </c>
      <c r="L51" s="1">
        <v>0.874609387122666</v>
      </c>
      <c r="P51" s="1">
        <f>I51-'Passo 2'!I51</f>
        <v>3.3735770955500843E-3</v>
      </c>
      <c r="Q51" s="1">
        <f>J51-'Passo 2'!J51</f>
        <v>2.4836150396700951E-4</v>
      </c>
      <c r="R51" s="1">
        <f t="shared" si="1"/>
        <v>68.464999999999961</v>
      </c>
      <c r="S51">
        <f t="shared" si="0"/>
        <v>68.471499999999978</v>
      </c>
      <c r="T51" s="1">
        <f t="shared" si="2"/>
        <v>37.311684668284784</v>
      </c>
      <c r="U51" s="1">
        <f t="shared" si="3"/>
        <v>63.387315331715214</v>
      </c>
    </row>
    <row r="52" spans="1:21" x14ac:dyDescent="0.3">
      <c r="A52" t="s">
        <v>10</v>
      </c>
      <c r="B52" t="s">
        <v>53</v>
      </c>
      <c r="C52" t="s">
        <v>576</v>
      </c>
      <c r="D52" t="s">
        <v>595</v>
      </c>
      <c r="E52" s="2">
        <v>364.49</v>
      </c>
      <c r="F52" s="2">
        <v>0</v>
      </c>
      <c r="G52" s="2">
        <v>90.364249999999998</v>
      </c>
      <c r="H52" s="2">
        <v>-90.702749999999995</v>
      </c>
      <c r="I52" s="1">
        <v>0.99583939202721605</v>
      </c>
      <c r="J52" s="1">
        <v>0.997696781804713</v>
      </c>
      <c r="K52" s="1">
        <v>0.96162341997831602</v>
      </c>
      <c r="L52" s="1">
        <v>0.53191275385361303</v>
      </c>
      <c r="P52" s="1">
        <f>I52-'Passo 2'!I52</f>
        <v>9.7599385442674103E-2</v>
      </c>
      <c r="Q52" s="1">
        <f>J52-'Passo 2'!J52</f>
        <v>6.454223709840945E-3</v>
      </c>
      <c r="R52" s="1">
        <f t="shared" si="1"/>
        <v>362.9735</v>
      </c>
      <c r="S52">
        <f t="shared" si="0"/>
        <v>363.65049999999985</v>
      </c>
      <c r="T52" s="1">
        <f t="shared" si="2"/>
        <v>350.50212034789644</v>
      </c>
      <c r="U52" s="1">
        <f t="shared" si="3"/>
        <v>193.87687965210341</v>
      </c>
    </row>
    <row r="53" spans="1:21" x14ac:dyDescent="0.3">
      <c r="A53" t="s">
        <v>10</v>
      </c>
      <c r="B53" t="s">
        <v>54</v>
      </c>
      <c r="C53" t="s">
        <v>576</v>
      </c>
      <c r="D53" t="s">
        <v>14</v>
      </c>
      <c r="E53" s="2">
        <v>10.762</v>
      </c>
      <c r="F53" s="2">
        <v>0</v>
      </c>
      <c r="G53" s="2">
        <v>2.6262500000000002</v>
      </c>
      <c r="H53" s="2">
        <v>-2.6222500000000002</v>
      </c>
      <c r="I53" s="1">
        <v>0.98805984017840498</v>
      </c>
      <c r="J53" s="1">
        <v>0.987316483924921</v>
      </c>
      <c r="K53" s="1">
        <v>0.63910028708827404</v>
      </c>
      <c r="L53" s="1">
        <v>0.83627603701505104</v>
      </c>
      <c r="P53" s="1">
        <f>I53-'Passo 2'!I53</f>
        <v>4.7388961159640086E-3</v>
      </c>
      <c r="Q53" s="1">
        <f>J53-'Passo 2'!J53</f>
        <v>0</v>
      </c>
      <c r="R53" s="1">
        <f t="shared" si="1"/>
        <v>10.633499999999994</v>
      </c>
      <c r="S53">
        <f t="shared" si="0"/>
        <v>10.625500000000001</v>
      </c>
      <c r="T53" s="1">
        <f t="shared" si="2"/>
        <v>6.8779972896440054</v>
      </c>
      <c r="U53" s="1">
        <f t="shared" si="3"/>
        <v>9.0000027103559805</v>
      </c>
    </row>
    <row r="54" spans="1:21" x14ac:dyDescent="0.3">
      <c r="A54" t="s">
        <v>10</v>
      </c>
      <c r="B54" t="s">
        <v>55</v>
      </c>
      <c r="C54" t="s">
        <v>576</v>
      </c>
      <c r="D54" t="s">
        <v>583</v>
      </c>
      <c r="E54" s="2">
        <v>0</v>
      </c>
      <c r="F54" s="2">
        <v>0</v>
      </c>
      <c r="G54" s="2">
        <v>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P54" s="1">
        <f>I54-'Passo 2'!I54</f>
        <v>0</v>
      </c>
      <c r="Q54" s="1">
        <f>J54-'Passo 2'!J54</f>
        <v>0</v>
      </c>
      <c r="R54" s="1">
        <f t="shared" si="1"/>
        <v>0</v>
      </c>
      <c r="S54">
        <f t="shared" si="0"/>
        <v>0</v>
      </c>
      <c r="T54" s="1">
        <f t="shared" si="2"/>
        <v>0</v>
      </c>
      <c r="U54" s="1">
        <f t="shared" si="3"/>
        <v>0</v>
      </c>
    </row>
    <row r="55" spans="1:21" x14ac:dyDescent="0.3">
      <c r="A55" t="s">
        <v>10</v>
      </c>
      <c r="B55" t="s">
        <v>596</v>
      </c>
      <c r="C55" t="s">
        <v>574</v>
      </c>
      <c r="D55" t="s">
        <v>575</v>
      </c>
      <c r="E55" s="2">
        <v>382.54399999999998</v>
      </c>
      <c r="F55" s="2">
        <v>0</v>
      </c>
      <c r="G55" s="2">
        <v>93.033749999999998</v>
      </c>
      <c r="H55" s="2">
        <v>-92.801499999999905</v>
      </c>
      <c r="I55" s="1">
        <v>0.98639502906855103</v>
      </c>
      <c r="J55" s="1">
        <v>0.98518078966079703</v>
      </c>
      <c r="K55" s="1">
        <v>0.73626740747786801</v>
      </c>
      <c r="L55" s="1">
        <v>0.73530841125148005</v>
      </c>
      <c r="P55" s="1">
        <f>I55-'Passo 2'!I55</f>
        <v>6.6240746162530284E-3</v>
      </c>
      <c r="Q55" s="1">
        <f>J55-'Passo 2'!J55</f>
        <v>3.515935421810612E-4</v>
      </c>
      <c r="R55" s="1">
        <f t="shared" si="1"/>
        <v>377.33949999999976</v>
      </c>
      <c r="S55">
        <f t="shared" si="0"/>
        <v>376.87499999999994</v>
      </c>
      <c r="T55" s="1">
        <f t="shared" si="2"/>
        <v>281.65467912621352</v>
      </c>
      <c r="U55" s="1">
        <f t="shared" si="3"/>
        <v>281.28782087378619</v>
      </c>
    </row>
    <row r="56" spans="1:21" x14ac:dyDescent="0.3">
      <c r="A56" t="s">
        <v>10</v>
      </c>
      <c r="B56" t="s">
        <v>597</v>
      </c>
      <c r="C56" t="s">
        <v>576</v>
      </c>
      <c r="D56" t="s">
        <v>598</v>
      </c>
      <c r="E56" s="2">
        <v>238.41300000000001</v>
      </c>
      <c r="F56" s="2">
        <v>0</v>
      </c>
      <c r="G56" s="2">
        <v>53.012499999999903</v>
      </c>
      <c r="H56" s="2">
        <v>-56.53875</v>
      </c>
      <c r="I56" s="1">
        <v>0.94471148804805005</v>
      </c>
      <c r="J56" s="1">
        <v>0.97429250921719801</v>
      </c>
      <c r="K56" s="1">
        <v>0.54723817774836503</v>
      </c>
      <c r="L56" s="1">
        <v>0.87176581951688403</v>
      </c>
      <c r="P56" s="1">
        <f>I56-'Passo 2'!I56</f>
        <v>0.19154366582359106</v>
      </c>
      <c r="Q56" s="1">
        <f>J56-'Passo 2'!J56</f>
        <v>1.6297349557281016E-2</v>
      </c>
      <c r="R56" s="1">
        <f t="shared" si="1"/>
        <v>225.23149999999976</v>
      </c>
      <c r="S56">
        <f t="shared" si="0"/>
        <v>232.28399999999985</v>
      </c>
      <c r="T56" s="1">
        <f t="shared" si="2"/>
        <v>130.46869567152095</v>
      </c>
      <c r="U56" s="1">
        <f t="shared" si="3"/>
        <v>207.84030432847888</v>
      </c>
    </row>
    <row r="57" spans="1:21" x14ac:dyDescent="0.3">
      <c r="A57" t="s">
        <v>10</v>
      </c>
      <c r="B57" t="s">
        <v>56</v>
      </c>
      <c r="C57" t="s">
        <v>576</v>
      </c>
      <c r="D57" t="s">
        <v>577</v>
      </c>
      <c r="E57" s="2">
        <v>79.427000000000007</v>
      </c>
      <c r="F57" s="2">
        <v>0</v>
      </c>
      <c r="G57" s="2">
        <v>15.972250000000001</v>
      </c>
      <c r="H57" s="2">
        <v>-15.850250000000001</v>
      </c>
      <c r="I57" s="1">
        <v>0.90218691376987603</v>
      </c>
      <c r="J57" s="1">
        <v>0.89911491054679105</v>
      </c>
      <c r="K57" s="1">
        <v>0.51924928634271705</v>
      </c>
      <c r="L57" s="1">
        <v>0.78205253797395002</v>
      </c>
      <c r="P57" s="1">
        <f>I57-'Passo 2'!I57</f>
        <v>1.1261913455122063E-2</v>
      </c>
      <c r="Q57" s="1">
        <f>J57-'Passo 2'!J57</f>
        <v>7.61705717200023E-4</v>
      </c>
      <c r="R57" s="1">
        <f t="shared" si="1"/>
        <v>71.657999999999944</v>
      </c>
      <c r="S57">
        <f t="shared" si="0"/>
        <v>71.413999999999973</v>
      </c>
      <c r="T57" s="1">
        <f t="shared" si="2"/>
        <v>41.242413066342991</v>
      </c>
      <c r="U57" s="1">
        <f t="shared" si="3"/>
        <v>62.116086933656931</v>
      </c>
    </row>
    <row r="58" spans="1:21" x14ac:dyDescent="0.3">
      <c r="A58" t="s">
        <v>10</v>
      </c>
      <c r="B58" t="s">
        <v>599</v>
      </c>
      <c r="C58" t="s">
        <v>574</v>
      </c>
      <c r="D58" t="s">
        <v>575</v>
      </c>
      <c r="E58" s="2">
        <v>7216.1080000000002</v>
      </c>
      <c r="F58" s="2">
        <v>1303.7729999999999</v>
      </c>
      <c r="G58" s="2">
        <v>1105.00425</v>
      </c>
      <c r="H58" s="2">
        <v>-1201.4617499999999</v>
      </c>
      <c r="I58" s="1">
        <v>0.71592276612267902</v>
      </c>
      <c r="J58" s="1">
        <v>0.74265670635749903</v>
      </c>
      <c r="K58" s="1">
        <v>0.56930297459983303</v>
      </c>
      <c r="L58" s="1">
        <v>0.47961418406796802</v>
      </c>
      <c r="P58" s="1">
        <f>I58-'Passo 2'!I58</f>
        <v>7.5755518071514039E-2</v>
      </c>
      <c r="Q58" s="1">
        <f>J58-'Passo 2'!J58</f>
        <v>5.0709399027841995E-2</v>
      </c>
      <c r="R58" s="1">
        <f t="shared" si="1"/>
        <v>5166.1759999999931</v>
      </c>
      <c r="S58">
        <f t="shared" si="0"/>
        <v>5359.0909999999994</v>
      </c>
      <c r="T58" s="1">
        <f t="shared" si="2"/>
        <v>4108.1517494336522</v>
      </c>
      <c r="U58" s="1">
        <f t="shared" si="3"/>
        <v>3460.9477505663367</v>
      </c>
    </row>
    <row r="59" spans="1:21" x14ac:dyDescent="0.3">
      <c r="A59" t="s">
        <v>57</v>
      </c>
      <c r="B59" t="s">
        <v>58</v>
      </c>
      <c r="C59" t="s">
        <v>580</v>
      </c>
      <c r="D59" t="s">
        <v>581</v>
      </c>
      <c r="E59" s="2">
        <v>47.854999999999997</v>
      </c>
      <c r="F59" s="2">
        <v>0</v>
      </c>
      <c r="G59" s="2">
        <v>10.532999999999999</v>
      </c>
      <c r="H59" s="2">
        <v>-9.34499999999999</v>
      </c>
      <c r="I59" s="1">
        <v>0.94020478528889295</v>
      </c>
      <c r="J59" s="1">
        <v>0.89055480096123696</v>
      </c>
      <c r="K59" s="1">
        <v>0.84488796725815796</v>
      </c>
      <c r="L59" s="1">
        <v>0.48587161899197201</v>
      </c>
      <c r="P59" s="1">
        <f>I59-'Passo 2'!I59</f>
        <v>4.9754466617907944E-2</v>
      </c>
      <c r="Q59" s="1">
        <f>J59-'Passo 2'!J59</f>
        <v>4.1416779855814934E-2</v>
      </c>
      <c r="R59" s="1">
        <f t="shared" si="1"/>
        <v>44.993499999999969</v>
      </c>
      <c r="S59">
        <f t="shared" si="0"/>
        <v>42.617499999999993</v>
      </c>
      <c r="T59" s="1">
        <f t="shared" si="2"/>
        <v>40.432113673139149</v>
      </c>
      <c r="U59" s="1">
        <f t="shared" si="3"/>
        <v>23.251386326860818</v>
      </c>
    </row>
    <row r="60" spans="1:21" x14ac:dyDescent="0.3">
      <c r="A60" t="s">
        <v>57</v>
      </c>
      <c r="B60" t="s">
        <v>59</v>
      </c>
      <c r="C60" t="s">
        <v>580</v>
      </c>
      <c r="D60" t="s">
        <v>581</v>
      </c>
      <c r="E60" s="2">
        <v>82.29</v>
      </c>
      <c r="F60" s="2">
        <v>0</v>
      </c>
      <c r="G60" s="2">
        <v>19.875999999999902</v>
      </c>
      <c r="H60" s="2">
        <v>-16.440000000000001</v>
      </c>
      <c r="I60" s="1">
        <v>0.98307206221898102</v>
      </c>
      <c r="J60" s="1">
        <v>0.89956252278527105</v>
      </c>
      <c r="K60" s="1">
        <v>0.89579696292730604</v>
      </c>
      <c r="L60" s="1">
        <v>0.48683762207694697</v>
      </c>
      <c r="P60" s="1">
        <f>I60-'Passo 2'!I60</f>
        <v>5.231498359460407E-2</v>
      </c>
      <c r="Q60" s="1">
        <f>J60-'Passo 2'!J60</f>
        <v>2.7998541742617067E-2</v>
      </c>
      <c r="R60" s="1">
        <f t="shared" si="1"/>
        <v>80.896999999999949</v>
      </c>
      <c r="S60">
        <f t="shared" si="0"/>
        <v>74.024999999999963</v>
      </c>
      <c r="T60" s="1">
        <f t="shared" si="2"/>
        <v>73.715132079288026</v>
      </c>
      <c r="U60" s="1">
        <f t="shared" si="3"/>
        <v>40.061867920711968</v>
      </c>
    </row>
    <row r="61" spans="1:21" x14ac:dyDescent="0.3">
      <c r="A61" t="s">
        <v>57</v>
      </c>
      <c r="B61" t="s">
        <v>60</v>
      </c>
      <c r="C61" t="s">
        <v>576</v>
      </c>
      <c r="D61" t="s">
        <v>589</v>
      </c>
      <c r="E61" s="2">
        <v>0</v>
      </c>
      <c r="F61" s="2">
        <v>0</v>
      </c>
      <c r="G61" s="2">
        <v>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P61" s="1">
        <f>I61-'Passo 2'!I61</f>
        <v>0</v>
      </c>
      <c r="Q61" s="1">
        <f>J61-'Passo 2'!J61</f>
        <v>0</v>
      </c>
      <c r="R61" s="1">
        <f t="shared" si="1"/>
        <v>0</v>
      </c>
      <c r="S61">
        <f t="shared" si="0"/>
        <v>0</v>
      </c>
      <c r="T61" s="1">
        <f t="shared" si="2"/>
        <v>0</v>
      </c>
      <c r="U61" s="1">
        <f t="shared" si="3"/>
        <v>0</v>
      </c>
    </row>
    <row r="62" spans="1:21" x14ac:dyDescent="0.3">
      <c r="A62" t="s">
        <v>57</v>
      </c>
      <c r="B62" t="s">
        <v>61</v>
      </c>
      <c r="C62" t="s">
        <v>576</v>
      </c>
      <c r="D62" t="s">
        <v>583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P62" s="1">
        <f>I62-'Passo 2'!I62</f>
        <v>0</v>
      </c>
      <c r="Q62" s="1">
        <f>J62-'Passo 2'!J62</f>
        <v>0</v>
      </c>
      <c r="R62" s="1">
        <f t="shared" si="1"/>
        <v>0</v>
      </c>
      <c r="S62">
        <f t="shared" si="0"/>
        <v>0</v>
      </c>
      <c r="T62" s="1">
        <f t="shared" si="2"/>
        <v>0</v>
      </c>
      <c r="U62" s="1">
        <f t="shared" si="3"/>
        <v>0</v>
      </c>
    </row>
    <row r="63" spans="1:21" x14ac:dyDescent="0.3">
      <c r="A63" t="s">
        <v>57</v>
      </c>
      <c r="B63" t="s">
        <v>600</v>
      </c>
      <c r="C63" t="s">
        <v>574</v>
      </c>
      <c r="D63" t="s">
        <v>575</v>
      </c>
      <c r="E63" s="2">
        <v>255.21799999999999</v>
      </c>
      <c r="F63" s="2">
        <v>0</v>
      </c>
      <c r="G63" s="2">
        <v>63.804499999999997</v>
      </c>
      <c r="H63" s="2">
        <v>-62.152250000000002</v>
      </c>
      <c r="I63" s="1">
        <v>1</v>
      </c>
      <c r="J63" s="1">
        <v>0.98705224553127102</v>
      </c>
      <c r="K63" s="1">
        <v>0.94860689849740998</v>
      </c>
      <c r="L63" s="1">
        <v>0.53844534703386104</v>
      </c>
      <c r="P63" s="1">
        <f>I63-'Passo 2'!I63</f>
        <v>1.525950364002604E-2</v>
      </c>
      <c r="Q63" s="1">
        <f>J63-'Passo 2'!J63</f>
        <v>7.4638152481408038E-2</v>
      </c>
      <c r="R63" s="1">
        <f t="shared" si="1"/>
        <v>255.21799999999999</v>
      </c>
      <c r="S63">
        <f t="shared" si="0"/>
        <v>251.91349999999991</v>
      </c>
      <c r="T63" s="1">
        <f t="shared" si="2"/>
        <v>242.10155542071197</v>
      </c>
      <c r="U63" s="1">
        <f t="shared" si="3"/>
        <v>137.42094457928795</v>
      </c>
    </row>
    <row r="64" spans="1:21" x14ac:dyDescent="0.3">
      <c r="A64" t="s">
        <v>57</v>
      </c>
      <c r="B64" t="s">
        <v>601</v>
      </c>
      <c r="C64" t="s">
        <v>34</v>
      </c>
      <c r="D64" t="s">
        <v>35</v>
      </c>
      <c r="E64" s="2">
        <v>33.237000000000002</v>
      </c>
      <c r="F64" s="2">
        <v>0</v>
      </c>
      <c r="G64" s="2">
        <v>8.0394999999999897</v>
      </c>
      <c r="H64" s="2">
        <v>-8.1004999999999896</v>
      </c>
      <c r="I64" s="1">
        <v>0.98376808977946195</v>
      </c>
      <c r="J64" s="1">
        <v>0.98743869783674798</v>
      </c>
      <c r="K64" s="1">
        <v>0.86531125924796404</v>
      </c>
      <c r="L64" s="1">
        <v>0.60589552836824601</v>
      </c>
      <c r="P64" s="1">
        <f>I64-'Passo 2'!I64</f>
        <v>4.2136775280560923E-2</v>
      </c>
      <c r="Q64" s="1">
        <f>J64-'Passo 2'!J64</f>
        <v>2.9485212263442029E-2</v>
      </c>
      <c r="R64" s="1">
        <f t="shared" si="1"/>
        <v>32.697499999999977</v>
      </c>
      <c r="S64">
        <f t="shared" si="0"/>
        <v>32.819499999999998</v>
      </c>
      <c r="T64" s="1">
        <f t="shared" si="2"/>
        <v>28.760350323624582</v>
      </c>
      <c r="U64" s="1">
        <f t="shared" si="3"/>
        <v>20.138149676375395</v>
      </c>
    </row>
    <row r="65" spans="1:21" x14ac:dyDescent="0.3">
      <c r="A65" t="s">
        <v>57</v>
      </c>
      <c r="B65" t="s">
        <v>602</v>
      </c>
      <c r="C65" t="s">
        <v>580</v>
      </c>
      <c r="D65" t="s">
        <v>581</v>
      </c>
      <c r="E65" s="2">
        <v>45.759</v>
      </c>
      <c r="F65" s="2">
        <v>0</v>
      </c>
      <c r="G65" s="2">
        <v>10.0715</v>
      </c>
      <c r="H65" s="2">
        <v>-8.1229999999999993</v>
      </c>
      <c r="I65" s="1">
        <v>0.940197556764789</v>
      </c>
      <c r="J65" s="1">
        <v>0.85503398238597805</v>
      </c>
      <c r="K65" s="1">
        <v>0.76508786246859495</v>
      </c>
      <c r="L65" s="1">
        <v>0.53014367668217199</v>
      </c>
      <c r="P65" s="1">
        <f>I65-'Passo 2'!I65</f>
        <v>5.6568106820516051E-2</v>
      </c>
      <c r="Q65" s="1">
        <f>J65-'Passo 2'!J65</f>
        <v>2.2815183898249103E-2</v>
      </c>
      <c r="R65" s="1">
        <f t="shared" si="1"/>
        <v>43.02249999999998</v>
      </c>
      <c r="S65">
        <f t="shared" si="0"/>
        <v>39.125499999999967</v>
      </c>
      <c r="T65" s="1">
        <f t="shared" si="2"/>
        <v>35.00965549870044</v>
      </c>
      <c r="U65" s="1">
        <f t="shared" si="3"/>
        <v>24.25884450129951</v>
      </c>
    </row>
    <row r="66" spans="1:21" x14ac:dyDescent="0.3">
      <c r="A66" t="s">
        <v>57</v>
      </c>
      <c r="B66" t="s">
        <v>603</v>
      </c>
      <c r="C66" t="s">
        <v>576</v>
      </c>
      <c r="D66" t="s">
        <v>589</v>
      </c>
      <c r="E66" s="2">
        <v>0</v>
      </c>
      <c r="F66" s="2">
        <v>0</v>
      </c>
      <c r="G66" s="2">
        <v>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P66" s="1">
        <f>I66-'Passo 2'!I66</f>
        <v>0</v>
      </c>
      <c r="Q66" s="1">
        <f>J66-'Passo 2'!J66</f>
        <v>0</v>
      </c>
      <c r="R66" s="1">
        <f t="shared" si="1"/>
        <v>0</v>
      </c>
      <c r="S66">
        <f t="shared" ref="S66:S129" si="4">J66*E66</f>
        <v>0</v>
      </c>
      <c r="T66" s="1">
        <f t="shared" si="2"/>
        <v>0</v>
      </c>
      <c r="U66" s="1">
        <f t="shared" si="3"/>
        <v>0</v>
      </c>
    </row>
    <row r="67" spans="1:21" x14ac:dyDescent="0.3">
      <c r="A67" t="s">
        <v>57</v>
      </c>
      <c r="B67" t="s">
        <v>604</v>
      </c>
      <c r="C67" t="s">
        <v>574</v>
      </c>
      <c r="D67" t="s">
        <v>575</v>
      </c>
      <c r="E67" s="2">
        <v>236.678</v>
      </c>
      <c r="F67" s="2">
        <v>94.495999999999995</v>
      </c>
      <c r="G67" s="2">
        <v>34.504750000000001</v>
      </c>
      <c r="H67" s="2">
        <v>-34.442749999999997</v>
      </c>
      <c r="I67" s="1">
        <v>0.59194559697141202</v>
      </c>
      <c r="J67" s="1">
        <v>0.59142167839849902</v>
      </c>
      <c r="K67" s="1">
        <v>0.51864916180958998</v>
      </c>
      <c r="L67" s="1">
        <v>0.36434799043945598</v>
      </c>
      <c r="P67" s="1">
        <f>I67-'Passo 2'!I67</f>
        <v>2.1125748908001896E-5</v>
      </c>
      <c r="Q67" s="1">
        <f>J67-'Passo 2'!J67</f>
        <v>1.1997312804739035E-2</v>
      </c>
      <c r="R67" s="1">
        <f t="shared" ref="R67:R130" si="5">I67*E67</f>
        <v>140.10049999999984</v>
      </c>
      <c r="S67">
        <f t="shared" si="4"/>
        <v>139.97649999999996</v>
      </c>
      <c r="T67" s="1">
        <f t="shared" ref="T67:T130" si="6">K67*E67</f>
        <v>122.75284631877014</v>
      </c>
      <c r="U67" s="1">
        <f t="shared" ref="U67:U130" si="7">L67*E67</f>
        <v>86.233153681229567</v>
      </c>
    </row>
    <row r="68" spans="1:21" x14ac:dyDescent="0.3">
      <c r="A68" t="s">
        <v>57</v>
      </c>
      <c r="B68" t="s">
        <v>62</v>
      </c>
      <c r="C68" t="s">
        <v>576</v>
      </c>
      <c r="D68" t="s">
        <v>598</v>
      </c>
      <c r="E68" s="2">
        <v>201.64699999999999</v>
      </c>
      <c r="F68" s="2">
        <v>11.965</v>
      </c>
      <c r="G68" s="2">
        <v>41.531999999999996</v>
      </c>
      <c r="H68" s="2">
        <v>-41.531999999999996</v>
      </c>
      <c r="I68" s="1">
        <v>0.88225959225775696</v>
      </c>
      <c r="J68" s="1">
        <v>0.88225959225775696</v>
      </c>
      <c r="K68" s="1">
        <v>0.52458758555335605</v>
      </c>
      <c r="L68" s="1">
        <v>0.769599781479131</v>
      </c>
      <c r="P68" s="1">
        <f>I68-'Passo 2'!I68</f>
        <v>1.7109106507895433E-4</v>
      </c>
      <c r="Q68" s="1">
        <f>J68-'Passo 2'!J68</f>
        <v>1.7109106507895433E-4</v>
      </c>
      <c r="R68" s="1">
        <f t="shared" si="5"/>
        <v>177.90499999999992</v>
      </c>
      <c r="S68">
        <f t="shared" si="4"/>
        <v>177.90499999999992</v>
      </c>
      <c r="T68" s="1">
        <f t="shared" si="6"/>
        <v>105.78151286407758</v>
      </c>
      <c r="U68" s="1">
        <f t="shared" si="7"/>
        <v>155.18748713592231</v>
      </c>
    </row>
    <row r="69" spans="1:21" x14ac:dyDescent="0.3">
      <c r="A69" t="s">
        <v>57</v>
      </c>
      <c r="B69" t="s">
        <v>605</v>
      </c>
      <c r="C69" t="s">
        <v>576</v>
      </c>
      <c r="D69" t="s">
        <v>583</v>
      </c>
      <c r="E69" s="2">
        <v>145.24600000000001</v>
      </c>
      <c r="F69" s="2">
        <v>0</v>
      </c>
      <c r="G69" s="2">
        <v>36.311500000000002</v>
      </c>
      <c r="H69" s="2">
        <v>-36.300750000000001</v>
      </c>
      <c r="I69" s="1">
        <v>1</v>
      </c>
      <c r="J69" s="1">
        <v>0.99985197526954195</v>
      </c>
      <c r="K69" s="1">
        <v>0.99873523780823104</v>
      </c>
      <c r="L69" s="1">
        <v>0.50111673746131002</v>
      </c>
      <c r="P69" s="1">
        <f>I69-'Passo 2'!I69</f>
        <v>5.7901766657949549E-3</v>
      </c>
      <c r="Q69" s="1">
        <f>J69-'Passo 2'!J69</f>
        <v>0</v>
      </c>
      <c r="R69" s="1">
        <f t="shared" si="5"/>
        <v>145.24600000000001</v>
      </c>
      <c r="S69">
        <f t="shared" si="4"/>
        <v>145.22449999999989</v>
      </c>
      <c r="T69" s="1">
        <f t="shared" si="6"/>
        <v>145.06229835069433</v>
      </c>
      <c r="U69" s="1">
        <f t="shared" si="7"/>
        <v>72.785201649305435</v>
      </c>
    </row>
    <row r="70" spans="1:21" x14ac:dyDescent="0.3">
      <c r="A70" t="s">
        <v>57</v>
      </c>
      <c r="B70" t="s">
        <v>63</v>
      </c>
      <c r="C70" t="s">
        <v>576</v>
      </c>
      <c r="D70" t="s">
        <v>583</v>
      </c>
      <c r="E70" s="2">
        <v>167.36600000000001</v>
      </c>
      <c r="F70" s="2">
        <v>0</v>
      </c>
      <c r="G70" s="2">
        <v>41.841500000000003</v>
      </c>
      <c r="H70" s="2">
        <v>-41.779499999999999</v>
      </c>
      <c r="I70" s="1">
        <v>1</v>
      </c>
      <c r="J70" s="1">
        <v>0.99925910877956103</v>
      </c>
      <c r="K70" s="1">
        <v>0.99829215398595195</v>
      </c>
      <c r="L70" s="1">
        <v>0.50096695479360798</v>
      </c>
      <c r="P70" s="1">
        <f>I70-'Passo 2'!I70</f>
        <v>4.2180012666850009E-2</v>
      </c>
      <c r="Q70" s="1">
        <f>J70-'Passo 2'!J70</f>
        <v>1.1202992244550014E-3</v>
      </c>
      <c r="R70" s="1">
        <f t="shared" si="5"/>
        <v>167.36600000000001</v>
      </c>
      <c r="S70">
        <f t="shared" si="4"/>
        <v>167.24200000000002</v>
      </c>
      <c r="T70" s="1">
        <f t="shared" si="6"/>
        <v>167.08016464401285</v>
      </c>
      <c r="U70" s="1">
        <f t="shared" si="7"/>
        <v>83.844835355987001</v>
      </c>
    </row>
    <row r="71" spans="1:21" x14ac:dyDescent="0.3">
      <c r="A71" t="s">
        <v>57</v>
      </c>
      <c r="B71" t="s">
        <v>64</v>
      </c>
      <c r="C71" t="s">
        <v>576</v>
      </c>
      <c r="D71" t="s">
        <v>589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P71" s="1">
        <f>I71-'Passo 2'!I71</f>
        <v>0</v>
      </c>
      <c r="Q71" s="1">
        <f>J71-'Passo 2'!J71</f>
        <v>0</v>
      </c>
      <c r="R71" s="1">
        <f t="shared" si="5"/>
        <v>0</v>
      </c>
      <c r="S71">
        <f t="shared" si="4"/>
        <v>0</v>
      </c>
      <c r="T71" s="1">
        <f t="shared" si="6"/>
        <v>0</v>
      </c>
      <c r="U71" s="1">
        <f t="shared" si="7"/>
        <v>0</v>
      </c>
    </row>
    <row r="72" spans="1:21" x14ac:dyDescent="0.3">
      <c r="A72" t="s">
        <v>57</v>
      </c>
      <c r="B72" t="s">
        <v>606</v>
      </c>
      <c r="C72" t="s">
        <v>580</v>
      </c>
      <c r="D72" t="s">
        <v>581</v>
      </c>
      <c r="E72" s="2">
        <v>25.288</v>
      </c>
      <c r="F72" s="2">
        <v>0</v>
      </c>
      <c r="G72" s="2">
        <v>5.4005000000000001</v>
      </c>
      <c r="H72" s="2">
        <v>-4.3927499999999897</v>
      </c>
      <c r="I72" s="1">
        <v>0.92711958241062897</v>
      </c>
      <c r="J72" s="1">
        <v>0.84741774754824395</v>
      </c>
      <c r="K72" s="1">
        <v>0.84026062478691999</v>
      </c>
      <c r="L72" s="1">
        <v>0.43427670517195299</v>
      </c>
      <c r="P72" s="1">
        <f>I72-'Passo 2'!I72</f>
        <v>5.1407782347360209E-3</v>
      </c>
      <c r="Q72" s="1">
        <f>J72-'Passo 2'!J72</f>
        <v>-6.1748655488769066E-2</v>
      </c>
      <c r="R72" s="1">
        <f t="shared" si="5"/>
        <v>23.444999999999986</v>
      </c>
      <c r="S72">
        <f t="shared" si="4"/>
        <v>21.429499999999994</v>
      </c>
      <c r="T72" s="1">
        <f t="shared" si="6"/>
        <v>21.248510679611634</v>
      </c>
      <c r="U72" s="1">
        <f t="shared" si="7"/>
        <v>10.981989320388347</v>
      </c>
    </row>
    <row r="73" spans="1:21" x14ac:dyDescent="0.3">
      <c r="A73" t="s">
        <v>57</v>
      </c>
      <c r="B73" t="s">
        <v>65</v>
      </c>
      <c r="C73" t="s">
        <v>576</v>
      </c>
      <c r="D73" t="s">
        <v>589</v>
      </c>
      <c r="E73" s="2">
        <v>0</v>
      </c>
      <c r="F73" s="2">
        <v>0</v>
      </c>
      <c r="G73" s="2">
        <v>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P73" s="1">
        <f>I73-'Passo 2'!I73</f>
        <v>0</v>
      </c>
      <c r="Q73" s="1">
        <f>J73-'Passo 2'!J73</f>
        <v>0</v>
      </c>
      <c r="R73" s="1">
        <f t="shared" si="5"/>
        <v>0</v>
      </c>
      <c r="S73">
        <f t="shared" si="4"/>
        <v>0</v>
      </c>
      <c r="T73" s="1">
        <f t="shared" si="6"/>
        <v>0</v>
      </c>
      <c r="U73" s="1">
        <f t="shared" si="7"/>
        <v>0</v>
      </c>
    </row>
    <row r="74" spans="1:21" x14ac:dyDescent="0.3">
      <c r="A74" t="s">
        <v>57</v>
      </c>
      <c r="B74" t="s">
        <v>66</v>
      </c>
      <c r="C74" t="s">
        <v>34</v>
      </c>
      <c r="D74" t="s">
        <v>35</v>
      </c>
      <c r="E74" s="2">
        <v>162.773</v>
      </c>
      <c r="F74" s="2">
        <v>0</v>
      </c>
      <c r="G74" s="2">
        <v>40.618499999999997</v>
      </c>
      <c r="H74" s="2">
        <v>-40.661999999999999</v>
      </c>
      <c r="I74" s="1">
        <v>0.99908154300774599</v>
      </c>
      <c r="J74" s="1">
        <v>0.999616029685513</v>
      </c>
      <c r="K74" s="1">
        <v>0.87120933658919297</v>
      </c>
      <c r="L74" s="1">
        <v>0.62748823610406601</v>
      </c>
      <c r="P74" s="1">
        <f>I74-'Passo 2'!I74</f>
        <v>2.9147954513339958E-2</v>
      </c>
      <c r="Q74" s="1">
        <f>J74-'Passo 2'!J74</f>
        <v>1.4437283824712988E-2</v>
      </c>
      <c r="R74" s="1">
        <f t="shared" si="5"/>
        <v>162.62349999999984</v>
      </c>
      <c r="S74">
        <f t="shared" si="4"/>
        <v>162.7105</v>
      </c>
      <c r="T74" s="1">
        <f t="shared" si="6"/>
        <v>141.8093573446327</v>
      </c>
      <c r="U74" s="1">
        <f t="shared" si="7"/>
        <v>102.13814265536713</v>
      </c>
    </row>
    <row r="75" spans="1:21" x14ac:dyDescent="0.3">
      <c r="A75" t="s">
        <v>57</v>
      </c>
      <c r="B75" t="s">
        <v>67</v>
      </c>
      <c r="C75" t="s">
        <v>580</v>
      </c>
      <c r="D75" t="s">
        <v>581</v>
      </c>
      <c r="E75" s="2">
        <v>71.941000000000003</v>
      </c>
      <c r="F75" s="2">
        <v>0</v>
      </c>
      <c r="G75" s="2">
        <v>16.505749999999999</v>
      </c>
      <c r="H75" s="2">
        <v>-15.81175</v>
      </c>
      <c r="I75" s="1">
        <v>0.95886907326837201</v>
      </c>
      <c r="J75" s="1">
        <v>0.939575485467257</v>
      </c>
      <c r="K75" s="1">
        <v>0.79586300688618605</v>
      </c>
      <c r="L75" s="1">
        <v>0.60258155184944395</v>
      </c>
      <c r="P75" s="1">
        <f>I75-'Passo 2'!I75</f>
        <v>4.4008284566519063E-2</v>
      </c>
      <c r="Q75" s="1">
        <f>J75-'Passo 2'!J75</f>
        <v>3.074046788340401E-2</v>
      </c>
      <c r="R75" s="1">
        <f t="shared" si="5"/>
        <v>68.981999999999957</v>
      </c>
      <c r="S75">
        <f t="shared" si="4"/>
        <v>67.593999999999937</v>
      </c>
      <c r="T75" s="1">
        <f t="shared" si="6"/>
        <v>57.255180578399113</v>
      </c>
      <c r="U75" s="1">
        <f t="shared" si="7"/>
        <v>43.350319421600851</v>
      </c>
    </row>
    <row r="76" spans="1:21" x14ac:dyDescent="0.3">
      <c r="A76" t="s">
        <v>57</v>
      </c>
      <c r="B76" t="s">
        <v>68</v>
      </c>
      <c r="C76" t="s">
        <v>580</v>
      </c>
      <c r="D76" t="s">
        <v>581</v>
      </c>
      <c r="E76" s="2">
        <v>34.143000000000001</v>
      </c>
      <c r="F76" s="2">
        <v>0</v>
      </c>
      <c r="G76" s="2">
        <v>8.1967499999999998</v>
      </c>
      <c r="H76" s="2">
        <v>-8.1959999999999997</v>
      </c>
      <c r="I76" s="1">
        <v>0.98014234250065901</v>
      </c>
      <c r="J76" s="1">
        <v>0.98009840963008499</v>
      </c>
      <c r="K76" s="1">
        <v>0.80346443280865598</v>
      </c>
      <c r="L76" s="1">
        <v>0.65677631932208702</v>
      </c>
      <c r="P76" s="1">
        <f>I76-'Passo 2'!I76</f>
        <v>7.6443194798350156E-3</v>
      </c>
      <c r="Q76" s="1">
        <f>J76-'Passo 2'!J76</f>
        <v>-3.9832469320210118E-3</v>
      </c>
      <c r="R76" s="1">
        <f t="shared" si="5"/>
        <v>33.465000000000003</v>
      </c>
      <c r="S76">
        <f t="shared" si="4"/>
        <v>33.463499999999989</v>
      </c>
      <c r="T76" s="1">
        <f t="shared" si="6"/>
        <v>27.432686129385942</v>
      </c>
      <c r="U76" s="1">
        <f t="shared" si="7"/>
        <v>22.424313870614018</v>
      </c>
    </row>
    <row r="77" spans="1:21" x14ac:dyDescent="0.3">
      <c r="A77" t="s">
        <v>57</v>
      </c>
      <c r="B77" t="s">
        <v>607</v>
      </c>
      <c r="C77" t="s">
        <v>580</v>
      </c>
      <c r="D77" t="s">
        <v>581</v>
      </c>
      <c r="E77" s="2">
        <v>67.766999999999996</v>
      </c>
      <c r="F77" s="2">
        <v>0</v>
      </c>
      <c r="G77" s="2">
        <v>16.697500000000002</v>
      </c>
      <c r="H77" s="2">
        <v>-14.7735</v>
      </c>
      <c r="I77" s="1">
        <v>0.99279147667743906</v>
      </c>
      <c r="J77" s="1">
        <v>0.93600867678958699</v>
      </c>
      <c r="K77" s="1">
        <v>0.84497279143178705</v>
      </c>
      <c r="L77" s="1">
        <v>0.58382736203523899</v>
      </c>
      <c r="P77" s="1">
        <f>I77-'Passo 2'!I77</f>
        <v>8.6767895878530066E-3</v>
      </c>
      <c r="Q77" s="1">
        <f>J77-'Passo 2'!J77</f>
        <v>-1.1805155901840614E-3</v>
      </c>
      <c r="R77" s="1">
        <f t="shared" si="5"/>
        <v>67.278500000000008</v>
      </c>
      <c r="S77">
        <f t="shared" si="4"/>
        <v>63.430499999999938</v>
      </c>
      <c r="T77" s="1">
        <f t="shared" si="6"/>
        <v>57.26127115695791</v>
      </c>
      <c r="U77" s="1">
        <f t="shared" si="7"/>
        <v>39.564228843042038</v>
      </c>
    </row>
    <row r="78" spans="1:21" x14ac:dyDescent="0.3">
      <c r="A78" t="s">
        <v>57</v>
      </c>
      <c r="B78" t="s">
        <v>608</v>
      </c>
      <c r="C78" t="s">
        <v>580</v>
      </c>
      <c r="D78" t="s">
        <v>581</v>
      </c>
      <c r="E78" s="2">
        <v>103.345</v>
      </c>
      <c r="F78" s="2">
        <v>0</v>
      </c>
      <c r="G78" s="2">
        <v>22.27</v>
      </c>
      <c r="H78" s="2">
        <v>-22.390249999999899</v>
      </c>
      <c r="I78" s="1">
        <v>0.93098359862596103</v>
      </c>
      <c r="J78" s="1">
        <v>0.933310755237312</v>
      </c>
      <c r="K78" s="1">
        <v>0.75725348500427603</v>
      </c>
      <c r="L78" s="1">
        <v>0.607040868858996</v>
      </c>
      <c r="P78" s="1">
        <f>I78-'Passo 2'!I78</f>
        <v>4.226135758865901E-2</v>
      </c>
      <c r="Q78" s="1">
        <f>J78-'Passo 2'!J78</f>
        <v>7.0941990420437029E-2</v>
      </c>
      <c r="R78" s="1">
        <f t="shared" si="5"/>
        <v>96.212499999999935</v>
      </c>
      <c r="S78">
        <f t="shared" si="4"/>
        <v>96.453000000000003</v>
      </c>
      <c r="T78" s="1">
        <f t="shared" si="6"/>
        <v>78.258361407766898</v>
      </c>
      <c r="U78" s="1">
        <f t="shared" si="7"/>
        <v>62.73463859223294</v>
      </c>
    </row>
    <row r="79" spans="1:21" x14ac:dyDescent="0.3">
      <c r="A79" t="s">
        <v>57</v>
      </c>
      <c r="B79" t="s">
        <v>69</v>
      </c>
      <c r="C79" t="s">
        <v>580</v>
      </c>
      <c r="D79" t="s">
        <v>581</v>
      </c>
      <c r="E79" s="2">
        <v>153.696</v>
      </c>
      <c r="F79" s="2">
        <v>0</v>
      </c>
      <c r="G79" s="2">
        <v>36.661999999999999</v>
      </c>
      <c r="H79" s="2">
        <v>-36.604749999999903</v>
      </c>
      <c r="I79" s="1">
        <v>0.97707162190297703</v>
      </c>
      <c r="J79" s="1">
        <v>0.97632664480533005</v>
      </c>
      <c r="K79" s="1">
        <v>0.80992104912517604</v>
      </c>
      <c r="L79" s="1">
        <v>0.64347721758313103</v>
      </c>
      <c r="P79" s="1">
        <f>I79-'Passo 2'!I79</f>
        <v>-1.008484280660138E-4</v>
      </c>
      <c r="Q79" s="1">
        <f>J79-'Passo 2'!J79</f>
        <v>2.8693004372269959E-3</v>
      </c>
      <c r="R79" s="1">
        <f t="shared" si="5"/>
        <v>150.17199999999997</v>
      </c>
      <c r="S79">
        <f t="shared" si="4"/>
        <v>150.0575</v>
      </c>
      <c r="T79" s="1">
        <f t="shared" si="6"/>
        <v>124.48162556634306</v>
      </c>
      <c r="U79" s="1">
        <f t="shared" si="7"/>
        <v>98.899874433656905</v>
      </c>
    </row>
    <row r="80" spans="1:21" x14ac:dyDescent="0.3">
      <c r="A80" t="s">
        <v>57</v>
      </c>
      <c r="B80" t="s">
        <v>70</v>
      </c>
      <c r="C80" t="s">
        <v>34</v>
      </c>
      <c r="D80" t="s">
        <v>35</v>
      </c>
      <c r="E80" s="2">
        <v>278.73099999999999</v>
      </c>
      <c r="F80" s="2">
        <v>0</v>
      </c>
      <c r="G80" s="2">
        <v>69.573250000000002</v>
      </c>
      <c r="H80" s="2">
        <v>-69.527500000000003</v>
      </c>
      <c r="I80" s="1">
        <v>0.99921429622108704</v>
      </c>
      <c r="J80" s="1">
        <v>0.99888602272441895</v>
      </c>
      <c r="K80" s="1">
        <v>0.88124182197148904</v>
      </c>
      <c r="L80" s="1">
        <v>0.61685849697401596</v>
      </c>
      <c r="P80" s="1">
        <f>I80-'Passo 2'!I80</f>
        <v>2.6460996444600093E-2</v>
      </c>
      <c r="Q80" s="1">
        <f>J80-'Passo 2'!J80</f>
        <v>2.4699441396902944E-2</v>
      </c>
      <c r="R80" s="1">
        <f t="shared" si="5"/>
        <v>278.51199999999983</v>
      </c>
      <c r="S80">
        <f t="shared" si="4"/>
        <v>278.4205</v>
      </c>
      <c r="T80" s="1">
        <f t="shared" si="6"/>
        <v>245.62941427993511</v>
      </c>
      <c r="U80" s="1">
        <f t="shared" si="7"/>
        <v>171.93758572006445</v>
      </c>
    </row>
    <row r="81" spans="1:21" x14ac:dyDescent="0.3">
      <c r="A81" t="s">
        <v>57</v>
      </c>
      <c r="B81" t="s">
        <v>71</v>
      </c>
      <c r="C81" t="s">
        <v>580</v>
      </c>
      <c r="D81" t="s">
        <v>581</v>
      </c>
      <c r="E81" s="2">
        <v>239.65199999999999</v>
      </c>
      <c r="F81" s="2">
        <v>0</v>
      </c>
      <c r="G81" s="2">
        <v>56.347999999999999</v>
      </c>
      <c r="H81" s="2">
        <v>-57.262250000000002</v>
      </c>
      <c r="I81" s="1">
        <v>0.97024852703086095</v>
      </c>
      <c r="J81" s="1">
        <v>0.97787834026004306</v>
      </c>
      <c r="K81" s="1">
        <v>0.80523979345010799</v>
      </c>
      <c r="L81" s="1">
        <v>0.64288707384079602</v>
      </c>
      <c r="P81" s="1">
        <f>I81-'Passo 2'!I81</f>
        <v>1.1049354897934904E-2</v>
      </c>
      <c r="Q81" s="1">
        <f>J81-'Passo 2'!J81</f>
        <v>5.1293125031295017E-2</v>
      </c>
      <c r="R81" s="1">
        <f t="shared" si="5"/>
        <v>232.52199999999988</v>
      </c>
      <c r="S81">
        <f t="shared" si="4"/>
        <v>234.35049999999981</v>
      </c>
      <c r="T81" s="1">
        <f t="shared" si="6"/>
        <v>192.97732697990526</v>
      </c>
      <c r="U81" s="1">
        <f t="shared" si="7"/>
        <v>154.06917302009444</v>
      </c>
    </row>
    <row r="82" spans="1:21" x14ac:dyDescent="0.3">
      <c r="A82" t="s">
        <v>57</v>
      </c>
      <c r="B82" t="s">
        <v>72</v>
      </c>
      <c r="C82" t="s">
        <v>580</v>
      </c>
      <c r="D82" t="s">
        <v>581</v>
      </c>
      <c r="E82" s="2">
        <v>135.48599999999999</v>
      </c>
      <c r="F82" s="2">
        <v>0</v>
      </c>
      <c r="G82" s="2">
        <v>31.099499999999999</v>
      </c>
      <c r="H82" s="2">
        <v>-28.647500000000001</v>
      </c>
      <c r="I82" s="1">
        <v>0.95908064301846696</v>
      </c>
      <c r="J82" s="1">
        <v>0.92288502133061701</v>
      </c>
      <c r="K82" s="1">
        <v>0.76052361713580796</v>
      </c>
      <c r="L82" s="1">
        <v>0.62144204721327501</v>
      </c>
      <c r="P82" s="1">
        <f>I82-'Passo 2'!I82</f>
        <v>1.9444813486264922E-2</v>
      </c>
      <c r="Q82" s="1">
        <f>J82-'Passo 2'!J82</f>
        <v>3.0947847010022955E-2</v>
      </c>
      <c r="R82" s="1">
        <f t="shared" si="5"/>
        <v>129.94200000000001</v>
      </c>
      <c r="S82">
        <f t="shared" si="4"/>
        <v>125.03799999999997</v>
      </c>
      <c r="T82" s="1">
        <f t="shared" si="6"/>
        <v>103.04030279126206</v>
      </c>
      <c r="U82" s="1">
        <f t="shared" si="7"/>
        <v>84.196697208737774</v>
      </c>
    </row>
    <row r="83" spans="1:21" x14ac:dyDescent="0.3">
      <c r="A83" t="s">
        <v>57</v>
      </c>
      <c r="B83" t="s">
        <v>73</v>
      </c>
      <c r="C83" t="s">
        <v>580</v>
      </c>
      <c r="D83" t="s">
        <v>581</v>
      </c>
      <c r="E83" s="2">
        <v>209.67699999999999</v>
      </c>
      <c r="F83" s="2">
        <v>0</v>
      </c>
      <c r="G83" s="2">
        <v>42.21575</v>
      </c>
      <c r="H83" s="2">
        <v>-34.364249999999998</v>
      </c>
      <c r="I83" s="1">
        <v>0.90267411304053302</v>
      </c>
      <c r="J83" s="1">
        <v>0.82778273248854195</v>
      </c>
      <c r="K83" s="1">
        <v>0.82250314970507898</v>
      </c>
      <c r="L83" s="1">
        <v>0.40795369582399599</v>
      </c>
      <c r="P83" s="1">
        <f>I83-'Passo 2'!I83</f>
        <v>7.4891380551991071E-2</v>
      </c>
      <c r="Q83" s="1">
        <f>J83-'Passo 2'!J83</f>
        <v>2.9092365877092519E-4</v>
      </c>
      <c r="R83" s="1">
        <f t="shared" si="5"/>
        <v>189.26999999999984</v>
      </c>
      <c r="S83">
        <f t="shared" si="4"/>
        <v>173.56700000000001</v>
      </c>
      <c r="T83" s="1">
        <f t="shared" si="6"/>
        <v>172.45999292071184</v>
      </c>
      <c r="U83" s="1">
        <f t="shared" si="7"/>
        <v>85.53850707928801</v>
      </c>
    </row>
    <row r="84" spans="1:21" x14ac:dyDescent="0.3">
      <c r="A84" t="s">
        <v>57</v>
      </c>
      <c r="B84" t="s">
        <v>74</v>
      </c>
      <c r="C84" t="s">
        <v>580</v>
      </c>
      <c r="D84" t="s">
        <v>581</v>
      </c>
      <c r="E84" s="2">
        <v>333.44900000000001</v>
      </c>
      <c r="F84" s="2">
        <v>0</v>
      </c>
      <c r="G84" s="2">
        <v>77.421250000000001</v>
      </c>
      <c r="H84" s="2">
        <v>-73.326749999999905</v>
      </c>
      <c r="I84" s="1">
        <v>0.96436636487138905</v>
      </c>
      <c r="J84" s="1">
        <v>0.93980788666332704</v>
      </c>
      <c r="K84" s="1">
        <v>0.718768156919809</v>
      </c>
      <c r="L84" s="1">
        <v>0.68540609461490798</v>
      </c>
      <c r="P84" s="1">
        <f>I84-'Passo 2'!I84</f>
        <v>2.1381080764974025E-2</v>
      </c>
      <c r="Q84" s="1">
        <f>J84-'Passo 2'!J84</f>
        <v>1.7735845661555061E-2</v>
      </c>
      <c r="R84" s="1">
        <f t="shared" si="5"/>
        <v>321.56699999999984</v>
      </c>
      <c r="S84">
        <f t="shared" si="4"/>
        <v>313.37799999999976</v>
      </c>
      <c r="T84" s="1">
        <f t="shared" si="6"/>
        <v>239.67252315675339</v>
      </c>
      <c r="U84" s="1">
        <f t="shared" si="7"/>
        <v>228.54797684324646</v>
      </c>
    </row>
    <row r="85" spans="1:21" x14ac:dyDescent="0.3">
      <c r="A85" t="s">
        <v>57</v>
      </c>
      <c r="B85" t="s">
        <v>609</v>
      </c>
      <c r="C85" t="s">
        <v>580</v>
      </c>
      <c r="D85" t="s">
        <v>581</v>
      </c>
      <c r="E85" s="2">
        <v>160.28700000000001</v>
      </c>
      <c r="F85" s="2">
        <v>0</v>
      </c>
      <c r="G85" s="2">
        <v>39.573250000000002</v>
      </c>
      <c r="H85" s="2">
        <v>-40.071750000000002</v>
      </c>
      <c r="I85" s="1">
        <v>0.99377990729129595</v>
      </c>
      <c r="J85" s="1">
        <v>1</v>
      </c>
      <c r="K85" s="1">
        <v>0.83782690047502295</v>
      </c>
      <c r="L85" s="1">
        <v>0.655953006816272</v>
      </c>
      <c r="P85" s="1">
        <f>I85-'Passo 2'!I85</f>
        <v>1.5971351388449628E-3</v>
      </c>
      <c r="Q85" s="1">
        <f>J85-'Passo 2'!J85</f>
        <v>0</v>
      </c>
      <c r="R85" s="1">
        <f t="shared" si="5"/>
        <v>159.28999999999996</v>
      </c>
      <c r="S85">
        <f t="shared" si="4"/>
        <v>160.28700000000001</v>
      </c>
      <c r="T85" s="1">
        <f t="shared" si="6"/>
        <v>134.29276039644</v>
      </c>
      <c r="U85" s="1">
        <f t="shared" si="7"/>
        <v>105.14073960355979</v>
      </c>
    </row>
    <row r="86" spans="1:21" x14ac:dyDescent="0.3">
      <c r="A86" t="s">
        <v>57</v>
      </c>
      <c r="B86" t="s">
        <v>75</v>
      </c>
      <c r="C86" t="s">
        <v>580</v>
      </c>
      <c r="D86" t="s">
        <v>581</v>
      </c>
      <c r="E86" s="2">
        <v>48.749000000000002</v>
      </c>
      <c r="F86" s="2">
        <v>0</v>
      </c>
      <c r="G86" s="2">
        <v>11.77675</v>
      </c>
      <c r="H86" s="2">
        <v>-10.25</v>
      </c>
      <c r="I86" s="1">
        <v>0.98315862889495098</v>
      </c>
      <c r="J86" s="1">
        <v>0.92052144659377599</v>
      </c>
      <c r="K86" s="1">
        <v>0.854959705089959</v>
      </c>
      <c r="L86" s="1">
        <v>0.54872037039876798</v>
      </c>
      <c r="P86" s="1">
        <f>I86-'Passo 2'!I86</f>
        <v>6.355002153890299E-2</v>
      </c>
      <c r="Q86" s="1">
        <f>J86-'Passo 2'!J86</f>
        <v>0</v>
      </c>
      <c r="R86" s="1">
        <f t="shared" si="5"/>
        <v>47.927999999999969</v>
      </c>
      <c r="S86">
        <f t="shared" si="4"/>
        <v>44.874499999999991</v>
      </c>
      <c r="T86" s="1">
        <f t="shared" si="6"/>
        <v>41.678430663430412</v>
      </c>
      <c r="U86" s="1">
        <f t="shared" si="7"/>
        <v>26.749569336569543</v>
      </c>
    </row>
    <row r="87" spans="1:21" x14ac:dyDescent="0.3">
      <c r="A87" t="s">
        <v>57</v>
      </c>
      <c r="B87" t="s">
        <v>76</v>
      </c>
      <c r="C87" t="s">
        <v>580</v>
      </c>
      <c r="D87" t="s">
        <v>581</v>
      </c>
      <c r="E87" s="2">
        <v>226.65600000000001</v>
      </c>
      <c r="F87" s="2">
        <v>0</v>
      </c>
      <c r="G87" s="2">
        <v>42.496749999999999</v>
      </c>
      <c r="H87" s="2">
        <v>-53.982500000000002</v>
      </c>
      <c r="I87" s="1">
        <v>0.87498897006917897</v>
      </c>
      <c r="J87" s="1">
        <v>0.97633859240434795</v>
      </c>
      <c r="K87" s="1">
        <v>0.65285565837021597</v>
      </c>
      <c r="L87" s="1">
        <v>0.69847190410331095</v>
      </c>
      <c r="P87" s="1">
        <f>I87-'Passo 2'!I87</f>
        <v>1.7034625158830918E-2</v>
      </c>
      <c r="Q87" s="1">
        <f>J87-'Passo 2'!J87</f>
        <v>6.2522059861640944E-2</v>
      </c>
      <c r="R87" s="1">
        <f t="shared" si="5"/>
        <v>198.32149999999984</v>
      </c>
      <c r="S87">
        <f t="shared" si="4"/>
        <v>221.29299999999989</v>
      </c>
      <c r="T87" s="1">
        <f t="shared" si="6"/>
        <v>147.97365210355969</v>
      </c>
      <c r="U87" s="1">
        <f t="shared" si="7"/>
        <v>158.31284789644005</v>
      </c>
    </row>
    <row r="88" spans="1:21" x14ac:dyDescent="0.3">
      <c r="A88" t="s">
        <v>57</v>
      </c>
      <c r="B88" t="s">
        <v>77</v>
      </c>
      <c r="C88" t="s">
        <v>580</v>
      </c>
      <c r="D88" t="s">
        <v>581</v>
      </c>
      <c r="E88" s="2">
        <v>138.43700000000001</v>
      </c>
      <c r="F88" s="2">
        <v>0</v>
      </c>
      <c r="G88" s="2">
        <v>26.59375</v>
      </c>
      <c r="H88" s="2">
        <v>-30.609000000000002</v>
      </c>
      <c r="I88" s="1">
        <v>0.88420003322811003</v>
      </c>
      <c r="J88" s="1">
        <v>0.94220836914986605</v>
      </c>
      <c r="K88" s="1">
        <v>0.74500131092542099</v>
      </c>
      <c r="L88" s="1">
        <v>0.58140709145255498</v>
      </c>
      <c r="P88" s="1">
        <f>I88-'Passo 2'!I88</f>
        <v>3.5171233124091983E-2</v>
      </c>
      <c r="Q88" s="1">
        <f>J88-'Passo 2'!J88</f>
        <v>3.0378439290074999E-2</v>
      </c>
      <c r="R88" s="1">
        <f t="shared" si="5"/>
        <v>122.40599999999988</v>
      </c>
      <c r="S88">
        <f t="shared" si="4"/>
        <v>130.43650000000002</v>
      </c>
      <c r="T88" s="1">
        <f t="shared" si="6"/>
        <v>103.13574648058251</v>
      </c>
      <c r="U88" s="1">
        <f t="shared" si="7"/>
        <v>80.488253519417356</v>
      </c>
    </row>
    <row r="89" spans="1:21" x14ac:dyDescent="0.3">
      <c r="A89" t="s">
        <v>57</v>
      </c>
      <c r="B89" t="s">
        <v>78</v>
      </c>
      <c r="C89" t="s">
        <v>34</v>
      </c>
      <c r="D89" t="s">
        <v>35</v>
      </c>
      <c r="E89" s="2">
        <v>375.53300000000002</v>
      </c>
      <c r="F89" s="2">
        <v>0</v>
      </c>
      <c r="G89" s="2">
        <v>91.632000000000005</v>
      </c>
      <c r="H89" s="2">
        <v>-92.900499999999994</v>
      </c>
      <c r="I89" s="1">
        <v>0.988010374587586</v>
      </c>
      <c r="J89" s="1">
        <v>0.99476610577499103</v>
      </c>
      <c r="K89" s="1">
        <v>0.87517542157142802</v>
      </c>
      <c r="L89" s="1">
        <v>0.60760105879115001</v>
      </c>
      <c r="P89" s="1">
        <f>I89-'Passo 2'!I89</f>
        <v>4.3096079439090995E-2</v>
      </c>
      <c r="Q89" s="1">
        <f>J89-'Passo 2'!J89</f>
        <v>5.9788354152631062E-2</v>
      </c>
      <c r="R89" s="1">
        <f t="shared" si="5"/>
        <v>371.03049999999996</v>
      </c>
      <c r="S89">
        <f t="shared" si="4"/>
        <v>373.56749999999971</v>
      </c>
      <c r="T89" s="1">
        <f t="shared" si="6"/>
        <v>328.65725158898312</v>
      </c>
      <c r="U89" s="1">
        <f t="shared" si="7"/>
        <v>228.17424841101695</v>
      </c>
    </row>
    <row r="90" spans="1:21" x14ac:dyDescent="0.3">
      <c r="A90" t="s">
        <v>57</v>
      </c>
      <c r="B90" t="s">
        <v>79</v>
      </c>
      <c r="C90" t="s">
        <v>580</v>
      </c>
      <c r="D90" t="s">
        <v>581</v>
      </c>
      <c r="E90" s="2">
        <v>103.20699999999999</v>
      </c>
      <c r="F90" s="2">
        <v>0</v>
      </c>
      <c r="G90" s="2">
        <v>24.482500000000002</v>
      </c>
      <c r="H90" s="2">
        <v>-25.27675</v>
      </c>
      <c r="I90" s="1">
        <v>0.97443487360353398</v>
      </c>
      <c r="J90" s="1">
        <v>0.98982627147383395</v>
      </c>
      <c r="K90" s="1">
        <v>0.73558394269875105</v>
      </c>
      <c r="L90" s="1">
        <v>0.72867720237861699</v>
      </c>
      <c r="P90" s="1">
        <f>I90-'Passo 2'!I90</f>
        <v>4.286046489094697E-2</v>
      </c>
      <c r="Q90" s="1">
        <f>J90-'Passo 2'!J90</f>
        <v>0</v>
      </c>
      <c r="R90" s="1">
        <f t="shared" si="5"/>
        <v>100.56849999999993</v>
      </c>
      <c r="S90">
        <f t="shared" si="4"/>
        <v>102.15699999999997</v>
      </c>
      <c r="T90" s="1">
        <f t="shared" si="6"/>
        <v>75.917411974109996</v>
      </c>
      <c r="U90" s="1">
        <f t="shared" si="7"/>
        <v>75.204588025889919</v>
      </c>
    </row>
    <row r="91" spans="1:21" x14ac:dyDescent="0.3">
      <c r="A91" t="s">
        <v>57</v>
      </c>
      <c r="B91" t="s">
        <v>610</v>
      </c>
      <c r="C91" t="s">
        <v>34</v>
      </c>
      <c r="D91" t="s">
        <v>35</v>
      </c>
      <c r="E91" s="2">
        <v>441.94900000000001</v>
      </c>
      <c r="F91" s="2">
        <v>0</v>
      </c>
      <c r="G91" s="2">
        <v>109.90649999999999</v>
      </c>
      <c r="H91" s="2">
        <v>-108.40125</v>
      </c>
      <c r="I91" s="1">
        <v>0.997371868699782</v>
      </c>
      <c r="J91" s="1">
        <v>0.99055999674170503</v>
      </c>
      <c r="K91" s="1">
        <v>0.87015241083879902</v>
      </c>
      <c r="L91" s="1">
        <v>0.61777945460268802</v>
      </c>
      <c r="P91" s="1">
        <f>I91-'Passo 2'!I91</f>
        <v>3.695901563302606E-2</v>
      </c>
      <c r="Q91" s="1">
        <f>J91-'Passo 2'!J91</f>
        <v>5.5066308555964061E-2</v>
      </c>
      <c r="R91" s="1">
        <f t="shared" si="5"/>
        <v>440.78749999999997</v>
      </c>
      <c r="S91">
        <f t="shared" si="4"/>
        <v>437.77699999999982</v>
      </c>
      <c r="T91" s="1">
        <f t="shared" si="6"/>
        <v>384.5629878177964</v>
      </c>
      <c r="U91" s="1">
        <f t="shared" si="7"/>
        <v>273.02701218220335</v>
      </c>
    </row>
    <row r="92" spans="1:21" x14ac:dyDescent="0.3">
      <c r="A92" t="s">
        <v>57</v>
      </c>
      <c r="B92" t="s">
        <v>80</v>
      </c>
      <c r="C92" t="s">
        <v>34</v>
      </c>
      <c r="D92" t="s">
        <v>35</v>
      </c>
      <c r="E92" s="2">
        <v>39.613</v>
      </c>
      <c r="F92" s="2">
        <v>0</v>
      </c>
      <c r="G92" s="2">
        <v>9.7279999999999998</v>
      </c>
      <c r="H92" s="2">
        <v>-9.7172499999999999</v>
      </c>
      <c r="I92" s="1">
        <v>0.99115189458006203</v>
      </c>
      <c r="J92" s="1">
        <v>0.99060914346300399</v>
      </c>
      <c r="K92" s="1">
        <v>0.88590379518933005</v>
      </c>
      <c r="L92" s="1">
        <v>0.59585724285373598</v>
      </c>
      <c r="P92" s="1">
        <f>I92-'Passo 2'!I92</f>
        <v>6.5130134046910149E-3</v>
      </c>
      <c r="Q92" s="1">
        <f>J92-'Passo 2'!J92</f>
        <v>1.817585136192601E-2</v>
      </c>
      <c r="R92" s="1">
        <f t="shared" si="5"/>
        <v>39.262499999999996</v>
      </c>
      <c r="S92">
        <f t="shared" si="4"/>
        <v>39.240999999999978</v>
      </c>
      <c r="T92" s="1">
        <f t="shared" si="6"/>
        <v>35.093307038834929</v>
      </c>
      <c r="U92" s="1">
        <f t="shared" si="7"/>
        <v>23.603692961165041</v>
      </c>
    </row>
    <row r="93" spans="1:21" x14ac:dyDescent="0.3">
      <c r="A93" t="s">
        <v>57</v>
      </c>
      <c r="B93" t="s">
        <v>611</v>
      </c>
      <c r="C93" t="s">
        <v>580</v>
      </c>
      <c r="D93" t="s">
        <v>581</v>
      </c>
      <c r="E93" s="2">
        <v>85.769000000000005</v>
      </c>
      <c r="F93" s="2">
        <v>0</v>
      </c>
      <c r="G93" s="2">
        <v>20.949249999999999</v>
      </c>
      <c r="H93" s="2">
        <v>-21.442250000000001</v>
      </c>
      <c r="I93" s="1">
        <v>0.98850400494351098</v>
      </c>
      <c r="J93" s="1">
        <v>1</v>
      </c>
      <c r="K93" s="1">
        <v>0.83916393259745803</v>
      </c>
      <c r="L93" s="1">
        <v>0.64934007234605196</v>
      </c>
      <c r="P93" s="1">
        <f>I93-'Passo 2'!I93</f>
        <v>4.3955275215989964E-3</v>
      </c>
      <c r="Q93" s="1">
        <f>J93-'Passo 2'!J93</f>
        <v>1.9820681131899054E-4</v>
      </c>
      <c r="R93" s="1">
        <f t="shared" si="5"/>
        <v>84.783000000000001</v>
      </c>
      <c r="S93">
        <f t="shared" si="4"/>
        <v>85.769000000000005</v>
      </c>
      <c r="T93" s="1">
        <f t="shared" si="6"/>
        <v>71.974251334951376</v>
      </c>
      <c r="U93" s="1">
        <f t="shared" si="7"/>
        <v>55.693248665048536</v>
      </c>
    </row>
    <row r="94" spans="1:21" x14ac:dyDescent="0.3">
      <c r="A94" t="s">
        <v>57</v>
      </c>
      <c r="B94" t="s">
        <v>612</v>
      </c>
      <c r="C94" t="s">
        <v>580</v>
      </c>
      <c r="D94" t="s">
        <v>581</v>
      </c>
      <c r="E94" s="2">
        <v>79.474000000000004</v>
      </c>
      <c r="F94" s="2">
        <v>0</v>
      </c>
      <c r="G94" s="2">
        <v>19.041499999999999</v>
      </c>
      <c r="H94" s="2">
        <v>-19.868500000000001</v>
      </c>
      <c r="I94" s="1">
        <v>0.97918816216624205</v>
      </c>
      <c r="J94" s="1">
        <v>1</v>
      </c>
      <c r="K94" s="1">
        <v>0.843187812007965</v>
      </c>
      <c r="L94" s="1">
        <v>0.63600035015827705</v>
      </c>
      <c r="P94" s="1">
        <f>I94-'Passo 2'!I94</f>
        <v>6.3605707526980249E-3</v>
      </c>
      <c r="Q94" s="1">
        <f>J94-'Passo 2'!J94</f>
        <v>9.9403578528900471E-4</v>
      </c>
      <c r="R94" s="1">
        <f t="shared" si="5"/>
        <v>77.819999999999922</v>
      </c>
      <c r="S94">
        <f t="shared" si="4"/>
        <v>79.474000000000004</v>
      </c>
      <c r="T94" s="1">
        <f t="shared" si="6"/>
        <v>67.011508171521015</v>
      </c>
      <c r="U94" s="1">
        <f t="shared" si="7"/>
        <v>50.545491828478916</v>
      </c>
    </row>
    <row r="95" spans="1:21" x14ac:dyDescent="0.3">
      <c r="A95" t="s">
        <v>57</v>
      </c>
      <c r="B95" t="s">
        <v>613</v>
      </c>
      <c r="C95" t="s">
        <v>580</v>
      </c>
      <c r="D95" t="s">
        <v>581</v>
      </c>
      <c r="E95" s="2">
        <v>138.23099999999999</v>
      </c>
      <c r="F95" s="2">
        <v>0</v>
      </c>
      <c r="G95" s="2">
        <v>33.96575</v>
      </c>
      <c r="H95" s="2">
        <v>-33.599499999999999</v>
      </c>
      <c r="I95" s="1">
        <v>0.991434627543749</v>
      </c>
      <c r="J95" s="1">
        <v>0.98613552676317195</v>
      </c>
      <c r="K95" s="1">
        <v>0.75472211938559097</v>
      </c>
      <c r="L95" s="1">
        <v>0.72284803492132899</v>
      </c>
      <c r="P95" s="1">
        <f>I95-'Passo 2'!I95</f>
        <v>2.719722782877998E-2</v>
      </c>
      <c r="Q95" s="1">
        <f>J95-'Passo 2'!J95</f>
        <v>5.5993228725829125E-3</v>
      </c>
      <c r="R95" s="1">
        <f t="shared" si="5"/>
        <v>137.04699999999997</v>
      </c>
      <c r="S95">
        <f t="shared" si="4"/>
        <v>136.31450000000001</v>
      </c>
      <c r="T95" s="1">
        <f t="shared" si="6"/>
        <v>104.32599328478962</v>
      </c>
      <c r="U95" s="1">
        <f t="shared" si="7"/>
        <v>99.920006715210221</v>
      </c>
    </row>
    <row r="96" spans="1:21" x14ac:dyDescent="0.3">
      <c r="A96" t="s">
        <v>57</v>
      </c>
      <c r="B96" t="s">
        <v>614</v>
      </c>
      <c r="C96" t="s">
        <v>580</v>
      </c>
      <c r="D96" t="s">
        <v>581</v>
      </c>
      <c r="E96" s="2">
        <v>418.91199999999998</v>
      </c>
      <c r="F96" s="2">
        <v>0</v>
      </c>
      <c r="G96" s="2">
        <v>94.839999999999904</v>
      </c>
      <c r="H96" s="2">
        <v>-68.810249999999996</v>
      </c>
      <c r="I96" s="1">
        <v>0.95279199450003804</v>
      </c>
      <c r="J96" s="1">
        <v>0.82851887747307296</v>
      </c>
      <c r="K96" s="1">
        <v>0.78237802848349702</v>
      </c>
      <c r="L96" s="1">
        <v>0.49893284348961298</v>
      </c>
      <c r="P96" s="1">
        <f>I96-'Passo 2'!I96</f>
        <v>5.7112233595600026E-2</v>
      </c>
      <c r="Q96" s="1">
        <f>J96-'Passo 2'!J96</f>
        <v>2.6973445496906945E-2</v>
      </c>
      <c r="R96" s="1">
        <f t="shared" si="5"/>
        <v>399.13599999999991</v>
      </c>
      <c r="S96">
        <f t="shared" si="4"/>
        <v>347.0764999999999</v>
      </c>
      <c r="T96" s="1">
        <f t="shared" si="6"/>
        <v>327.74754466807866</v>
      </c>
      <c r="U96" s="1">
        <f t="shared" si="7"/>
        <v>209.00895533192073</v>
      </c>
    </row>
    <row r="97" spans="1:21" x14ac:dyDescent="0.3">
      <c r="A97" t="s">
        <v>57</v>
      </c>
      <c r="B97" t="s">
        <v>615</v>
      </c>
      <c r="C97" t="s">
        <v>580</v>
      </c>
      <c r="D97" t="s">
        <v>581</v>
      </c>
      <c r="E97" s="2">
        <v>354.12599999999998</v>
      </c>
      <c r="F97" s="2">
        <v>0</v>
      </c>
      <c r="G97" s="2">
        <v>77.072749999999999</v>
      </c>
      <c r="H97" s="2">
        <v>-87.984499999999997</v>
      </c>
      <c r="I97" s="1">
        <v>0.93528433382468301</v>
      </c>
      <c r="J97" s="1">
        <v>0.99691070409966998</v>
      </c>
      <c r="K97" s="1">
        <v>0.69163073621319204</v>
      </c>
      <c r="L97" s="1">
        <v>0.74056430171116205</v>
      </c>
      <c r="P97" s="1">
        <f>I97-'Passo 2'!I97</f>
        <v>1.038330989534797E-2</v>
      </c>
      <c r="Q97" s="1">
        <f>J97-'Passo 2'!J97</f>
        <v>3.6429124097072996E-2</v>
      </c>
      <c r="R97" s="1">
        <f t="shared" si="5"/>
        <v>331.20849999999967</v>
      </c>
      <c r="S97">
        <f t="shared" si="4"/>
        <v>353.0319999999997</v>
      </c>
      <c r="T97" s="1">
        <f t="shared" si="6"/>
        <v>244.92442609223284</v>
      </c>
      <c r="U97" s="1">
        <f t="shared" si="7"/>
        <v>262.25307390776698</v>
      </c>
    </row>
    <row r="98" spans="1:21" x14ac:dyDescent="0.3">
      <c r="A98" t="s">
        <v>57</v>
      </c>
      <c r="B98" t="s">
        <v>616</v>
      </c>
      <c r="C98" t="s">
        <v>580</v>
      </c>
      <c r="D98" t="s">
        <v>581</v>
      </c>
      <c r="E98" s="2">
        <v>200.887</v>
      </c>
      <c r="F98" s="2">
        <v>0</v>
      </c>
      <c r="G98" s="2">
        <v>36.43</v>
      </c>
      <c r="H98" s="2">
        <v>-42.202249999999999</v>
      </c>
      <c r="I98" s="1">
        <v>0.86269146335999802</v>
      </c>
      <c r="J98" s="1">
        <v>0.92015909441626398</v>
      </c>
      <c r="K98" s="1">
        <v>0.70744498875641804</v>
      </c>
      <c r="L98" s="1">
        <v>0.57540556901984297</v>
      </c>
      <c r="P98" s="1">
        <f>I98-'Passo 2'!I98</f>
        <v>4.5938761592338007E-2</v>
      </c>
      <c r="Q98" s="1">
        <f>J98-'Passo 2'!J98</f>
        <v>8.1966478667111931E-2</v>
      </c>
      <c r="R98" s="1">
        <f t="shared" si="5"/>
        <v>173.30349999999993</v>
      </c>
      <c r="S98">
        <f t="shared" si="4"/>
        <v>184.84800000000001</v>
      </c>
      <c r="T98" s="1">
        <f t="shared" si="6"/>
        <v>142.11650145631054</v>
      </c>
      <c r="U98" s="1">
        <f t="shared" si="7"/>
        <v>115.5914985436892</v>
      </c>
    </row>
    <row r="99" spans="1:21" x14ac:dyDescent="0.3">
      <c r="A99" t="s">
        <v>57</v>
      </c>
      <c r="B99" t="s">
        <v>81</v>
      </c>
      <c r="C99" t="s">
        <v>34</v>
      </c>
      <c r="D99" t="s">
        <v>35</v>
      </c>
      <c r="E99" s="2">
        <v>288</v>
      </c>
      <c r="F99" s="2">
        <v>0</v>
      </c>
      <c r="G99" s="2">
        <v>71.707999999999998</v>
      </c>
      <c r="H99" s="2">
        <v>-72</v>
      </c>
      <c r="I99" s="1">
        <v>0.99797222222222204</v>
      </c>
      <c r="J99" s="1">
        <v>1</v>
      </c>
      <c r="K99" s="1">
        <v>0.91881833128436896</v>
      </c>
      <c r="L99" s="1">
        <v>0.57915389093785197</v>
      </c>
      <c r="P99" s="1">
        <f>I99-'Passo 2'!I99</f>
        <v>2.7871527777778016E-2</v>
      </c>
      <c r="Q99" s="1">
        <f>J99-'Passo 2'!J99</f>
        <v>0</v>
      </c>
      <c r="R99" s="1">
        <f t="shared" si="5"/>
        <v>287.41599999999994</v>
      </c>
      <c r="S99">
        <f t="shared" si="4"/>
        <v>288</v>
      </c>
      <c r="T99" s="1">
        <f t="shared" si="6"/>
        <v>264.61967940989825</v>
      </c>
      <c r="U99" s="1">
        <f t="shared" si="7"/>
        <v>166.79632059010137</v>
      </c>
    </row>
    <row r="100" spans="1:21" x14ac:dyDescent="0.3">
      <c r="A100" t="s">
        <v>57</v>
      </c>
      <c r="B100" t="s">
        <v>617</v>
      </c>
      <c r="C100" t="s">
        <v>34</v>
      </c>
      <c r="D100" t="s">
        <v>35</v>
      </c>
      <c r="E100" s="2">
        <v>224.148</v>
      </c>
      <c r="F100" s="2">
        <v>0</v>
      </c>
      <c r="G100" s="2">
        <v>55.681249999999999</v>
      </c>
      <c r="H100" s="2">
        <v>-55.969499999999996</v>
      </c>
      <c r="I100" s="1">
        <v>0.99682575798133299</v>
      </c>
      <c r="J100" s="1">
        <v>0.99939771936399102</v>
      </c>
      <c r="K100" s="1">
        <v>0.86841205222533002</v>
      </c>
      <c r="L100" s="1">
        <v>0.62781142511999399</v>
      </c>
      <c r="P100" s="1">
        <f>I100-'Passo 2'!I100</f>
        <v>3.6413441119260037E-2</v>
      </c>
      <c r="Q100" s="1">
        <f>J100-'Passo 2'!J100</f>
        <v>3.7390474151007047E-2</v>
      </c>
      <c r="R100" s="1">
        <f t="shared" si="5"/>
        <v>223.43649999999982</v>
      </c>
      <c r="S100">
        <f t="shared" si="4"/>
        <v>224.01299999999986</v>
      </c>
      <c r="T100" s="1">
        <f t="shared" si="6"/>
        <v>194.65282468220326</v>
      </c>
      <c r="U100" s="1">
        <f t="shared" si="7"/>
        <v>140.72267531779642</v>
      </c>
    </row>
    <row r="101" spans="1:21" x14ac:dyDescent="0.3">
      <c r="A101" t="s">
        <v>57</v>
      </c>
      <c r="B101" t="s">
        <v>82</v>
      </c>
      <c r="C101" t="s">
        <v>574</v>
      </c>
      <c r="D101" t="s">
        <v>575</v>
      </c>
      <c r="E101" s="2">
        <v>0</v>
      </c>
      <c r="F101" s="2">
        <v>0</v>
      </c>
      <c r="G101" s="2">
        <v>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P101" s="1">
        <f>I101-'Passo 2'!I101</f>
        <v>0</v>
      </c>
      <c r="Q101" s="1">
        <f>J101-'Passo 2'!J101</f>
        <v>0</v>
      </c>
      <c r="R101" s="1">
        <f t="shared" si="5"/>
        <v>0</v>
      </c>
      <c r="S101">
        <f t="shared" si="4"/>
        <v>0</v>
      </c>
      <c r="T101" s="1">
        <f t="shared" si="6"/>
        <v>0</v>
      </c>
      <c r="U101" s="1">
        <f t="shared" si="7"/>
        <v>0</v>
      </c>
    </row>
    <row r="102" spans="1:21" x14ac:dyDescent="0.3">
      <c r="A102" t="s">
        <v>57</v>
      </c>
      <c r="B102" t="s">
        <v>83</v>
      </c>
      <c r="C102" t="s">
        <v>34</v>
      </c>
      <c r="D102" t="s">
        <v>35</v>
      </c>
      <c r="E102" s="2">
        <v>390.44</v>
      </c>
      <c r="F102" s="2">
        <v>0</v>
      </c>
      <c r="G102" s="2">
        <v>86.945999999999998</v>
      </c>
      <c r="H102" s="2">
        <v>-86.9285</v>
      </c>
      <c r="I102" s="1">
        <v>0.945374449339207</v>
      </c>
      <c r="J102" s="1">
        <v>0.94528480688453997</v>
      </c>
      <c r="K102" s="1">
        <v>0.846883136734913</v>
      </c>
      <c r="L102" s="1">
        <v>0.54377611948883398</v>
      </c>
      <c r="P102" s="1">
        <f>I102-'Passo 2'!I102</f>
        <v>2.1501383055020362E-3</v>
      </c>
      <c r="Q102" s="1">
        <f>J102-'Passo 2'!J102</f>
        <v>5.8408462247720006E-2</v>
      </c>
      <c r="R102" s="1">
        <f t="shared" si="5"/>
        <v>369.11199999999997</v>
      </c>
      <c r="S102">
        <f t="shared" si="4"/>
        <v>369.07699999999977</v>
      </c>
      <c r="T102" s="1">
        <f t="shared" si="6"/>
        <v>330.65705190677943</v>
      </c>
      <c r="U102" s="1">
        <f t="shared" si="7"/>
        <v>212.31194809322034</v>
      </c>
    </row>
    <row r="103" spans="1:21" x14ac:dyDescent="0.3">
      <c r="A103" t="s">
        <v>57</v>
      </c>
      <c r="B103" t="s">
        <v>84</v>
      </c>
      <c r="C103" t="s">
        <v>34</v>
      </c>
      <c r="D103" t="s">
        <v>35</v>
      </c>
      <c r="E103" s="2">
        <v>455.59800000000001</v>
      </c>
      <c r="F103" s="2">
        <v>0</v>
      </c>
      <c r="G103" s="2">
        <v>113.64425</v>
      </c>
      <c r="H103" s="2">
        <v>-112.4615</v>
      </c>
      <c r="I103" s="1">
        <v>0.99887949464220605</v>
      </c>
      <c r="J103" s="1">
        <v>0.99368741741623001</v>
      </c>
      <c r="K103" s="1">
        <v>0.87338928691124096</v>
      </c>
      <c r="L103" s="1">
        <v>0.61917762514719599</v>
      </c>
      <c r="P103" s="1">
        <f>I103-'Passo 2'!I103</f>
        <v>3.595494273460409E-2</v>
      </c>
      <c r="Q103" s="1">
        <f>J103-'Passo 2'!J103</f>
        <v>4.1391753256159958E-2</v>
      </c>
      <c r="R103" s="1">
        <f t="shared" si="5"/>
        <v>455.08749999999981</v>
      </c>
      <c r="S103">
        <f t="shared" si="4"/>
        <v>452.72199999999958</v>
      </c>
      <c r="T103" s="1">
        <f t="shared" si="6"/>
        <v>397.91441233818756</v>
      </c>
      <c r="U103" s="1">
        <f t="shared" si="7"/>
        <v>282.09608766181219</v>
      </c>
    </row>
    <row r="104" spans="1:21" x14ac:dyDescent="0.3">
      <c r="A104" t="s">
        <v>57</v>
      </c>
      <c r="B104" t="s">
        <v>85</v>
      </c>
      <c r="C104" t="s">
        <v>580</v>
      </c>
      <c r="D104" t="s">
        <v>581</v>
      </c>
      <c r="E104" s="2">
        <v>232.63300000000001</v>
      </c>
      <c r="F104" s="2">
        <v>0</v>
      </c>
      <c r="G104" s="2">
        <v>33.70675</v>
      </c>
      <c r="H104" s="2">
        <v>-50.805</v>
      </c>
      <c r="I104" s="1">
        <v>0.78978476828308897</v>
      </c>
      <c r="J104" s="1">
        <v>0.93678239974552102</v>
      </c>
      <c r="K104" s="1">
        <v>0.66307300172388395</v>
      </c>
      <c r="L104" s="1">
        <v>0.56349416630472704</v>
      </c>
      <c r="P104" s="1">
        <f>I104-'Passo 2'!I104</f>
        <v>-8.8959863819840779E-3</v>
      </c>
      <c r="Q104" s="1">
        <f>J104-'Passo 2'!J104</f>
        <v>8.6956708635489988E-2</v>
      </c>
      <c r="R104" s="1">
        <f t="shared" si="5"/>
        <v>183.72999999999985</v>
      </c>
      <c r="S104">
        <f t="shared" si="4"/>
        <v>217.92649999999981</v>
      </c>
      <c r="T104" s="1">
        <f t="shared" si="6"/>
        <v>154.25266161003231</v>
      </c>
      <c r="U104" s="1">
        <f t="shared" si="7"/>
        <v>131.08733838996758</v>
      </c>
    </row>
    <row r="105" spans="1:21" x14ac:dyDescent="0.3">
      <c r="A105" t="s">
        <v>57</v>
      </c>
      <c r="B105" t="s">
        <v>86</v>
      </c>
      <c r="C105" t="s">
        <v>34</v>
      </c>
      <c r="D105" t="s">
        <v>35</v>
      </c>
      <c r="E105" s="2">
        <v>60.182000000000002</v>
      </c>
      <c r="F105" s="2">
        <v>0</v>
      </c>
      <c r="G105" s="2">
        <v>14.993499999999999</v>
      </c>
      <c r="H105" s="2">
        <v>-14.749750000000001</v>
      </c>
      <c r="I105" s="1">
        <v>0.99827190854408299</v>
      </c>
      <c r="J105" s="1">
        <v>0.99017147984447096</v>
      </c>
      <c r="K105" s="1">
        <v>0.89198557794323696</v>
      </c>
      <c r="L105" s="1">
        <v>0.59645781044531698</v>
      </c>
      <c r="P105" s="1">
        <f>I105-'Passo 2'!I105</f>
        <v>5.0845767837569555E-3</v>
      </c>
      <c r="Q105" s="1">
        <f>J105-'Passo 2'!J105</f>
        <v>1.8568675019107972E-2</v>
      </c>
      <c r="R105" s="1">
        <f t="shared" si="5"/>
        <v>60.078000000000003</v>
      </c>
      <c r="S105">
        <f t="shared" si="4"/>
        <v>59.590499999999956</v>
      </c>
      <c r="T105" s="1">
        <f t="shared" si="6"/>
        <v>53.681476051779889</v>
      </c>
      <c r="U105" s="1">
        <f t="shared" si="7"/>
        <v>35.896023948220069</v>
      </c>
    </row>
    <row r="106" spans="1:21" x14ac:dyDescent="0.3">
      <c r="A106" t="s">
        <v>57</v>
      </c>
      <c r="B106" t="s">
        <v>87</v>
      </c>
      <c r="C106" t="s">
        <v>34</v>
      </c>
      <c r="D106" t="s">
        <v>35</v>
      </c>
      <c r="E106" s="2">
        <v>79.507000000000005</v>
      </c>
      <c r="F106" s="2">
        <v>0</v>
      </c>
      <c r="G106" s="2">
        <v>19.652249999999999</v>
      </c>
      <c r="H106" s="2">
        <v>-19.11375</v>
      </c>
      <c r="I106" s="1">
        <v>0.994352698504534</v>
      </c>
      <c r="J106" s="1">
        <v>0.98080672142075498</v>
      </c>
      <c r="K106" s="1">
        <v>0.88342051705826097</v>
      </c>
      <c r="L106" s="1">
        <v>0.59173890286702702</v>
      </c>
      <c r="P106" s="1">
        <f>I106-'Passo 2'!I106</f>
        <v>2.684669274403495E-2</v>
      </c>
      <c r="Q106" s="1">
        <f>J106-'Passo 2'!J106</f>
        <v>6.8673198586289841E-3</v>
      </c>
      <c r="R106" s="1">
        <f t="shared" si="5"/>
        <v>79.057999999999993</v>
      </c>
      <c r="S106">
        <f t="shared" si="4"/>
        <v>77.980999999999966</v>
      </c>
      <c r="T106" s="1">
        <f t="shared" si="6"/>
        <v>70.238115049751158</v>
      </c>
      <c r="U106" s="1">
        <f t="shared" si="7"/>
        <v>47.04738495024872</v>
      </c>
    </row>
    <row r="107" spans="1:21" x14ac:dyDescent="0.3">
      <c r="A107" t="s">
        <v>57</v>
      </c>
      <c r="B107" t="s">
        <v>88</v>
      </c>
      <c r="C107" t="s">
        <v>580</v>
      </c>
      <c r="D107" t="s">
        <v>581</v>
      </c>
      <c r="E107" s="2">
        <v>142.47999999999999</v>
      </c>
      <c r="F107" s="2">
        <v>0</v>
      </c>
      <c r="G107" s="2">
        <v>29.597000000000001</v>
      </c>
      <c r="H107" s="2">
        <v>-29.395999999999901</v>
      </c>
      <c r="I107" s="1">
        <v>0.91545480067377805</v>
      </c>
      <c r="J107" s="1">
        <v>0.91263335204940998</v>
      </c>
      <c r="K107" s="1">
        <v>0.74556785520570401</v>
      </c>
      <c r="L107" s="1">
        <v>0.58252029751748502</v>
      </c>
      <c r="P107" s="1">
        <f>I107-'Passo 2'!I107</f>
        <v>3.7794778214486069E-2</v>
      </c>
      <c r="Q107" s="1">
        <f>J107-'Passo 2'!J107</f>
        <v>7.0897669848399958E-2</v>
      </c>
      <c r="R107" s="1">
        <f t="shared" si="5"/>
        <v>130.43399999999988</v>
      </c>
      <c r="S107">
        <f t="shared" si="4"/>
        <v>130.03199999999993</v>
      </c>
      <c r="T107" s="1">
        <f t="shared" si="6"/>
        <v>106.2285080097087</v>
      </c>
      <c r="U107" s="1">
        <f t="shared" si="7"/>
        <v>82.997491990291266</v>
      </c>
    </row>
    <row r="108" spans="1:21" x14ac:dyDescent="0.3">
      <c r="A108" t="s">
        <v>57</v>
      </c>
      <c r="B108" t="s">
        <v>618</v>
      </c>
      <c r="C108" t="s">
        <v>580</v>
      </c>
      <c r="D108" t="s">
        <v>581</v>
      </c>
      <c r="E108" s="2">
        <v>160.833</v>
      </c>
      <c r="F108" s="2">
        <v>0</v>
      </c>
      <c r="G108" s="2">
        <v>39.771249999999903</v>
      </c>
      <c r="H108" s="2">
        <v>-39.743000000000002</v>
      </c>
      <c r="I108" s="1">
        <v>0.99456579184619998</v>
      </c>
      <c r="J108" s="1">
        <v>0.99421449578133803</v>
      </c>
      <c r="K108" s="1">
        <v>0.83833918982718503</v>
      </c>
      <c r="L108" s="1">
        <v>0.65044109780035297</v>
      </c>
      <c r="P108" s="1">
        <f>I108-'Passo 2'!I108</f>
        <v>0</v>
      </c>
      <c r="Q108" s="1">
        <f>J108-'Passo 2'!J108</f>
        <v>1.7098481033119839E-3</v>
      </c>
      <c r="R108" s="1">
        <f t="shared" si="5"/>
        <v>159.95899999999989</v>
      </c>
      <c r="S108">
        <f t="shared" si="4"/>
        <v>159.90249999999995</v>
      </c>
      <c r="T108" s="1">
        <f t="shared" si="6"/>
        <v>134.83260691747566</v>
      </c>
      <c r="U108" s="1">
        <f t="shared" si="7"/>
        <v>104.61239308252416</v>
      </c>
    </row>
    <row r="109" spans="1:21" x14ac:dyDescent="0.3">
      <c r="A109" t="s">
        <v>57</v>
      </c>
      <c r="B109" t="s">
        <v>619</v>
      </c>
      <c r="C109" t="s">
        <v>34</v>
      </c>
      <c r="D109" t="s">
        <v>35</v>
      </c>
      <c r="E109" s="2">
        <v>160</v>
      </c>
      <c r="F109" s="2">
        <v>0</v>
      </c>
      <c r="G109" s="2">
        <v>40</v>
      </c>
      <c r="H109" s="2">
        <v>-39.667000000000002</v>
      </c>
      <c r="I109" s="1">
        <v>1</v>
      </c>
      <c r="J109" s="1">
        <v>0.99583750000000004</v>
      </c>
      <c r="K109" s="1">
        <v>0.89073608641788005</v>
      </c>
      <c r="L109" s="1">
        <v>0.605101413582119</v>
      </c>
      <c r="P109" s="1">
        <f>I109-'Passo 2'!I109</f>
        <v>0</v>
      </c>
      <c r="Q109" s="1">
        <f>J109-'Passo 2'!J109</f>
        <v>1.4587500000000087E-2</v>
      </c>
      <c r="R109" s="1">
        <f t="shared" si="5"/>
        <v>160</v>
      </c>
      <c r="S109">
        <f t="shared" si="4"/>
        <v>159.334</v>
      </c>
      <c r="T109" s="1">
        <f t="shared" si="6"/>
        <v>142.5177738268608</v>
      </c>
      <c r="U109" s="1">
        <f t="shared" si="7"/>
        <v>96.816226173139043</v>
      </c>
    </row>
    <row r="110" spans="1:21" x14ac:dyDescent="0.3">
      <c r="A110" t="s">
        <v>57</v>
      </c>
      <c r="B110" t="s">
        <v>620</v>
      </c>
      <c r="C110" t="s">
        <v>580</v>
      </c>
      <c r="D110" t="s">
        <v>581</v>
      </c>
      <c r="E110" s="2">
        <v>139.46600000000001</v>
      </c>
      <c r="F110" s="2">
        <v>0</v>
      </c>
      <c r="G110" s="2">
        <v>32.822249999999997</v>
      </c>
      <c r="H110" s="2">
        <v>-30.967749999999999</v>
      </c>
      <c r="I110" s="1">
        <v>0.97068461130311301</v>
      </c>
      <c r="J110" s="1">
        <v>0.94409031591929204</v>
      </c>
      <c r="K110" s="1">
        <v>0.75556607282507104</v>
      </c>
      <c r="L110" s="1">
        <v>0.65920885439733401</v>
      </c>
      <c r="P110" s="1">
        <f>I110-'Passo 2'!I110</f>
        <v>-6.6431961911860293E-3</v>
      </c>
      <c r="Q110" s="1">
        <f>J110-'Passo 2'!J110</f>
        <v>7.9033599586996073E-2</v>
      </c>
      <c r="R110" s="1">
        <f t="shared" si="5"/>
        <v>135.37749999999997</v>
      </c>
      <c r="S110">
        <f t="shared" si="4"/>
        <v>131.66849999999999</v>
      </c>
      <c r="T110" s="1">
        <f t="shared" si="6"/>
        <v>105.37577791262136</v>
      </c>
      <c r="U110" s="1">
        <f t="shared" si="7"/>
        <v>91.937222087378586</v>
      </c>
    </row>
    <row r="111" spans="1:21" x14ac:dyDescent="0.3">
      <c r="A111" t="s">
        <v>57</v>
      </c>
      <c r="B111" t="s">
        <v>89</v>
      </c>
      <c r="C111" t="s">
        <v>580</v>
      </c>
      <c r="D111" t="s">
        <v>581</v>
      </c>
      <c r="E111" s="2">
        <v>86.331000000000003</v>
      </c>
      <c r="F111" s="2">
        <v>0</v>
      </c>
      <c r="G111" s="2">
        <v>19.68825</v>
      </c>
      <c r="H111" s="2">
        <v>-21.545249999999999</v>
      </c>
      <c r="I111" s="1">
        <v>0.95611078291691198</v>
      </c>
      <c r="J111" s="1">
        <v>0.99913125065156105</v>
      </c>
      <c r="K111" s="1">
        <v>0.76532108497965501</v>
      </c>
      <c r="L111" s="1">
        <v>0.68992094858881903</v>
      </c>
      <c r="P111" s="1">
        <f>I111-'Passo 2'!I111</f>
        <v>3.0568393740371014E-2</v>
      </c>
      <c r="Q111" s="1">
        <f>J111-'Passo 2'!J111</f>
        <v>1.3575656484924092E-2</v>
      </c>
      <c r="R111" s="1">
        <f t="shared" si="5"/>
        <v>82.541999999999931</v>
      </c>
      <c r="S111">
        <f t="shared" si="4"/>
        <v>86.255999999999915</v>
      </c>
      <c r="T111" s="1">
        <f t="shared" si="6"/>
        <v>66.070934587378602</v>
      </c>
      <c r="U111" s="1">
        <f t="shared" si="7"/>
        <v>59.561565412621334</v>
      </c>
    </row>
    <row r="112" spans="1:21" x14ac:dyDescent="0.3">
      <c r="A112" t="s">
        <v>57</v>
      </c>
      <c r="B112" t="s">
        <v>621</v>
      </c>
      <c r="C112" t="s">
        <v>580</v>
      </c>
      <c r="D112" t="s">
        <v>581</v>
      </c>
      <c r="E112" s="2">
        <v>56.652000000000001</v>
      </c>
      <c r="F112" s="2">
        <v>0</v>
      </c>
      <c r="G112" s="2">
        <v>13.989000000000001</v>
      </c>
      <c r="H112" s="2">
        <v>-14.029</v>
      </c>
      <c r="I112" s="1">
        <v>0.99385723363694101</v>
      </c>
      <c r="J112" s="1">
        <v>0.99526936383534503</v>
      </c>
      <c r="K112" s="1">
        <v>0.74508644170495697</v>
      </c>
      <c r="L112" s="1">
        <v>0.74404015576732896</v>
      </c>
      <c r="P112" s="1">
        <f>I112-'Passo 2'!I112</f>
        <v>2.4447504059880165E-3</v>
      </c>
      <c r="Q112" s="1">
        <f>J112-'Passo 2'!J112</f>
        <v>3.2478994563300834E-3</v>
      </c>
      <c r="R112" s="1">
        <f t="shared" si="5"/>
        <v>56.303999999999981</v>
      </c>
      <c r="S112">
        <f t="shared" si="4"/>
        <v>56.383999999999965</v>
      </c>
      <c r="T112" s="1">
        <f t="shared" si="6"/>
        <v>42.210637095469224</v>
      </c>
      <c r="U112" s="1">
        <f t="shared" si="7"/>
        <v>42.151362904530721</v>
      </c>
    </row>
    <row r="113" spans="1:21" x14ac:dyDescent="0.3">
      <c r="A113" t="s">
        <v>57</v>
      </c>
      <c r="B113" t="s">
        <v>622</v>
      </c>
      <c r="C113" t="s">
        <v>580</v>
      </c>
      <c r="D113" t="s">
        <v>581</v>
      </c>
      <c r="E113" s="2">
        <v>87.088999999999999</v>
      </c>
      <c r="F113" s="2">
        <v>0</v>
      </c>
      <c r="G113" s="2">
        <v>20.319500000000001</v>
      </c>
      <c r="H113" s="2">
        <v>-21.77225</v>
      </c>
      <c r="I113" s="1">
        <v>0.966637577650449</v>
      </c>
      <c r="J113" s="1">
        <v>1</v>
      </c>
      <c r="K113" s="1">
        <v>0.82531965170399402</v>
      </c>
      <c r="L113" s="1">
        <v>0.64131792594645398</v>
      </c>
      <c r="P113" s="1">
        <f>I113-'Passo 2'!I113</f>
        <v>3.1863955264149757E-3</v>
      </c>
      <c r="Q113" s="1">
        <f>J113-'Passo 2'!J113</f>
        <v>1.9520260882545992E-2</v>
      </c>
      <c r="R113" s="1">
        <f t="shared" si="5"/>
        <v>84.183499999999952</v>
      </c>
      <c r="S113">
        <f t="shared" si="4"/>
        <v>87.088999999999999</v>
      </c>
      <c r="T113" s="1">
        <f t="shared" si="6"/>
        <v>71.876263147249134</v>
      </c>
      <c r="U113" s="1">
        <f t="shared" si="7"/>
        <v>55.851736852750733</v>
      </c>
    </row>
    <row r="114" spans="1:21" x14ac:dyDescent="0.3">
      <c r="A114" t="s">
        <v>57</v>
      </c>
      <c r="B114" t="s">
        <v>623</v>
      </c>
      <c r="C114" t="s">
        <v>580</v>
      </c>
      <c r="D114" t="s">
        <v>581</v>
      </c>
      <c r="E114" s="2">
        <v>49.572000000000003</v>
      </c>
      <c r="F114" s="2">
        <v>0</v>
      </c>
      <c r="G114" s="2">
        <v>11.849500000000001</v>
      </c>
      <c r="H114" s="2">
        <v>-12.393000000000001</v>
      </c>
      <c r="I114" s="1">
        <v>0.97807229887839897</v>
      </c>
      <c r="J114" s="1">
        <v>1</v>
      </c>
      <c r="K114" s="1">
        <v>0.81731050641386704</v>
      </c>
      <c r="L114" s="1">
        <v>0.66076179246453104</v>
      </c>
      <c r="P114" s="1">
        <f>I114-'Passo 2'!I114</f>
        <v>1.5129508593592078E-4</v>
      </c>
      <c r="Q114" s="1">
        <f>J114-'Passo 2'!J114</f>
        <v>6.3543936093002351E-4</v>
      </c>
      <c r="R114" s="1">
        <f t="shared" si="5"/>
        <v>48.484999999999999</v>
      </c>
      <c r="S114">
        <f t="shared" si="4"/>
        <v>49.572000000000003</v>
      </c>
      <c r="T114" s="1">
        <f t="shared" si="6"/>
        <v>40.51571642394822</v>
      </c>
      <c r="U114" s="1">
        <f t="shared" si="7"/>
        <v>32.755283576051731</v>
      </c>
    </row>
    <row r="115" spans="1:21" x14ac:dyDescent="0.3">
      <c r="A115" t="s">
        <v>57</v>
      </c>
      <c r="B115" t="s">
        <v>624</v>
      </c>
      <c r="C115" t="s">
        <v>580</v>
      </c>
      <c r="D115" t="s">
        <v>581</v>
      </c>
      <c r="E115" s="2">
        <v>190.82</v>
      </c>
      <c r="F115" s="2">
        <v>0</v>
      </c>
      <c r="G115" s="2">
        <v>47.394750000000002</v>
      </c>
      <c r="H115" s="2">
        <v>-46.452750000000002</v>
      </c>
      <c r="I115" s="1">
        <v>0.99674824441882404</v>
      </c>
      <c r="J115" s="1">
        <v>0.98687506550675996</v>
      </c>
      <c r="K115" s="1">
        <v>0.85355745689628504</v>
      </c>
      <c r="L115" s="1">
        <v>0.63006585302929796</v>
      </c>
      <c r="P115" s="1">
        <f>I115-'Passo 2'!I115</f>
        <v>2.3833979666702088E-2</v>
      </c>
      <c r="Q115" s="1">
        <f>J115-'Passo 2'!J115</f>
        <v>1.0743108688793246E-4</v>
      </c>
      <c r="R115" s="1">
        <f t="shared" si="5"/>
        <v>190.1995</v>
      </c>
      <c r="S115">
        <f t="shared" si="4"/>
        <v>188.31549999999993</v>
      </c>
      <c r="T115" s="1">
        <f t="shared" si="6"/>
        <v>162.87583392494909</v>
      </c>
      <c r="U115" s="1">
        <f t="shared" si="7"/>
        <v>120.22916607505063</v>
      </c>
    </row>
    <row r="116" spans="1:21" x14ac:dyDescent="0.3">
      <c r="A116" t="s">
        <v>57</v>
      </c>
      <c r="B116" t="s">
        <v>625</v>
      </c>
      <c r="C116" t="s">
        <v>580</v>
      </c>
      <c r="D116" t="s">
        <v>581</v>
      </c>
      <c r="E116" s="2">
        <v>177.047</v>
      </c>
      <c r="F116" s="2">
        <v>0</v>
      </c>
      <c r="G116" s="2">
        <v>42.945999999999998</v>
      </c>
      <c r="H116" s="2">
        <v>-42.009499999999903</v>
      </c>
      <c r="I116" s="1">
        <v>0.98513671510954703</v>
      </c>
      <c r="J116" s="1">
        <v>0.97455760334826302</v>
      </c>
      <c r="K116" s="1">
        <v>0.76976045300936002</v>
      </c>
      <c r="L116" s="1">
        <v>0.68993386544845003</v>
      </c>
      <c r="P116" s="1">
        <f>I116-'Passo 2'!I116</f>
        <v>1.2279225290459994E-2</v>
      </c>
      <c r="Q116" s="1">
        <f>J116-'Passo 2'!J116</f>
        <v>1.8540274616344998E-2</v>
      </c>
      <c r="R116" s="1">
        <f t="shared" si="5"/>
        <v>174.41549999999998</v>
      </c>
      <c r="S116">
        <f t="shared" si="4"/>
        <v>172.54249999999993</v>
      </c>
      <c r="T116" s="1">
        <f t="shared" si="6"/>
        <v>136.28377892394815</v>
      </c>
      <c r="U116" s="1">
        <f t="shared" si="7"/>
        <v>122.15072107605174</v>
      </c>
    </row>
    <row r="117" spans="1:21" x14ac:dyDescent="0.3">
      <c r="A117" t="s">
        <v>57</v>
      </c>
      <c r="B117" t="s">
        <v>90</v>
      </c>
      <c r="C117" t="s">
        <v>580</v>
      </c>
      <c r="D117" t="s">
        <v>581</v>
      </c>
      <c r="E117" s="2">
        <v>584.71699999999998</v>
      </c>
      <c r="F117" s="2">
        <v>0</v>
      </c>
      <c r="G117" s="2">
        <v>117.041</v>
      </c>
      <c r="H117" s="2">
        <v>-111.92325</v>
      </c>
      <c r="I117" s="1">
        <v>0.90033383671074996</v>
      </c>
      <c r="J117" s="1">
        <v>0.882828787259477</v>
      </c>
      <c r="K117" s="1">
        <v>0.73393099715878896</v>
      </c>
      <c r="L117" s="1">
        <v>0.549231626811439</v>
      </c>
      <c r="P117" s="1">
        <f>I117-'Passo 2'!I117</f>
        <v>1.7230557688590054E-3</v>
      </c>
      <c r="Q117" s="1">
        <f>J117-'Passo 2'!J117</f>
        <v>4.0805210041780948E-2</v>
      </c>
      <c r="R117" s="1">
        <f t="shared" si="5"/>
        <v>526.44049999999959</v>
      </c>
      <c r="S117">
        <f t="shared" si="4"/>
        <v>516.20499999999959</v>
      </c>
      <c r="T117" s="1">
        <f t="shared" si="6"/>
        <v>429.1419308656956</v>
      </c>
      <c r="U117" s="1">
        <f t="shared" si="7"/>
        <v>321.14506913430415</v>
      </c>
    </row>
    <row r="118" spans="1:21" x14ac:dyDescent="0.3">
      <c r="A118" t="s">
        <v>57</v>
      </c>
      <c r="B118" t="s">
        <v>91</v>
      </c>
      <c r="C118" t="s">
        <v>580</v>
      </c>
      <c r="D118" t="s">
        <v>581</v>
      </c>
      <c r="E118" s="2">
        <v>59.27</v>
      </c>
      <c r="F118" s="2">
        <v>0</v>
      </c>
      <c r="G118" s="2">
        <v>13.193250000000001</v>
      </c>
      <c r="H118" s="2">
        <v>-14.185</v>
      </c>
      <c r="I118" s="1">
        <v>0.94519149654125101</v>
      </c>
      <c r="J118" s="1">
        <v>0.97865699341994195</v>
      </c>
      <c r="K118" s="1">
        <v>0.75960217366852201</v>
      </c>
      <c r="L118" s="1">
        <v>0.66424631629267195</v>
      </c>
      <c r="P118" s="1">
        <f>I118-'Passo 2'!I118</f>
        <v>0</v>
      </c>
      <c r="Q118" s="1">
        <f>J118-'Passo 2'!J118</f>
        <v>0</v>
      </c>
      <c r="R118" s="1">
        <f t="shared" si="5"/>
        <v>56.021499999999953</v>
      </c>
      <c r="S118">
        <f t="shared" si="4"/>
        <v>58.00499999999996</v>
      </c>
      <c r="T118" s="1">
        <f t="shared" si="6"/>
        <v>45.021620833333301</v>
      </c>
      <c r="U118" s="1">
        <f t="shared" si="7"/>
        <v>39.369879166666671</v>
      </c>
    </row>
    <row r="119" spans="1:21" x14ac:dyDescent="0.3">
      <c r="A119" t="s">
        <v>57</v>
      </c>
      <c r="B119" t="s">
        <v>92</v>
      </c>
      <c r="C119" t="s">
        <v>580</v>
      </c>
      <c r="D119" t="s">
        <v>581</v>
      </c>
      <c r="E119" s="2">
        <v>86.406999999999996</v>
      </c>
      <c r="F119" s="2">
        <v>0</v>
      </c>
      <c r="G119" s="2">
        <v>17.272500000000001</v>
      </c>
      <c r="H119" s="2">
        <v>-18.585249999999998</v>
      </c>
      <c r="I119" s="1">
        <v>0.89979399817144401</v>
      </c>
      <c r="J119" s="1">
        <v>0.930179267883389</v>
      </c>
      <c r="K119" s="1">
        <v>0.71355228508957103</v>
      </c>
      <c r="L119" s="1">
        <v>0.61642098096526099</v>
      </c>
      <c r="P119" s="1">
        <f>I119-'Passo 2'!I119</f>
        <v>1.7359704653557961E-2</v>
      </c>
      <c r="Q119" s="1">
        <f>J119-'Passo 2'!J119</f>
        <v>2.7468839330146988E-2</v>
      </c>
      <c r="R119" s="1">
        <f t="shared" si="5"/>
        <v>77.748499999999964</v>
      </c>
      <c r="S119">
        <f t="shared" si="4"/>
        <v>80.373999999999995</v>
      </c>
      <c r="T119" s="1">
        <f t="shared" si="6"/>
        <v>61.65591229773456</v>
      </c>
      <c r="U119" s="1">
        <f t="shared" si="7"/>
        <v>53.263087702265302</v>
      </c>
    </row>
    <row r="120" spans="1:21" x14ac:dyDescent="0.3">
      <c r="A120" t="s">
        <v>57</v>
      </c>
      <c r="B120" t="s">
        <v>93</v>
      </c>
      <c r="C120" t="s">
        <v>580</v>
      </c>
      <c r="D120" t="s">
        <v>581</v>
      </c>
      <c r="E120" s="2">
        <v>77.662000000000006</v>
      </c>
      <c r="F120" s="2">
        <v>0</v>
      </c>
      <c r="G120" s="2">
        <v>18.079249999999998</v>
      </c>
      <c r="H120" s="2">
        <v>-17.32525</v>
      </c>
      <c r="I120" s="1">
        <v>0.965588061085215</v>
      </c>
      <c r="J120" s="1">
        <v>0.94617058535706</v>
      </c>
      <c r="K120" s="1">
        <v>0.71472892470975502</v>
      </c>
      <c r="L120" s="1">
        <v>0.69702972173251898</v>
      </c>
      <c r="P120" s="1">
        <f>I120-'Passo 2'!I120</f>
        <v>2.5675362468130958E-2</v>
      </c>
      <c r="Q120" s="1">
        <f>J120-'Passo 2'!J120</f>
        <v>8.8202724627295392E-4</v>
      </c>
      <c r="R120" s="1">
        <f t="shared" si="5"/>
        <v>74.989499999999978</v>
      </c>
      <c r="S120">
        <f t="shared" si="4"/>
        <v>73.481499999999997</v>
      </c>
      <c r="T120" s="1">
        <f t="shared" si="6"/>
        <v>55.507277750808996</v>
      </c>
      <c r="U120" s="1">
        <f t="shared" si="7"/>
        <v>54.132722249190891</v>
      </c>
    </row>
    <row r="121" spans="1:21" x14ac:dyDescent="0.3">
      <c r="A121" t="s">
        <v>57</v>
      </c>
      <c r="B121" t="s">
        <v>626</v>
      </c>
      <c r="C121" t="s">
        <v>34</v>
      </c>
      <c r="D121" t="s">
        <v>35</v>
      </c>
      <c r="E121" s="2">
        <v>185.143</v>
      </c>
      <c r="F121" s="2">
        <v>0</v>
      </c>
      <c r="G121" s="2">
        <v>30.891999999999999</v>
      </c>
      <c r="H121" s="2">
        <v>-45.942250000000001</v>
      </c>
      <c r="I121" s="1">
        <v>0.83370961905121899</v>
      </c>
      <c r="J121" s="1">
        <v>0.99628935471500402</v>
      </c>
      <c r="K121" s="1">
        <v>0.76146525382365504</v>
      </c>
      <c r="L121" s="1">
        <v>0.56853371994256796</v>
      </c>
      <c r="P121" s="1">
        <f>I121-'Passo 2'!I121</f>
        <v>1.5020821743192969E-2</v>
      </c>
      <c r="Q121" s="1">
        <f>J121-'Passo 2'!J121</f>
        <v>0.117141884921385</v>
      </c>
      <c r="R121" s="1">
        <f t="shared" si="5"/>
        <v>154.35549999999984</v>
      </c>
      <c r="S121">
        <f t="shared" si="4"/>
        <v>184.45599999999999</v>
      </c>
      <c r="T121" s="1">
        <f t="shared" si="6"/>
        <v>140.97996148867296</v>
      </c>
      <c r="U121" s="1">
        <f t="shared" si="7"/>
        <v>105.26003851132685</v>
      </c>
    </row>
    <row r="122" spans="1:21" x14ac:dyDescent="0.3">
      <c r="A122" t="s">
        <v>57</v>
      </c>
      <c r="B122" t="s">
        <v>94</v>
      </c>
      <c r="C122" t="s">
        <v>580</v>
      </c>
      <c r="D122" t="s">
        <v>581</v>
      </c>
      <c r="E122" s="2">
        <v>164.011</v>
      </c>
      <c r="F122" s="2">
        <v>0</v>
      </c>
      <c r="G122" s="2">
        <v>35.65</v>
      </c>
      <c r="H122" s="2">
        <v>-37.59525</v>
      </c>
      <c r="I122" s="1">
        <v>0.93472693904677095</v>
      </c>
      <c r="J122" s="1">
        <v>0.95844790898171395</v>
      </c>
      <c r="K122" s="1">
        <v>0.71704314804522395</v>
      </c>
      <c r="L122" s="1">
        <v>0.67613169998326095</v>
      </c>
      <c r="P122" s="1">
        <f>I122-'Passo 2'!I122</f>
        <v>2.3025894604630004E-2</v>
      </c>
      <c r="Q122" s="1">
        <f>J122-'Passo 2'!J122</f>
        <v>3.7762711037673924E-2</v>
      </c>
      <c r="R122" s="1">
        <f t="shared" si="5"/>
        <v>153.30549999999994</v>
      </c>
      <c r="S122">
        <f t="shared" si="4"/>
        <v>157.19599999999988</v>
      </c>
      <c r="T122" s="1">
        <f t="shared" si="6"/>
        <v>117.60296375404522</v>
      </c>
      <c r="U122" s="1">
        <f t="shared" si="7"/>
        <v>110.8930362459546</v>
      </c>
    </row>
    <row r="123" spans="1:21" x14ac:dyDescent="0.3">
      <c r="A123" t="s">
        <v>57</v>
      </c>
      <c r="B123" t="s">
        <v>95</v>
      </c>
      <c r="C123" t="s">
        <v>580</v>
      </c>
      <c r="D123" t="s">
        <v>581</v>
      </c>
      <c r="E123" s="2">
        <v>515</v>
      </c>
      <c r="F123" s="2">
        <v>0</v>
      </c>
      <c r="G123" s="2">
        <v>81.5</v>
      </c>
      <c r="H123" s="2">
        <v>-110.5</v>
      </c>
      <c r="I123" s="1">
        <v>0.81650485436893205</v>
      </c>
      <c r="J123" s="1">
        <v>0.92912621359223302</v>
      </c>
      <c r="K123" s="1">
        <v>0.68292164126871902</v>
      </c>
      <c r="L123" s="1">
        <v>0.56270942669244495</v>
      </c>
      <c r="P123" s="1">
        <f>I123-'Passo 2'!I123</f>
        <v>7.3271844660195096E-2</v>
      </c>
      <c r="Q123" s="1">
        <f>J123-'Passo 2'!J123</f>
        <v>3.009708737864103E-2</v>
      </c>
      <c r="R123" s="1">
        <f t="shared" si="5"/>
        <v>420.5</v>
      </c>
      <c r="S123">
        <f t="shared" si="4"/>
        <v>478.5</v>
      </c>
      <c r="T123" s="1">
        <f t="shared" si="6"/>
        <v>351.70464525339031</v>
      </c>
      <c r="U123" s="1">
        <f t="shared" si="7"/>
        <v>289.79535474660912</v>
      </c>
    </row>
    <row r="124" spans="1:21" x14ac:dyDescent="0.3">
      <c r="A124" t="s">
        <v>57</v>
      </c>
      <c r="B124" t="s">
        <v>96</v>
      </c>
      <c r="C124" t="s">
        <v>580</v>
      </c>
      <c r="D124" t="s">
        <v>581</v>
      </c>
      <c r="E124" s="2">
        <v>346.928</v>
      </c>
      <c r="F124" s="2">
        <v>0</v>
      </c>
      <c r="G124" s="2">
        <v>78.689250000000001</v>
      </c>
      <c r="H124" s="2">
        <v>-83.166749999999993</v>
      </c>
      <c r="I124" s="1">
        <v>0.95363447170594395</v>
      </c>
      <c r="J124" s="1">
        <v>0.97944674399298903</v>
      </c>
      <c r="K124" s="1">
        <v>0.71397371523309305</v>
      </c>
      <c r="L124" s="1">
        <v>0.71910750046584104</v>
      </c>
      <c r="P124" s="1">
        <f>I124-'Passo 2'!I124</f>
        <v>2.7694507217636E-2</v>
      </c>
      <c r="Q124" s="1">
        <f>J124-'Passo 2'!J124</f>
        <v>1.4139821519162044E-2</v>
      </c>
      <c r="R124" s="1">
        <f t="shared" si="5"/>
        <v>330.84249999999975</v>
      </c>
      <c r="S124">
        <f t="shared" si="4"/>
        <v>339.79749999999967</v>
      </c>
      <c r="T124" s="1">
        <f t="shared" si="6"/>
        <v>247.69747307838651</v>
      </c>
      <c r="U124" s="1">
        <f t="shared" si="7"/>
        <v>249.47852692161331</v>
      </c>
    </row>
    <row r="125" spans="1:21" x14ac:dyDescent="0.3">
      <c r="A125" t="s">
        <v>57</v>
      </c>
      <c r="B125" t="s">
        <v>97</v>
      </c>
      <c r="C125" t="s">
        <v>580</v>
      </c>
      <c r="D125" t="s">
        <v>581</v>
      </c>
      <c r="E125" s="2">
        <v>175.381</v>
      </c>
      <c r="F125" s="2">
        <v>0</v>
      </c>
      <c r="G125" s="2">
        <v>20.520250000000001</v>
      </c>
      <c r="H125" s="2">
        <v>-21.13025</v>
      </c>
      <c r="I125" s="1">
        <v>0.73400767471961004</v>
      </c>
      <c r="J125" s="1">
        <v>0.74096395846756402</v>
      </c>
      <c r="K125" s="1">
        <v>0.64170784516129398</v>
      </c>
      <c r="L125" s="1">
        <v>0.33326378802588003</v>
      </c>
      <c r="P125" s="1">
        <f>I125-'Passo 2'!I125</f>
        <v>-1.7889623163283908E-2</v>
      </c>
      <c r="Q125" s="1">
        <f>J125-'Passo 2'!J125</f>
        <v>2.8480850263141066E-2</v>
      </c>
      <c r="R125" s="1">
        <f t="shared" si="5"/>
        <v>128.73099999999994</v>
      </c>
      <c r="S125">
        <f t="shared" si="4"/>
        <v>129.95099999999985</v>
      </c>
      <c r="T125" s="1">
        <f t="shared" si="6"/>
        <v>112.54336359223289</v>
      </c>
      <c r="U125" s="1">
        <f t="shared" si="7"/>
        <v>58.448136407766867</v>
      </c>
    </row>
    <row r="126" spans="1:21" x14ac:dyDescent="0.3">
      <c r="A126" t="s">
        <v>57</v>
      </c>
      <c r="B126" t="s">
        <v>98</v>
      </c>
      <c r="C126" t="s">
        <v>580</v>
      </c>
      <c r="D126" t="s">
        <v>581</v>
      </c>
      <c r="E126" s="2">
        <v>97.926000000000002</v>
      </c>
      <c r="F126" s="2">
        <v>0</v>
      </c>
      <c r="G126" s="2">
        <v>24.396999999999998</v>
      </c>
      <c r="H126" s="2">
        <v>-24.451250000000002</v>
      </c>
      <c r="I126" s="1">
        <v>0.99827420705430603</v>
      </c>
      <c r="J126" s="1">
        <v>0.999382186549026</v>
      </c>
      <c r="K126" s="1">
        <v>0.783883395341056</v>
      </c>
      <c r="L126" s="1">
        <v>0.71377299826227603</v>
      </c>
      <c r="P126" s="1">
        <f>I126-'Passo 2'!I126</f>
        <v>3.5174519535159043E-2</v>
      </c>
      <c r="Q126" s="1">
        <f>J126-'Passo 2'!J126</f>
        <v>3.1299144251779598E-3</v>
      </c>
      <c r="R126" s="1">
        <f t="shared" si="5"/>
        <v>97.756999999999977</v>
      </c>
      <c r="S126">
        <f t="shared" si="4"/>
        <v>97.865499999999926</v>
      </c>
      <c r="T126" s="1">
        <f t="shared" si="6"/>
        <v>76.762565372168254</v>
      </c>
      <c r="U126" s="1">
        <f t="shared" si="7"/>
        <v>69.896934627831641</v>
      </c>
    </row>
    <row r="127" spans="1:21" x14ac:dyDescent="0.3">
      <c r="A127" t="s">
        <v>57</v>
      </c>
      <c r="B127" t="s">
        <v>627</v>
      </c>
      <c r="C127" t="s">
        <v>580</v>
      </c>
      <c r="D127" t="s">
        <v>581</v>
      </c>
      <c r="E127" s="2">
        <v>86.262</v>
      </c>
      <c r="F127" s="2">
        <v>0</v>
      </c>
      <c r="G127" s="2">
        <v>21.109249999999999</v>
      </c>
      <c r="H127" s="2">
        <v>-21.5655</v>
      </c>
      <c r="I127" s="1">
        <v>0.98942176160997897</v>
      </c>
      <c r="J127" s="1">
        <v>1</v>
      </c>
      <c r="K127" s="1">
        <v>0.81602157436302403</v>
      </c>
      <c r="L127" s="1">
        <v>0.67340018724695405</v>
      </c>
      <c r="P127" s="1">
        <f>I127-'Passo 2'!I127</f>
        <v>1.1546219656396017E-2</v>
      </c>
      <c r="Q127" s="1">
        <f>J127-'Passo 2'!J127</f>
        <v>0</v>
      </c>
      <c r="R127" s="1">
        <f t="shared" si="5"/>
        <v>85.349500000000006</v>
      </c>
      <c r="S127">
        <f t="shared" si="4"/>
        <v>86.262</v>
      </c>
      <c r="T127" s="1">
        <f t="shared" si="6"/>
        <v>70.391653047703173</v>
      </c>
      <c r="U127" s="1">
        <f t="shared" si="7"/>
        <v>58.088846952296748</v>
      </c>
    </row>
    <row r="128" spans="1:21" x14ac:dyDescent="0.3">
      <c r="A128" t="s">
        <v>57</v>
      </c>
      <c r="B128" t="s">
        <v>628</v>
      </c>
      <c r="C128" t="s">
        <v>580</v>
      </c>
      <c r="D128" t="s">
        <v>581</v>
      </c>
      <c r="E128" s="2">
        <v>106.66800000000001</v>
      </c>
      <c r="F128" s="2">
        <v>0</v>
      </c>
      <c r="G128" s="2">
        <v>20.433250000000001</v>
      </c>
      <c r="H128" s="2">
        <v>-20.760249999999999</v>
      </c>
      <c r="I128" s="1">
        <v>0.88311864851689303</v>
      </c>
      <c r="J128" s="1">
        <v>0.88924982187722601</v>
      </c>
      <c r="K128" s="1">
        <v>0.69952066284851</v>
      </c>
      <c r="L128" s="1">
        <v>0.57284780754560904</v>
      </c>
      <c r="P128" s="1">
        <f>I128-'Passo 2'!I128</f>
        <v>2.6877789027637045E-2</v>
      </c>
      <c r="Q128" s="1">
        <f>J128-'Passo 2'!J128</f>
        <v>4.8782202722466028E-2</v>
      </c>
      <c r="R128" s="1">
        <f t="shared" si="5"/>
        <v>94.200499999999948</v>
      </c>
      <c r="S128">
        <f t="shared" si="4"/>
        <v>94.854499999999945</v>
      </c>
      <c r="T128" s="1">
        <f t="shared" si="6"/>
        <v>74.616470064724865</v>
      </c>
      <c r="U128" s="1">
        <f t="shared" si="7"/>
        <v>61.104529935275032</v>
      </c>
    </row>
    <row r="129" spans="1:21" x14ac:dyDescent="0.3">
      <c r="A129" t="s">
        <v>57</v>
      </c>
      <c r="B129" t="s">
        <v>99</v>
      </c>
      <c r="C129" t="s">
        <v>580</v>
      </c>
      <c r="D129" t="s">
        <v>581</v>
      </c>
      <c r="E129" s="2">
        <v>80.138999999999996</v>
      </c>
      <c r="F129" s="2">
        <v>0</v>
      </c>
      <c r="G129" s="2">
        <v>18.186249999999902</v>
      </c>
      <c r="H129" s="2">
        <v>-16.193000000000001</v>
      </c>
      <c r="I129" s="1">
        <v>0.95386765494952497</v>
      </c>
      <c r="J129" s="1">
        <v>0.90412283657145698</v>
      </c>
      <c r="K129" s="1">
        <v>0.81362896277992003</v>
      </c>
      <c r="L129" s="1">
        <v>0.54436152874106103</v>
      </c>
      <c r="P129" s="1">
        <f>I129-'Passo 2'!I129</f>
        <v>6.1830070252935965E-2</v>
      </c>
      <c r="Q129" s="1">
        <f>J129-'Passo 2'!J129</f>
        <v>6.9317061605459473E-3</v>
      </c>
      <c r="R129" s="1">
        <f t="shared" si="5"/>
        <v>76.441999999999979</v>
      </c>
      <c r="S129">
        <f t="shared" si="4"/>
        <v>72.455499999999986</v>
      </c>
      <c r="T129" s="1">
        <f t="shared" si="6"/>
        <v>65.20341144822001</v>
      </c>
      <c r="U129" s="1">
        <f t="shared" si="7"/>
        <v>43.624588551779887</v>
      </c>
    </row>
    <row r="130" spans="1:21" x14ac:dyDescent="0.3">
      <c r="A130" t="s">
        <v>57</v>
      </c>
      <c r="B130" t="s">
        <v>100</v>
      </c>
      <c r="C130" t="s">
        <v>580</v>
      </c>
      <c r="D130" t="s">
        <v>581</v>
      </c>
      <c r="E130" s="2">
        <v>155.26900000000001</v>
      </c>
      <c r="F130" s="2">
        <v>0</v>
      </c>
      <c r="G130" s="2">
        <v>33.012499999999903</v>
      </c>
      <c r="H130" s="2">
        <v>-32.652250000000002</v>
      </c>
      <c r="I130" s="1">
        <v>0.92522976254113798</v>
      </c>
      <c r="J130" s="1">
        <v>0.92058942866895499</v>
      </c>
      <c r="K130" s="1">
        <v>0.72217224310430905</v>
      </c>
      <c r="L130" s="1">
        <v>0.62364694810578303</v>
      </c>
      <c r="P130" s="1">
        <f>I130-'Passo 2'!I130</f>
        <v>2.8012674777321944E-2</v>
      </c>
      <c r="Q130" s="1">
        <f>J130-'Passo 2'!J130</f>
        <v>2.5339893990430018E-2</v>
      </c>
      <c r="R130" s="1">
        <f t="shared" si="5"/>
        <v>143.65949999999995</v>
      </c>
      <c r="S130">
        <f t="shared" ref="S130:S193" si="8">J130*E130</f>
        <v>142.93899999999996</v>
      </c>
      <c r="T130" s="1">
        <f t="shared" si="6"/>
        <v>112.13096201456297</v>
      </c>
      <c r="U130" s="1">
        <f t="shared" si="7"/>
        <v>96.833037985436832</v>
      </c>
    </row>
    <row r="131" spans="1:21" x14ac:dyDescent="0.3">
      <c r="A131" t="s">
        <v>57</v>
      </c>
      <c r="B131" t="s">
        <v>101</v>
      </c>
      <c r="C131" t="s">
        <v>580</v>
      </c>
      <c r="D131" t="s">
        <v>581</v>
      </c>
      <c r="E131" s="2">
        <v>138.16999999999999</v>
      </c>
      <c r="F131" s="2">
        <v>0</v>
      </c>
      <c r="G131" s="2">
        <v>30.173749999999998</v>
      </c>
      <c r="H131" s="2">
        <v>-29.577000000000002</v>
      </c>
      <c r="I131" s="1">
        <v>0.93676268365057502</v>
      </c>
      <c r="J131" s="1">
        <v>0.92812477382934</v>
      </c>
      <c r="K131" s="1">
        <v>0.73214550991660898</v>
      </c>
      <c r="L131" s="1">
        <v>0.63274194756330604</v>
      </c>
      <c r="P131" s="1">
        <f>I131-'Passo 2'!I131</f>
        <v>3.9498443945863992E-2</v>
      </c>
      <c r="Q131" s="1">
        <f>J131-'Passo 2'!J131</f>
        <v>3.6259680104220315E-3</v>
      </c>
      <c r="R131" s="1">
        <f t="shared" ref="R131:R194" si="9">I131*E131</f>
        <v>129.43249999999995</v>
      </c>
      <c r="S131">
        <f t="shared" si="8"/>
        <v>128.23899999999989</v>
      </c>
      <c r="T131" s="1">
        <f t="shared" ref="T131:T194" si="10">K131*E131</f>
        <v>101.16054510517786</v>
      </c>
      <c r="U131" s="1">
        <f t="shared" ref="U131:U194" si="11">L131*E131</f>
        <v>87.425954894821984</v>
      </c>
    </row>
    <row r="132" spans="1:21" x14ac:dyDescent="0.3">
      <c r="A132" t="s">
        <v>57</v>
      </c>
      <c r="B132" t="s">
        <v>102</v>
      </c>
      <c r="C132" t="s">
        <v>580</v>
      </c>
      <c r="D132" t="s">
        <v>581</v>
      </c>
      <c r="E132" s="2">
        <v>169</v>
      </c>
      <c r="F132" s="2">
        <v>0</v>
      </c>
      <c r="G132" s="2">
        <v>33.154249999999998</v>
      </c>
      <c r="H132" s="2">
        <v>-40.712499999999999</v>
      </c>
      <c r="I132" s="1">
        <v>0.89235798816568002</v>
      </c>
      <c r="J132" s="1">
        <v>0.98180473372780996</v>
      </c>
      <c r="K132" s="1">
        <v>0.69713160534076302</v>
      </c>
      <c r="L132" s="1">
        <v>0.67703111655272696</v>
      </c>
      <c r="P132" s="1">
        <f>I132-'Passo 2'!I132</f>
        <v>4.2520710059172018E-2</v>
      </c>
      <c r="Q132" s="1">
        <f>J132-'Passo 2'!J132</f>
        <v>3.0322485207100014E-2</v>
      </c>
      <c r="R132" s="1">
        <f t="shared" si="9"/>
        <v>150.80849999999992</v>
      </c>
      <c r="S132">
        <f t="shared" si="8"/>
        <v>165.9249999999999</v>
      </c>
      <c r="T132" s="1">
        <f t="shared" si="10"/>
        <v>117.81524130258894</v>
      </c>
      <c r="U132" s="1">
        <f t="shared" si="11"/>
        <v>114.41825869741086</v>
      </c>
    </row>
    <row r="133" spans="1:21" x14ac:dyDescent="0.3">
      <c r="A133" t="s">
        <v>57</v>
      </c>
      <c r="B133" t="s">
        <v>103</v>
      </c>
      <c r="C133" t="s">
        <v>580</v>
      </c>
      <c r="D133" t="s">
        <v>581</v>
      </c>
      <c r="E133" s="2">
        <v>188.96100000000001</v>
      </c>
      <c r="F133" s="2">
        <v>0</v>
      </c>
      <c r="G133" s="2">
        <v>39.379750000000001</v>
      </c>
      <c r="H133" s="2">
        <v>-39.344000000000001</v>
      </c>
      <c r="I133" s="1">
        <v>0.91680293817242697</v>
      </c>
      <c r="J133" s="1">
        <v>0.91642455321468397</v>
      </c>
      <c r="K133" s="1">
        <v>0.72341402458708404</v>
      </c>
      <c r="L133" s="1">
        <v>0.60981346680002702</v>
      </c>
      <c r="P133" s="1">
        <f>I133-'Passo 2'!I133</f>
        <v>5.1896952281158981E-2</v>
      </c>
      <c r="Q133" s="1">
        <f>J133-'Passo 2'!J133</f>
        <v>3.9558427400362972E-2</v>
      </c>
      <c r="R133" s="1">
        <f t="shared" si="9"/>
        <v>173.23999999999998</v>
      </c>
      <c r="S133">
        <f t="shared" si="8"/>
        <v>173.16849999999991</v>
      </c>
      <c r="T133" s="1">
        <f t="shared" si="10"/>
        <v>136.69703749999999</v>
      </c>
      <c r="U133" s="1">
        <f t="shared" si="11"/>
        <v>115.23096249999992</v>
      </c>
    </row>
    <row r="134" spans="1:21" x14ac:dyDescent="0.3">
      <c r="A134" t="s">
        <v>57</v>
      </c>
      <c r="B134" t="s">
        <v>104</v>
      </c>
      <c r="C134" t="s">
        <v>580</v>
      </c>
      <c r="D134" t="s">
        <v>581</v>
      </c>
      <c r="E134" s="2">
        <v>187.77799999999999</v>
      </c>
      <c r="F134" s="2">
        <v>0</v>
      </c>
      <c r="G134" s="2">
        <v>44.594000000000001</v>
      </c>
      <c r="H134" s="2">
        <v>-42.652250000000002</v>
      </c>
      <c r="I134" s="1">
        <v>0.97496511838447497</v>
      </c>
      <c r="J134" s="1">
        <v>0.95428378191268404</v>
      </c>
      <c r="K134" s="1">
        <v>0.78129585908285704</v>
      </c>
      <c r="L134" s="1">
        <v>0.64795304121430097</v>
      </c>
      <c r="P134" s="1">
        <f>I134-'Passo 2'!I134</f>
        <v>9.7862901937393998E-2</v>
      </c>
      <c r="Q134" s="1">
        <f>J134-'Passo 2'!J134</f>
        <v>6.689282024518306E-2</v>
      </c>
      <c r="R134" s="1">
        <f t="shared" si="9"/>
        <v>183.07699999999994</v>
      </c>
      <c r="S134">
        <f t="shared" si="8"/>
        <v>179.19349999999997</v>
      </c>
      <c r="T134" s="1">
        <f t="shared" si="10"/>
        <v>146.71017382686071</v>
      </c>
      <c r="U134" s="1">
        <f t="shared" si="11"/>
        <v>121.67132617313901</v>
      </c>
    </row>
    <row r="135" spans="1:21" x14ac:dyDescent="0.3">
      <c r="A135" t="s">
        <v>57</v>
      </c>
      <c r="B135" t="s">
        <v>105</v>
      </c>
      <c r="C135" t="s">
        <v>580</v>
      </c>
      <c r="D135" t="s">
        <v>581</v>
      </c>
      <c r="E135" s="2">
        <v>222.79400000000001</v>
      </c>
      <c r="F135" s="2">
        <v>0</v>
      </c>
      <c r="G135" s="2">
        <v>49.876750000000001</v>
      </c>
      <c r="H135" s="2">
        <v>-53.439499999999903</v>
      </c>
      <c r="I135" s="1">
        <v>0.94773871827787104</v>
      </c>
      <c r="J135" s="1">
        <v>0.979721177410522</v>
      </c>
      <c r="K135" s="1">
        <v>0.75329149148996899</v>
      </c>
      <c r="L135" s="1">
        <v>0.67416840419842405</v>
      </c>
      <c r="P135" s="1">
        <f>I135-'Passo 2'!I135</f>
        <v>6.595330215355899E-2</v>
      </c>
      <c r="Q135" s="1">
        <f>J135-'Passo 2'!J135</f>
        <v>2.2332289020350005E-2</v>
      </c>
      <c r="R135" s="1">
        <f t="shared" si="9"/>
        <v>211.15050000000002</v>
      </c>
      <c r="S135">
        <f t="shared" si="8"/>
        <v>218.27599999999984</v>
      </c>
      <c r="T135" s="1">
        <f t="shared" si="10"/>
        <v>167.82882455501615</v>
      </c>
      <c r="U135" s="1">
        <f t="shared" si="11"/>
        <v>150.20067544498369</v>
      </c>
    </row>
    <row r="136" spans="1:21" x14ac:dyDescent="0.3">
      <c r="A136" t="s">
        <v>57</v>
      </c>
      <c r="B136" t="s">
        <v>106</v>
      </c>
      <c r="C136" t="s">
        <v>580</v>
      </c>
      <c r="D136" t="s">
        <v>581</v>
      </c>
      <c r="E136" s="2">
        <v>204.095</v>
      </c>
      <c r="F136" s="2">
        <v>0</v>
      </c>
      <c r="G136" s="2">
        <v>46.99</v>
      </c>
      <c r="H136" s="2">
        <v>-42.183250000000001</v>
      </c>
      <c r="I136" s="1">
        <v>0.96047183909453904</v>
      </c>
      <c r="J136" s="1">
        <v>0.91336877434527997</v>
      </c>
      <c r="K136" s="1">
        <v>0.70412228449653802</v>
      </c>
      <c r="L136" s="1">
        <v>0.66971832894328098</v>
      </c>
      <c r="P136" s="1">
        <f>I136-'Passo 2'!I136</f>
        <v>4.242877091550501E-2</v>
      </c>
      <c r="Q136" s="1">
        <f>J136-'Passo 2'!J136</f>
        <v>3.5409980646267991E-2</v>
      </c>
      <c r="R136" s="1">
        <f t="shared" si="9"/>
        <v>196.02749999999995</v>
      </c>
      <c r="S136">
        <f t="shared" si="8"/>
        <v>186.4139999999999</v>
      </c>
      <c r="T136" s="1">
        <f t="shared" si="10"/>
        <v>143.70783765432094</v>
      </c>
      <c r="U136" s="1">
        <f t="shared" si="11"/>
        <v>136.68616234567892</v>
      </c>
    </row>
    <row r="137" spans="1:21" x14ac:dyDescent="0.3">
      <c r="A137" t="s">
        <v>57</v>
      </c>
      <c r="B137" t="s">
        <v>107</v>
      </c>
      <c r="C137" t="s">
        <v>34</v>
      </c>
      <c r="D137" t="s">
        <v>35</v>
      </c>
      <c r="E137" s="2">
        <v>256.59500000000003</v>
      </c>
      <c r="F137" s="2">
        <v>0</v>
      </c>
      <c r="G137" s="2">
        <v>59.862499999999997</v>
      </c>
      <c r="H137" s="2">
        <v>-59.691000000000003</v>
      </c>
      <c r="I137" s="1">
        <v>0.96659132095325295</v>
      </c>
      <c r="J137" s="1">
        <v>0.96525458407217601</v>
      </c>
      <c r="K137" s="1">
        <v>0.84997559935251099</v>
      </c>
      <c r="L137" s="1">
        <v>0.58187030567291798</v>
      </c>
      <c r="P137" s="1">
        <f>I137-'Passo 2'!I137</f>
        <v>2.1565112336561998E-2</v>
      </c>
      <c r="Q137" s="1">
        <f>J137-'Passo 2'!J137</f>
        <v>1.8784465792399674E-3</v>
      </c>
      <c r="R137" s="1">
        <f t="shared" si="9"/>
        <v>248.02249999999998</v>
      </c>
      <c r="S137">
        <f t="shared" si="8"/>
        <v>247.67950000000002</v>
      </c>
      <c r="T137" s="1">
        <f t="shared" si="10"/>
        <v>218.09948891585759</v>
      </c>
      <c r="U137" s="1">
        <f t="shared" si="11"/>
        <v>149.30501108414239</v>
      </c>
    </row>
    <row r="138" spans="1:21" x14ac:dyDescent="0.3">
      <c r="A138" t="s">
        <v>57</v>
      </c>
      <c r="B138" t="s">
        <v>108</v>
      </c>
      <c r="C138" t="s">
        <v>580</v>
      </c>
      <c r="D138" t="s">
        <v>581</v>
      </c>
      <c r="E138" s="2">
        <v>88.165999999999997</v>
      </c>
      <c r="F138" s="2">
        <v>0</v>
      </c>
      <c r="G138" s="2">
        <v>21.7835</v>
      </c>
      <c r="H138" s="2">
        <v>-21.998750000000001</v>
      </c>
      <c r="I138" s="1">
        <v>0.99414740376108701</v>
      </c>
      <c r="J138" s="1">
        <v>0.99903023841390104</v>
      </c>
      <c r="K138" s="1">
        <v>0.723192673121686</v>
      </c>
      <c r="L138" s="1">
        <v>0.76998496905330105</v>
      </c>
      <c r="P138" s="1">
        <f>I138-'Passo 2'!I138</f>
        <v>5.2111925231948963E-2</v>
      </c>
      <c r="Q138" s="1">
        <f>J138-'Passo 2'!J138</f>
        <v>4.9508880974530323E-3</v>
      </c>
      <c r="R138" s="1">
        <f t="shared" si="9"/>
        <v>87.649999999999991</v>
      </c>
      <c r="S138">
        <f t="shared" si="8"/>
        <v>88.080500000000001</v>
      </c>
      <c r="T138" s="1">
        <f t="shared" si="10"/>
        <v>63.761005218446563</v>
      </c>
      <c r="U138" s="1">
        <f t="shared" si="11"/>
        <v>67.886494781553338</v>
      </c>
    </row>
    <row r="139" spans="1:21" x14ac:dyDescent="0.3">
      <c r="A139" t="s">
        <v>57</v>
      </c>
      <c r="B139" t="s">
        <v>629</v>
      </c>
      <c r="C139" t="s">
        <v>580</v>
      </c>
      <c r="D139" t="s">
        <v>581</v>
      </c>
      <c r="E139" s="2">
        <v>89.504000000000005</v>
      </c>
      <c r="F139" s="2">
        <v>0</v>
      </c>
      <c r="G139" s="2">
        <v>22.31625</v>
      </c>
      <c r="H139" s="2">
        <v>-20.784749999999999</v>
      </c>
      <c r="I139" s="1">
        <v>0.99866486414014999</v>
      </c>
      <c r="J139" s="1">
        <v>0.96444292992491898</v>
      </c>
      <c r="K139" s="1">
        <v>0.80423696916006204</v>
      </c>
      <c r="L139" s="1">
        <v>0.65887082490500604</v>
      </c>
      <c r="P139" s="1">
        <f>I139-'Passo 2'!I139</f>
        <v>5.2623346442619567E-3</v>
      </c>
      <c r="Q139" s="1">
        <f>J139-'Passo 2'!J139</f>
        <v>-1.3055282445477046E-2</v>
      </c>
      <c r="R139" s="1">
        <f t="shared" si="9"/>
        <v>89.384499999999989</v>
      </c>
      <c r="S139">
        <f t="shared" si="8"/>
        <v>86.321499999999958</v>
      </c>
      <c r="T139" s="1">
        <f t="shared" si="10"/>
        <v>71.982425687702204</v>
      </c>
      <c r="U139" s="1">
        <f t="shared" si="11"/>
        <v>58.971574312297662</v>
      </c>
    </row>
    <row r="140" spans="1:21" x14ac:dyDescent="0.3">
      <c r="A140" t="s">
        <v>57</v>
      </c>
      <c r="B140" t="s">
        <v>109</v>
      </c>
      <c r="C140" t="s">
        <v>580</v>
      </c>
      <c r="D140" t="s">
        <v>581</v>
      </c>
      <c r="E140" s="2">
        <v>194.226</v>
      </c>
      <c r="F140" s="2">
        <v>0</v>
      </c>
      <c r="G140" s="2">
        <v>42.517749999999999</v>
      </c>
      <c r="H140" s="2">
        <v>-41.52525</v>
      </c>
      <c r="I140" s="1">
        <v>0.93781728501848305</v>
      </c>
      <c r="J140" s="1">
        <v>0.92759723209045097</v>
      </c>
      <c r="K140" s="1">
        <v>0.74722304221415903</v>
      </c>
      <c r="L140" s="1">
        <v>0.61819147489477499</v>
      </c>
      <c r="P140" s="1">
        <f>I140-'Passo 2'!I140</f>
        <v>1.2323272888285053E-2</v>
      </c>
      <c r="Q140" s="1">
        <f>J140-'Passo 2'!J140</f>
        <v>-7.7512794373559846E-3</v>
      </c>
      <c r="R140" s="1">
        <f t="shared" si="9"/>
        <v>182.1484999999999</v>
      </c>
      <c r="S140">
        <f t="shared" si="8"/>
        <v>180.16349999999994</v>
      </c>
      <c r="T140" s="1">
        <f t="shared" si="10"/>
        <v>145.13014259708726</v>
      </c>
      <c r="U140" s="1">
        <f t="shared" si="11"/>
        <v>120.06885740291257</v>
      </c>
    </row>
    <row r="141" spans="1:21" x14ac:dyDescent="0.3">
      <c r="A141" t="s">
        <v>57</v>
      </c>
      <c r="B141" t="s">
        <v>110</v>
      </c>
      <c r="C141" t="s">
        <v>580</v>
      </c>
      <c r="D141" t="s">
        <v>581</v>
      </c>
      <c r="E141" s="2">
        <v>461.92200000000003</v>
      </c>
      <c r="F141" s="2">
        <v>0</v>
      </c>
      <c r="G141" s="2">
        <v>92.776250000000005</v>
      </c>
      <c r="H141" s="2">
        <v>-105.38</v>
      </c>
      <c r="I141" s="1">
        <v>0.90169660678642705</v>
      </c>
      <c r="J141" s="1">
        <v>0.95626750836721297</v>
      </c>
      <c r="K141" s="1">
        <v>0.71762887183523505</v>
      </c>
      <c r="L141" s="1">
        <v>0.64033524331840497</v>
      </c>
      <c r="P141" s="1">
        <f>I141-'Passo 2'!I141</f>
        <v>2.5383073332730932E-3</v>
      </c>
      <c r="Q141" s="1">
        <f>J141-'Passo 2'!J141</f>
        <v>3.3320560614129024E-2</v>
      </c>
      <c r="R141" s="1">
        <f t="shared" si="9"/>
        <v>416.51349999999996</v>
      </c>
      <c r="S141">
        <f t="shared" si="8"/>
        <v>441.72099999999978</v>
      </c>
      <c r="T141" s="1">
        <f t="shared" si="10"/>
        <v>331.48856373587546</v>
      </c>
      <c r="U141" s="1">
        <f t="shared" si="11"/>
        <v>295.78493626412427</v>
      </c>
    </row>
    <row r="142" spans="1:21" x14ac:dyDescent="0.3">
      <c r="A142" t="s">
        <v>57</v>
      </c>
      <c r="B142" t="s">
        <v>111</v>
      </c>
      <c r="C142" t="s">
        <v>580</v>
      </c>
      <c r="D142" t="s">
        <v>581</v>
      </c>
      <c r="E142" s="2">
        <v>52.466000000000001</v>
      </c>
      <c r="F142" s="2">
        <v>0</v>
      </c>
      <c r="G142" s="2">
        <v>13.106</v>
      </c>
      <c r="H142" s="2">
        <v>-13.095499999999999</v>
      </c>
      <c r="I142" s="1">
        <v>0.99959974078450797</v>
      </c>
      <c r="J142" s="1">
        <v>0.99919948156901595</v>
      </c>
      <c r="K142" s="1">
        <v>0.80549421388263498</v>
      </c>
      <c r="L142" s="1">
        <v>0.69330500847088805</v>
      </c>
      <c r="P142" s="1">
        <f>I142-'Passo 2'!I142</f>
        <v>4.0216521175620024E-3</v>
      </c>
      <c r="Q142" s="1">
        <f>J142-'Passo 2'!J142</f>
        <v>2.0203560401029774E-3</v>
      </c>
      <c r="R142" s="1">
        <f t="shared" si="9"/>
        <v>52.444999999999993</v>
      </c>
      <c r="S142">
        <f t="shared" si="8"/>
        <v>52.423999999999992</v>
      </c>
      <c r="T142" s="1">
        <f t="shared" si="10"/>
        <v>42.26105942556633</v>
      </c>
      <c r="U142" s="1">
        <f t="shared" si="11"/>
        <v>36.374940574433616</v>
      </c>
    </row>
    <row r="143" spans="1:21" x14ac:dyDescent="0.3">
      <c r="A143" t="s">
        <v>57</v>
      </c>
      <c r="B143" t="s">
        <v>112</v>
      </c>
      <c r="C143" t="s">
        <v>580</v>
      </c>
      <c r="D143" t="s">
        <v>581</v>
      </c>
      <c r="E143" s="2">
        <v>255.53</v>
      </c>
      <c r="F143" s="2">
        <v>0</v>
      </c>
      <c r="G143" s="2">
        <v>48.191499999999998</v>
      </c>
      <c r="H143" s="2">
        <v>-61.471249999999998</v>
      </c>
      <c r="I143" s="1">
        <v>0.877188588424059</v>
      </c>
      <c r="J143" s="1">
        <v>0.98112746057214395</v>
      </c>
      <c r="K143" s="1">
        <v>0.68680028402797999</v>
      </c>
      <c r="L143" s="1">
        <v>0.67151576496822296</v>
      </c>
      <c r="P143" s="1">
        <f>I143-'Passo 2'!I143</f>
        <v>2.7515360231675001E-2</v>
      </c>
      <c r="Q143" s="1">
        <f>J143-'Passo 2'!J143</f>
        <v>0.12115798536375399</v>
      </c>
      <c r="R143" s="1">
        <f t="shared" si="9"/>
        <v>224.1479999999998</v>
      </c>
      <c r="S143">
        <f t="shared" si="8"/>
        <v>250.70749999999995</v>
      </c>
      <c r="T143" s="1">
        <f t="shared" si="10"/>
        <v>175.49807657766974</v>
      </c>
      <c r="U143" s="1">
        <f t="shared" si="11"/>
        <v>171.59242342233</v>
      </c>
    </row>
    <row r="144" spans="1:21" x14ac:dyDescent="0.3">
      <c r="A144" t="s">
        <v>57</v>
      </c>
      <c r="B144" t="s">
        <v>113</v>
      </c>
      <c r="C144" t="s">
        <v>580</v>
      </c>
      <c r="D144" t="s">
        <v>581</v>
      </c>
      <c r="E144" s="2">
        <v>238.577</v>
      </c>
      <c r="F144" s="2">
        <v>0</v>
      </c>
      <c r="G144" s="2">
        <v>47.990250000000003</v>
      </c>
      <c r="H144" s="2">
        <v>-48.59075</v>
      </c>
      <c r="I144" s="1">
        <v>0.90230407792871903</v>
      </c>
      <c r="J144" s="1">
        <v>0.90733809210443495</v>
      </c>
      <c r="K144" s="1">
        <v>0.70358121677568497</v>
      </c>
      <c r="L144" s="1">
        <v>0.60606095325747</v>
      </c>
      <c r="P144" s="1">
        <f>I144-'Passo 2'!I144</f>
        <v>8.538123959979993E-3</v>
      </c>
      <c r="Q144" s="1">
        <f>J144-'Passo 2'!J144</f>
        <v>6.2579376888799443E-3</v>
      </c>
      <c r="R144" s="1">
        <f t="shared" si="9"/>
        <v>215.26900000000001</v>
      </c>
      <c r="S144">
        <f t="shared" si="8"/>
        <v>216.46999999999977</v>
      </c>
      <c r="T144" s="1">
        <f t="shared" si="10"/>
        <v>167.85829595469258</v>
      </c>
      <c r="U144" s="1">
        <f t="shared" si="11"/>
        <v>144.59220404530743</v>
      </c>
    </row>
    <row r="145" spans="1:21" x14ac:dyDescent="0.3">
      <c r="A145" t="s">
        <v>57</v>
      </c>
      <c r="B145" t="s">
        <v>114</v>
      </c>
      <c r="C145" t="s">
        <v>580</v>
      </c>
      <c r="D145" t="s">
        <v>581</v>
      </c>
      <c r="E145" s="2">
        <v>570.76800000000003</v>
      </c>
      <c r="F145" s="2">
        <v>0</v>
      </c>
      <c r="G145" s="2">
        <v>124.90825</v>
      </c>
      <c r="H145" s="2">
        <v>-124.33125</v>
      </c>
      <c r="I145" s="1">
        <v>0.93768483867350605</v>
      </c>
      <c r="J145" s="1">
        <v>0.93566300142965197</v>
      </c>
      <c r="K145" s="1">
        <v>0.82082412276443295</v>
      </c>
      <c r="L145" s="1">
        <v>0.55252371733872596</v>
      </c>
      <c r="P145" s="1">
        <f>I145-'Passo 2'!I145</f>
        <v>0.12414063157009503</v>
      </c>
      <c r="Q145" s="1">
        <f>J145-'Passo 2'!J145</f>
        <v>6.4211728758439834E-3</v>
      </c>
      <c r="R145" s="1">
        <f t="shared" si="9"/>
        <v>535.20049999999969</v>
      </c>
      <c r="S145">
        <f t="shared" si="8"/>
        <v>534.04649999999958</v>
      </c>
      <c r="T145" s="1">
        <f t="shared" si="10"/>
        <v>468.50014290200988</v>
      </c>
      <c r="U145" s="1">
        <f t="shared" si="11"/>
        <v>315.36285709798995</v>
      </c>
    </row>
    <row r="146" spans="1:21" x14ac:dyDescent="0.3">
      <c r="A146" t="s">
        <v>57</v>
      </c>
      <c r="B146" t="s">
        <v>630</v>
      </c>
      <c r="C146" t="s">
        <v>580</v>
      </c>
      <c r="D146" t="s">
        <v>581</v>
      </c>
      <c r="E146" s="2">
        <v>627.79499999999996</v>
      </c>
      <c r="F146" s="2">
        <v>0</v>
      </c>
      <c r="G146" s="2">
        <v>126.62875</v>
      </c>
      <c r="H146" s="2">
        <v>-140.696</v>
      </c>
      <c r="I146" s="1">
        <v>0.90340795960464804</v>
      </c>
      <c r="J146" s="1">
        <v>0.94822274787151795</v>
      </c>
      <c r="K146" s="1">
        <v>0.65305992669159596</v>
      </c>
      <c r="L146" s="1">
        <v>0.69857078078457002</v>
      </c>
      <c r="P146" s="1">
        <f>I146-'Passo 2'!I146</f>
        <v>3.5436726957048026E-2</v>
      </c>
      <c r="Q146" s="1">
        <f>J146-'Passo 2'!J146</f>
        <v>5.1527966931880997E-2</v>
      </c>
      <c r="R146" s="1">
        <f t="shared" si="9"/>
        <v>567.15499999999997</v>
      </c>
      <c r="S146">
        <f t="shared" si="8"/>
        <v>595.28949999999952</v>
      </c>
      <c r="T146" s="1">
        <f t="shared" si="10"/>
        <v>409.98775667735043</v>
      </c>
      <c r="U146" s="1">
        <f t="shared" si="11"/>
        <v>438.55924332264908</v>
      </c>
    </row>
    <row r="147" spans="1:21" x14ac:dyDescent="0.3">
      <c r="A147" t="s">
        <v>57</v>
      </c>
      <c r="B147" t="s">
        <v>631</v>
      </c>
      <c r="C147" t="s">
        <v>580</v>
      </c>
      <c r="D147" t="s">
        <v>581</v>
      </c>
      <c r="E147" s="2">
        <v>165.36600000000001</v>
      </c>
      <c r="F147" s="2">
        <v>0</v>
      </c>
      <c r="G147" s="2">
        <v>36.427500000000002</v>
      </c>
      <c r="H147" s="2">
        <v>-39.636749999999999</v>
      </c>
      <c r="I147" s="1">
        <v>0.94056819418743798</v>
      </c>
      <c r="J147" s="1">
        <v>0.97938209789194797</v>
      </c>
      <c r="K147" s="1">
        <v>0.83308060304745901</v>
      </c>
      <c r="L147" s="1">
        <v>0.58686968903192804</v>
      </c>
      <c r="P147" s="1">
        <f>I147-'Passo 2'!I147</f>
        <v>7.1278255505968002E-2</v>
      </c>
      <c r="Q147" s="1">
        <f>J147-'Passo 2'!J147</f>
        <v>4.1096718793463993E-2</v>
      </c>
      <c r="R147" s="1">
        <f t="shared" si="9"/>
        <v>155.53799999999987</v>
      </c>
      <c r="S147">
        <f t="shared" si="8"/>
        <v>161.95649999999989</v>
      </c>
      <c r="T147" s="1">
        <f t="shared" si="10"/>
        <v>137.76320700354611</v>
      </c>
      <c r="U147" s="1">
        <f t="shared" si="11"/>
        <v>97.048292996453824</v>
      </c>
    </row>
    <row r="148" spans="1:21" x14ac:dyDescent="0.3">
      <c r="A148" t="s">
        <v>57</v>
      </c>
      <c r="B148" t="s">
        <v>632</v>
      </c>
      <c r="C148" t="s">
        <v>580</v>
      </c>
      <c r="D148" t="s">
        <v>581</v>
      </c>
      <c r="E148" s="2">
        <v>381.9</v>
      </c>
      <c r="F148" s="2">
        <v>0.247</v>
      </c>
      <c r="G148" s="2">
        <v>85.886499999999998</v>
      </c>
      <c r="H148" s="2">
        <v>-70.263249999999999</v>
      </c>
      <c r="I148" s="1">
        <v>0.94946190102120898</v>
      </c>
      <c r="J148" s="1">
        <v>0.86764336213668403</v>
      </c>
      <c r="K148" s="1">
        <v>0.69504551328027997</v>
      </c>
      <c r="L148" s="1">
        <v>0.62238313296219105</v>
      </c>
      <c r="P148" s="1">
        <f>I148-'Passo 2'!I148</f>
        <v>9.6077507200837964E-2</v>
      </c>
      <c r="Q148" s="1">
        <f>J148-'Passo 2'!J148</f>
        <v>2.3915946582874992E-2</v>
      </c>
      <c r="R148" s="1">
        <f t="shared" si="9"/>
        <v>362.59949999999969</v>
      </c>
      <c r="S148">
        <f t="shared" si="8"/>
        <v>331.35299999999961</v>
      </c>
      <c r="T148" s="1">
        <f t="shared" si="10"/>
        <v>265.43788152173892</v>
      </c>
      <c r="U148" s="1">
        <f t="shared" si="11"/>
        <v>237.68811847826075</v>
      </c>
    </row>
    <row r="149" spans="1:21" x14ac:dyDescent="0.3">
      <c r="A149" t="s">
        <v>57</v>
      </c>
      <c r="B149" t="s">
        <v>633</v>
      </c>
      <c r="C149" t="s">
        <v>580</v>
      </c>
      <c r="D149" t="s">
        <v>581</v>
      </c>
      <c r="E149" s="2">
        <v>103.041</v>
      </c>
      <c r="F149" s="2">
        <v>0</v>
      </c>
      <c r="G149" s="2">
        <v>21.004750000000001</v>
      </c>
      <c r="H149" s="2">
        <v>-23.84075</v>
      </c>
      <c r="I149" s="1">
        <v>0.90769693617103797</v>
      </c>
      <c r="J149" s="1">
        <v>0.96274298580176798</v>
      </c>
      <c r="K149" s="1">
        <v>0.76638057676690097</v>
      </c>
      <c r="L149" s="1">
        <v>0.60405934520590499</v>
      </c>
      <c r="P149" s="1">
        <f>I149-'Passo 2'!I149</f>
        <v>8.1059966421133001E-2</v>
      </c>
      <c r="Q149" s="1">
        <f>J149-'Passo 2'!J149</f>
        <v>1.0020283188245993E-2</v>
      </c>
      <c r="R149" s="1">
        <f t="shared" si="9"/>
        <v>93.529999999999916</v>
      </c>
      <c r="S149">
        <f t="shared" si="8"/>
        <v>99.20199999999997</v>
      </c>
      <c r="T149" s="1">
        <f t="shared" si="10"/>
        <v>78.968621010638245</v>
      </c>
      <c r="U149" s="1">
        <f t="shared" si="11"/>
        <v>62.242878989361657</v>
      </c>
    </row>
    <row r="150" spans="1:21" x14ac:dyDescent="0.3">
      <c r="A150" t="s">
        <v>57</v>
      </c>
      <c r="B150" t="s">
        <v>634</v>
      </c>
      <c r="C150" t="s">
        <v>580</v>
      </c>
      <c r="D150" t="s">
        <v>581</v>
      </c>
      <c r="E150" s="2">
        <v>198.291</v>
      </c>
      <c r="F150" s="2">
        <v>0</v>
      </c>
      <c r="G150" s="2">
        <v>36.039249999999903</v>
      </c>
      <c r="H150" s="2">
        <v>-37.262</v>
      </c>
      <c r="I150" s="1">
        <v>0.86349859549853403</v>
      </c>
      <c r="J150" s="1">
        <v>0.87583147999656996</v>
      </c>
      <c r="K150" s="1">
        <v>0.62854295584518605</v>
      </c>
      <c r="L150" s="1">
        <v>0.61078711964991905</v>
      </c>
      <c r="P150" s="1">
        <f>I150-'Passo 2'!I150</f>
        <v>6.2688170416206002E-2</v>
      </c>
      <c r="Q150" s="1">
        <f>J150-'Passo 2'!J150</f>
        <v>5.5885037646690949E-2</v>
      </c>
      <c r="R150" s="1">
        <f t="shared" si="9"/>
        <v>171.22399999999982</v>
      </c>
      <c r="S150">
        <f t="shared" si="8"/>
        <v>173.66949999999986</v>
      </c>
      <c r="T150" s="1">
        <f t="shared" si="10"/>
        <v>124.63441125749779</v>
      </c>
      <c r="U150" s="1">
        <f t="shared" si="11"/>
        <v>121.1135887425021</v>
      </c>
    </row>
    <row r="151" spans="1:21" x14ac:dyDescent="0.3">
      <c r="A151" t="s">
        <v>57</v>
      </c>
      <c r="B151" t="s">
        <v>115</v>
      </c>
      <c r="C151" t="s">
        <v>34</v>
      </c>
      <c r="D151" t="s">
        <v>35</v>
      </c>
      <c r="E151" s="2">
        <v>179.97399999999999</v>
      </c>
      <c r="F151" s="2">
        <v>0</v>
      </c>
      <c r="G151" s="2">
        <v>43.924749999999896</v>
      </c>
      <c r="H151" s="2">
        <v>-43.726249999999901</v>
      </c>
      <c r="I151" s="1">
        <v>0.98812328447442399</v>
      </c>
      <c r="J151" s="1">
        <v>0.98591741029259705</v>
      </c>
      <c r="K151" s="1">
        <v>0.87235915985239598</v>
      </c>
      <c r="L151" s="1">
        <v>0.60168153491462595</v>
      </c>
      <c r="P151" s="1">
        <f>I151-'Passo 2'!I151</f>
        <v>2.8348539233444936E-2</v>
      </c>
      <c r="Q151" s="1">
        <f>J151-'Passo 2'!J151</f>
        <v>7.2743840777001023E-2</v>
      </c>
      <c r="R151" s="1">
        <f t="shared" si="9"/>
        <v>177.83649999999997</v>
      </c>
      <c r="S151">
        <f t="shared" si="8"/>
        <v>177.43949999999984</v>
      </c>
      <c r="T151" s="1">
        <f t="shared" si="10"/>
        <v>157.00196743527511</v>
      </c>
      <c r="U151" s="1">
        <f t="shared" si="11"/>
        <v>108.28703256472488</v>
      </c>
    </row>
    <row r="152" spans="1:21" x14ac:dyDescent="0.3">
      <c r="A152" t="s">
        <v>57</v>
      </c>
      <c r="B152" t="s">
        <v>635</v>
      </c>
      <c r="C152" t="s">
        <v>580</v>
      </c>
      <c r="D152" t="s">
        <v>581</v>
      </c>
      <c r="E152" s="2">
        <v>191.34200000000001</v>
      </c>
      <c r="F152" s="2">
        <v>0</v>
      </c>
      <c r="G152" s="2">
        <v>44.995999999999903</v>
      </c>
      <c r="H152" s="2">
        <v>-41.797750000000001</v>
      </c>
      <c r="I152" s="1">
        <v>0.97032015971401897</v>
      </c>
      <c r="J152" s="1">
        <v>0.93689048928097296</v>
      </c>
      <c r="K152" s="1">
        <v>0.84594406755162299</v>
      </c>
      <c r="L152" s="1">
        <v>0.56126658144336905</v>
      </c>
      <c r="P152" s="1">
        <f>I152-'Passo 2'!I152</f>
        <v>9.9298638040780096E-3</v>
      </c>
      <c r="Q152" s="1">
        <f>J152-'Passo 2'!J152</f>
        <v>0.10395783466254194</v>
      </c>
      <c r="R152" s="1">
        <f t="shared" si="9"/>
        <v>185.66299999999984</v>
      </c>
      <c r="S152">
        <f t="shared" si="8"/>
        <v>179.26649999999995</v>
      </c>
      <c r="T152" s="1">
        <f t="shared" si="10"/>
        <v>161.86462977346267</v>
      </c>
      <c r="U152" s="1">
        <f t="shared" si="11"/>
        <v>107.39387022653713</v>
      </c>
    </row>
    <row r="153" spans="1:21" x14ac:dyDescent="0.3">
      <c r="A153" t="s">
        <v>57</v>
      </c>
      <c r="B153" t="s">
        <v>116</v>
      </c>
      <c r="C153" t="s">
        <v>580</v>
      </c>
      <c r="D153" t="s">
        <v>581</v>
      </c>
      <c r="E153" s="2">
        <v>66.721999999999994</v>
      </c>
      <c r="F153" s="2">
        <v>0</v>
      </c>
      <c r="G153" s="2">
        <v>16.531499999999902</v>
      </c>
      <c r="H153" s="2">
        <v>-16.648250000000001</v>
      </c>
      <c r="I153" s="1">
        <v>0.99553370702317001</v>
      </c>
      <c r="J153" s="1">
        <v>0.99903330235904197</v>
      </c>
      <c r="K153" s="1">
        <v>0.81011796097048605</v>
      </c>
      <c r="L153" s="1">
        <v>0.68444904841172605</v>
      </c>
      <c r="P153" s="1">
        <f>I153-'Passo 2'!I153</f>
        <v>5.6203351218497843E-4</v>
      </c>
      <c r="Q153" s="1">
        <f>J153-'Passo 2'!J153</f>
        <v>1.2139923863193958E-2</v>
      </c>
      <c r="R153" s="1">
        <f t="shared" si="9"/>
        <v>66.42399999999995</v>
      </c>
      <c r="S153">
        <f t="shared" si="8"/>
        <v>66.657499999999999</v>
      </c>
      <c r="T153" s="1">
        <f t="shared" si="10"/>
        <v>54.052690591872768</v>
      </c>
      <c r="U153" s="1">
        <f t="shared" si="11"/>
        <v>45.667809408127184</v>
      </c>
    </row>
    <row r="154" spans="1:21" x14ac:dyDescent="0.3">
      <c r="A154" t="s">
        <v>57</v>
      </c>
      <c r="B154" t="s">
        <v>117</v>
      </c>
      <c r="C154" t="s">
        <v>34</v>
      </c>
      <c r="D154" t="s">
        <v>35</v>
      </c>
      <c r="E154" s="2">
        <v>80.042000000000002</v>
      </c>
      <c r="F154" s="2">
        <v>0</v>
      </c>
      <c r="G154" s="2">
        <v>18.783249999999999</v>
      </c>
      <c r="H154" s="2">
        <v>-18.685500000000001</v>
      </c>
      <c r="I154" s="1">
        <v>0.96933484920416702</v>
      </c>
      <c r="J154" s="1">
        <v>0.96689238149971202</v>
      </c>
      <c r="K154" s="1">
        <v>0.86891767289405997</v>
      </c>
      <c r="L154" s="1">
        <v>0.56730955780981895</v>
      </c>
      <c r="P154" s="1">
        <f>I154-'Passo 2'!I154</f>
        <v>-9.5762224831970055E-3</v>
      </c>
      <c r="Q154" s="1">
        <f>J154-'Passo 2'!J154</f>
        <v>3.0802578646210055E-2</v>
      </c>
      <c r="R154" s="1">
        <f t="shared" si="9"/>
        <v>77.587499999999935</v>
      </c>
      <c r="S154">
        <f t="shared" si="8"/>
        <v>77.391999999999953</v>
      </c>
      <c r="T154" s="1">
        <f t="shared" si="10"/>
        <v>69.549908373786351</v>
      </c>
      <c r="U154" s="1">
        <f t="shared" si="11"/>
        <v>45.408591626213529</v>
      </c>
    </row>
    <row r="155" spans="1:21" x14ac:dyDescent="0.3">
      <c r="A155" t="s">
        <v>57</v>
      </c>
      <c r="B155" t="s">
        <v>118</v>
      </c>
      <c r="C155" t="s">
        <v>580</v>
      </c>
      <c r="D155" t="s">
        <v>35</v>
      </c>
      <c r="E155" s="2">
        <v>340.36799999999999</v>
      </c>
      <c r="F155" s="2">
        <v>0</v>
      </c>
      <c r="G155" s="2">
        <v>79.946749999999994</v>
      </c>
      <c r="H155" s="2">
        <v>-79.792749999999998</v>
      </c>
      <c r="I155" s="1">
        <v>0.96976654679640795</v>
      </c>
      <c r="J155" s="1">
        <v>0.96886164386781304</v>
      </c>
      <c r="K155" s="1">
        <v>0.72215519703725894</v>
      </c>
      <c r="L155" s="1">
        <v>0.71647299362696204</v>
      </c>
      <c r="P155" s="1">
        <f>I155-'Passo 2'!I155</f>
        <v>5.6350773280683941E-2</v>
      </c>
      <c r="Q155" s="1">
        <f>J155-'Passo 2'!J155</f>
        <v>0</v>
      </c>
      <c r="R155" s="1">
        <f t="shared" si="9"/>
        <v>330.07749999999976</v>
      </c>
      <c r="S155">
        <f t="shared" si="8"/>
        <v>329.76949999999977</v>
      </c>
      <c r="T155" s="1">
        <f t="shared" si="10"/>
        <v>245.79852010517774</v>
      </c>
      <c r="U155" s="1">
        <f t="shared" si="11"/>
        <v>243.86447989482181</v>
      </c>
    </row>
    <row r="156" spans="1:21" x14ac:dyDescent="0.3">
      <c r="A156" t="s">
        <v>57</v>
      </c>
      <c r="B156" t="s">
        <v>119</v>
      </c>
      <c r="C156" t="s">
        <v>580</v>
      </c>
      <c r="D156" t="s">
        <v>581</v>
      </c>
      <c r="E156" s="2">
        <v>148.60900000000001</v>
      </c>
      <c r="F156" s="2">
        <v>0</v>
      </c>
      <c r="G156" s="2">
        <v>35.103749999999998</v>
      </c>
      <c r="H156" s="2">
        <v>-34.091999999999999</v>
      </c>
      <c r="I156" s="1">
        <v>0.97243101023491096</v>
      </c>
      <c r="J156" s="1">
        <v>0.95881474204119499</v>
      </c>
      <c r="K156" s="1">
        <v>0.74249689150833198</v>
      </c>
      <c r="L156" s="1">
        <v>0.68874886076777397</v>
      </c>
      <c r="P156" s="1">
        <f>I156-'Passo 2'!I156</f>
        <v>4.0566183743917961E-2</v>
      </c>
      <c r="Q156" s="1">
        <f>J156-'Passo 2'!J156</f>
        <v>2.4551002967518998E-2</v>
      </c>
      <c r="R156" s="1">
        <f t="shared" si="9"/>
        <v>144.51199999999989</v>
      </c>
      <c r="S156">
        <f t="shared" si="8"/>
        <v>142.48849999999996</v>
      </c>
      <c r="T156" s="1">
        <f t="shared" si="10"/>
        <v>110.34172055016171</v>
      </c>
      <c r="U156" s="1">
        <f t="shared" si="11"/>
        <v>102.35427944983813</v>
      </c>
    </row>
    <row r="157" spans="1:21" x14ac:dyDescent="0.3">
      <c r="A157" t="s">
        <v>57</v>
      </c>
      <c r="B157" t="s">
        <v>120</v>
      </c>
      <c r="C157" t="s">
        <v>580</v>
      </c>
      <c r="D157" t="s">
        <v>581</v>
      </c>
      <c r="E157" s="2">
        <v>40.722000000000001</v>
      </c>
      <c r="F157" s="2">
        <v>0</v>
      </c>
      <c r="G157" s="2">
        <v>9.9362499999999994</v>
      </c>
      <c r="H157" s="2">
        <v>-8.5762499999999999</v>
      </c>
      <c r="I157" s="1">
        <v>0.98800402730710601</v>
      </c>
      <c r="J157" s="1">
        <v>0.92120966553705597</v>
      </c>
      <c r="K157" s="1">
        <v>0.79840823182671194</v>
      </c>
      <c r="L157" s="1">
        <v>0.61080546101745004</v>
      </c>
      <c r="P157" s="1">
        <f>I157-'Passo 2'!I157</f>
        <v>3.7743725750208013E-2</v>
      </c>
      <c r="Q157" s="1">
        <f>J157-'Passo 2'!J157</f>
        <v>1.2008251068219011E-2</v>
      </c>
      <c r="R157" s="1">
        <f t="shared" si="9"/>
        <v>40.233499999999971</v>
      </c>
      <c r="S157">
        <f t="shared" si="8"/>
        <v>37.513499999999993</v>
      </c>
      <c r="T157" s="1">
        <f t="shared" si="10"/>
        <v>32.512780016447365</v>
      </c>
      <c r="U157" s="1">
        <f t="shared" si="11"/>
        <v>24.873219983552602</v>
      </c>
    </row>
    <row r="158" spans="1:21" x14ac:dyDescent="0.3">
      <c r="A158" t="s">
        <v>57</v>
      </c>
      <c r="B158" t="s">
        <v>121</v>
      </c>
      <c r="C158" t="s">
        <v>34</v>
      </c>
      <c r="D158" t="s">
        <v>35</v>
      </c>
      <c r="E158" s="2">
        <v>442.23899999999998</v>
      </c>
      <c r="F158" s="2">
        <v>0</v>
      </c>
      <c r="G158" s="2">
        <v>108.9255</v>
      </c>
      <c r="H158" s="2">
        <v>-109.20625</v>
      </c>
      <c r="I158" s="1">
        <v>0.99260920000271302</v>
      </c>
      <c r="J158" s="1">
        <v>0.99387887544969999</v>
      </c>
      <c r="K158" s="1">
        <v>0.87229016325395503</v>
      </c>
      <c r="L158" s="1">
        <v>0.61419791219845798</v>
      </c>
      <c r="P158" s="1">
        <f>I158-'Passo 2'!I158</f>
        <v>2.6253903432307046E-2</v>
      </c>
      <c r="Q158" s="1">
        <f>J158-'Passo 2'!J158</f>
        <v>1.6744339599179536E-3</v>
      </c>
      <c r="R158" s="1">
        <f t="shared" si="9"/>
        <v>438.97049999999979</v>
      </c>
      <c r="S158">
        <f t="shared" si="8"/>
        <v>439.53199999999987</v>
      </c>
      <c r="T158" s="1">
        <f t="shared" si="10"/>
        <v>385.76072950726581</v>
      </c>
      <c r="U158" s="1">
        <f t="shared" si="11"/>
        <v>271.62227049273383</v>
      </c>
    </row>
    <row r="159" spans="1:21" x14ac:dyDescent="0.3">
      <c r="A159" t="s">
        <v>57</v>
      </c>
      <c r="B159" t="s">
        <v>122</v>
      </c>
      <c r="C159" t="s">
        <v>34</v>
      </c>
      <c r="D159" t="s">
        <v>35</v>
      </c>
      <c r="E159" s="2">
        <v>237.376</v>
      </c>
      <c r="F159" s="2">
        <v>0</v>
      </c>
      <c r="G159" s="2">
        <v>59.344000000000001</v>
      </c>
      <c r="H159" s="2">
        <v>-58.780749999999998</v>
      </c>
      <c r="I159" s="1">
        <v>1</v>
      </c>
      <c r="J159" s="1">
        <v>0.995254364383931</v>
      </c>
      <c r="K159" s="1">
        <v>0.89967217688936596</v>
      </c>
      <c r="L159" s="1">
        <v>0.59558218749456404</v>
      </c>
      <c r="P159" s="1">
        <f>I159-'Passo 2'!I159</f>
        <v>4.6744405500135033E-2</v>
      </c>
      <c r="Q159" s="1">
        <f>J159-'Passo 2'!J159</f>
        <v>2.9796609598275015E-2</v>
      </c>
      <c r="R159" s="1">
        <f t="shared" si="9"/>
        <v>237.376</v>
      </c>
      <c r="S159">
        <f t="shared" si="8"/>
        <v>236.24950000000001</v>
      </c>
      <c r="T159" s="1">
        <f t="shared" si="10"/>
        <v>213.56058266129014</v>
      </c>
      <c r="U159" s="1">
        <f t="shared" si="11"/>
        <v>141.37691733870963</v>
      </c>
    </row>
    <row r="160" spans="1:21" x14ac:dyDescent="0.3">
      <c r="A160" t="s">
        <v>57</v>
      </c>
      <c r="B160" t="s">
        <v>123</v>
      </c>
      <c r="C160" t="s">
        <v>34</v>
      </c>
      <c r="D160" t="s">
        <v>35</v>
      </c>
      <c r="E160" s="2">
        <v>98.765000000000001</v>
      </c>
      <c r="F160" s="2">
        <v>0</v>
      </c>
      <c r="G160" s="2">
        <v>20.651999999999902</v>
      </c>
      <c r="H160" s="2">
        <v>-22.22</v>
      </c>
      <c r="I160" s="1">
        <v>0.91820482964612904</v>
      </c>
      <c r="J160" s="1">
        <v>0.94995696856173695</v>
      </c>
      <c r="K160" s="1">
        <v>0.837565417649758</v>
      </c>
      <c r="L160" s="1">
        <v>0.53059638055810798</v>
      </c>
      <c r="P160" s="1">
        <f>I160-'Passo 2'!I160</f>
        <v>1.0514858502505997E-2</v>
      </c>
      <c r="Q160" s="1">
        <f>J160-'Passo 2'!J160</f>
        <v>3.4652964106717921E-2</v>
      </c>
      <c r="R160" s="1">
        <f t="shared" si="9"/>
        <v>90.686499999999938</v>
      </c>
      <c r="S160">
        <f t="shared" si="8"/>
        <v>93.822499999999948</v>
      </c>
      <c r="T160" s="1">
        <f t="shared" si="10"/>
        <v>82.722148474178354</v>
      </c>
      <c r="U160" s="1">
        <f t="shared" si="11"/>
        <v>52.404351525821532</v>
      </c>
    </row>
    <row r="161" spans="1:21" x14ac:dyDescent="0.3">
      <c r="A161" t="s">
        <v>57</v>
      </c>
      <c r="B161" t="s">
        <v>124</v>
      </c>
      <c r="C161" t="s">
        <v>34</v>
      </c>
      <c r="D161" t="s">
        <v>35</v>
      </c>
      <c r="E161" s="2">
        <v>164.517</v>
      </c>
      <c r="F161" s="2">
        <v>0</v>
      </c>
      <c r="G161" s="2">
        <v>40.658000000000001</v>
      </c>
      <c r="H161" s="2">
        <v>-40.998249999999999</v>
      </c>
      <c r="I161" s="1">
        <v>0.99427110876079605</v>
      </c>
      <c r="J161" s="1">
        <v>0.99840745941148901</v>
      </c>
      <c r="K161" s="1">
        <v>0.86138067652163397</v>
      </c>
      <c r="L161" s="1">
        <v>0.63129789165065098</v>
      </c>
      <c r="P161" s="1">
        <f>I161-'Passo 2'!I161</f>
        <v>1.4065415732113062E-2</v>
      </c>
      <c r="Q161" s="1">
        <f>J161-'Passo 2'!J161</f>
        <v>2.8793376976239959E-2</v>
      </c>
      <c r="R161" s="1">
        <f t="shared" si="9"/>
        <v>163.57449999999989</v>
      </c>
      <c r="S161">
        <f t="shared" si="8"/>
        <v>164.25499999999994</v>
      </c>
      <c r="T161" s="1">
        <f t="shared" si="10"/>
        <v>141.71176475930966</v>
      </c>
      <c r="U161" s="1">
        <f t="shared" si="11"/>
        <v>103.85923524069014</v>
      </c>
    </row>
    <row r="162" spans="1:21" x14ac:dyDescent="0.3">
      <c r="A162" t="s">
        <v>57</v>
      </c>
      <c r="B162" t="s">
        <v>125</v>
      </c>
      <c r="C162" t="s">
        <v>34</v>
      </c>
      <c r="D162" t="s">
        <v>35</v>
      </c>
      <c r="E162" s="2">
        <v>635.62199999999996</v>
      </c>
      <c r="F162" s="2">
        <v>0</v>
      </c>
      <c r="G162" s="2">
        <v>158.04400000000001</v>
      </c>
      <c r="H162" s="2">
        <v>-157.83475000000001</v>
      </c>
      <c r="I162" s="1">
        <v>0.99728926940854701</v>
      </c>
      <c r="J162" s="1">
        <v>0.99663085922136097</v>
      </c>
      <c r="K162" s="1">
        <v>0.93080071464640601</v>
      </c>
      <c r="L162" s="1">
        <v>0.56311941398350196</v>
      </c>
      <c r="P162" s="1">
        <f>I162-'Passo 2'!I162</f>
        <v>6.3323799365000433E-4</v>
      </c>
      <c r="Q162" s="1">
        <f>J162-'Passo 2'!J162</f>
        <v>7.1838293828721977E-2</v>
      </c>
      <c r="R162" s="1">
        <f t="shared" si="9"/>
        <v>633.89899999999943</v>
      </c>
      <c r="S162">
        <f t="shared" si="8"/>
        <v>633.48049999999989</v>
      </c>
      <c r="T162" s="1">
        <f t="shared" si="10"/>
        <v>591.63741184497781</v>
      </c>
      <c r="U162" s="1">
        <f t="shared" si="11"/>
        <v>357.93108815502148</v>
      </c>
    </row>
    <row r="163" spans="1:21" x14ac:dyDescent="0.3">
      <c r="A163" t="s">
        <v>57</v>
      </c>
      <c r="B163" t="s">
        <v>636</v>
      </c>
      <c r="C163" t="s">
        <v>34</v>
      </c>
      <c r="D163" t="s">
        <v>35</v>
      </c>
      <c r="E163" s="2">
        <v>598.37599999999998</v>
      </c>
      <c r="F163" s="2">
        <v>0</v>
      </c>
      <c r="G163" s="2">
        <v>149.39275000000001</v>
      </c>
      <c r="H163" s="2">
        <v>-148.20349999999999</v>
      </c>
      <c r="I163" s="1">
        <v>0.99932734601655104</v>
      </c>
      <c r="J163" s="1">
        <v>0.99535242055162598</v>
      </c>
      <c r="K163" s="1">
        <v>0.88235018307577195</v>
      </c>
      <c r="L163" s="1">
        <v>0.61232958349240496</v>
      </c>
      <c r="P163" s="1">
        <f>I163-'Passo 2'!I163</f>
        <v>6.0455299009319896E-3</v>
      </c>
      <c r="Q163" s="1">
        <f>J163-'Passo 2'!J163</f>
        <v>4.8528851424522013E-2</v>
      </c>
      <c r="R163" s="1">
        <f t="shared" si="9"/>
        <v>597.97349999999972</v>
      </c>
      <c r="S163">
        <f t="shared" si="8"/>
        <v>595.59499999999969</v>
      </c>
      <c r="T163" s="1">
        <f t="shared" si="10"/>
        <v>527.97717314814815</v>
      </c>
      <c r="U163" s="1">
        <f t="shared" si="11"/>
        <v>366.40332685185132</v>
      </c>
    </row>
    <row r="164" spans="1:21" x14ac:dyDescent="0.3">
      <c r="A164" t="s">
        <v>57</v>
      </c>
      <c r="B164" t="s">
        <v>126</v>
      </c>
      <c r="C164" t="s">
        <v>34</v>
      </c>
      <c r="D164" t="s">
        <v>35</v>
      </c>
      <c r="E164" s="2">
        <v>666.56399999999996</v>
      </c>
      <c r="F164" s="2">
        <v>0</v>
      </c>
      <c r="G164" s="2">
        <v>165.34375</v>
      </c>
      <c r="H164" s="2">
        <v>-162.08524999999901</v>
      </c>
      <c r="I164" s="1">
        <v>0.99610765057818895</v>
      </c>
      <c r="J164" s="1">
        <v>0.98633064491931699</v>
      </c>
      <c r="K164" s="1">
        <v>0.87040013980114095</v>
      </c>
      <c r="L164" s="1">
        <v>0.61203815569636499</v>
      </c>
      <c r="P164" s="1">
        <f>I164-'Passo 2'!I164</f>
        <v>4.3310169766143991E-2</v>
      </c>
      <c r="Q164" s="1">
        <f>J164-'Passo 2'!J164</f>
        <v>6.2713407864810944E-2</v>
      </c>
      <c r="R164" s="1">
        <f t="shared" si="9"/>
        <v>663.96949999999993</v>
      </c>
      <c r="S164">
        <f t="shared" si="8"/>
        <v>657.45249999999953</v>
      </c>
      <c r="T164" s="1">
        <f t="shared" si="10"/>
        <v>580.17739878640771</v>
      </c>
      <c r="U164" s="1">
        <f t="shared" si="11"/>
        <v>407.96260121359182</v>
      </c>
    </row>
    <row r="165" spans="1:21" x14ac:dyDescent="0.3">
      <c r="A165" t="s">
        <v>57</v>
      </c>
      <c r="B165" t="s">
        <v>127</v>
      </c>
      <c r="C165" t="s">
        <v>580</v>
      </c>
      <c r="D165" t="s">
        <v>581</v>
      </c>
      <c r="E165" s="2">
        <v>148.101</v>
      </c>
      <c r="F165" s="2">
        <v>0</v>
      </c>
      <c r="G165" s="2">
        <v>34.95825</v>
      </c>
      <c r="H165" s="2">
        <v>-33.750500000000002</v>
      </c>
      <c r="I165" s="1">
        <v>0.97208661656572104</v>
      </c>
      <c r="J165" s="1">
        <v>0.95577680096690698</v>
      </c>
      <c r="K165" s="1">
        <v>0.83961862819759803</v>
      </c>
      <c r="L165" s="1">
        <v>0.58824478933503099</v>
      </c>
      <c r="P165" s="1">
        <f>I165-'Passo 2'!I165</f>
        <v>5.4337918042416056E-2</v>
      </c>
      <c r="Q165" s="1">
        <f>J165-'Passo 2'!J165</f>
        <v>2.1019439436601006E-2</v>
      </c>
      <c r="R165" s="1">
        <f t="shared" si="9"/>
        <v>143.96699999999984</v>
      </c>
      <c r="S165">
        <f t="shared" si="8"/>
        <v>141.55149999999989</v>
      </c>
      <c r="T165" s="1">
        <f t="shared" si="10"/>
        <v>124.34835845469246</v>
      </c>
      <c r="U165" s="1">
        <f t="shared" si="11"/>
        <v>87.119641545307431</v>
      </c>
    </row>
    <row r="166" spans="1:21" x14ac:dyDescent="0.3">
      <c r="A166" t="s">
        <v>57</v>
      </c>
      <c r="B166" t="s">
        <v>128</v>
      </c>
      <c r="C166" t="s">
        <v>580</v>
      </c>
      <c r="D166" t="s">
        <v>581</v>
      </c>
      <c r="E166" s="2">
        <v>64.141000000000005</v>
      </c>
      <c r="F166" s="2">
        <v>0</v>
      </c>
      <c r="G166" s="2">
        <v>13.830499999999899</v>
      </c>
      <c r="H166" s="2">
        <v>-13.963249999999899</v>
      </c>
      <c r="I166" s="1">
        <v>0.93125302068879401</v>
      </c>
      <c r="J166" s="1">
        <v>0.93539233875368299</v>
      </c>
      <c r="K166" s="1">
        <v>0.72451848725872803</v>
      </c>
      <c r="L166" s="1">
        <v>0.64212687218374898</v>
      </c>
      <c r="P166" s="1">
        <f>I166-'Passo 2'!I166</f>
        <v>1.160724029871596E-2</v>
      </c>
      <c r="Q166" s="1">
        <f>J166-'Passo 2'!J166</f>
        <v>5.9782354500241941E-2</v>
      </c>
      <c r="R166" s="1">
        <f t="shared" si="9"/>
        <v>59.73149999999994</v>
      </c>
      <c r="S166">
        <f t="shared" si="8"/>
        <v>59.996999999999986</v>
      </c>
      <c r="T166" s="1">
        <f t="shared" si="10"/>
        <v>46.471340291262081</v>
      </c>
      <c r="U166" s="1">
        <f t="shared" si="11"/>
        <v>41.186659708737849</v>
      </c>
    </row>
    <row r="167" spans="1:21" x14ac:dyDescent="0.3">
      <c r="A167" t="s">
        <v>57</v>
      </c>
      <c r="B167" t="s">
        <v>129</v>
      </c>
      <c r="C167" t="s">
        <v>580</v>
      </c>
      <c r="D167" t="s">
        <v>581</v>
      </c>
      <c r="E167" s="2">
        <v>295.49200000000002</v>
      </c>
      <c r="F167" s="2">
        <v>0</v>
      </c>
      <c r="G167" s="2">
        <v>70.322500000000005</v>
      </c>
      <c r="H167" s="2">
        <v>-72.036000000000001</v>
      </c>
      <c r="I167" s="1">
        <v>0.975968892558851</v>
      </c>
      <c r="J167" s="1">
        <v>0.98756649926224704</v>
      </c>
      <c r="K167" s="1">
        <v>0.74992414836347498</v>
      </c>
      <c r="L167" s="1">
        <v>0.71361124345762295</v>
      </c>
      <c r="P167" s="1">
        <f>I167-'Passo 2'!I167</f>
        <v>2.1242537869045952E-2</v>
      </c>
      <c r="Q167" s="1">
        <f>J167-'Passo 2'!J167</f>
        <v>1.7580848212470634E-3</v>
      </c>
      <c r="R167" s="1">
        <f t="shared" si="9"/>
        <v>288.39100000000002</v>
      </c>
      <c r="S167">
        <f t="shared" si="8"/>
        <v>291.81799999999993</v>
      </c>
      <c r="T167" s="1">
        <f t="shared" si="10"/>
        <v>221.59658644821997</v>
      </c>
      <c r="U167" s="1">
        <f t="shared" si="11"/>
        <v>210.86641355177994</v>
      </c>
    </row>
    <row r="168" spans="1:21" x14ac:dyDescent="0.3">
      <c r="A168" t="s">
        <v>57</v>
      </c>
      <c r="B168" t="s">
        <v>637</v>
      </c>
      <c r="C168" t="s">
        <v>34</v>
      </c>
      <c r="D168" t="s">
        <v>35</v>
      </c>
      <c r="E168" s="2">
        <v>599.23800000000006</v>
      </c>
      <c r="F168" s="2">
        <v>0</v>
      </c>
      <c r="G168" s="2">
        <v>149.46924999999999</v>
      </c>
      <c r="H168" s="2">
        <v>-149.2225</v>
      </c>
      <c r="I168" s="1">
        <v>0.99886439111004299</v>
      </c>
      <c r="J168" s="1">
        <v>0.99804084520674596</v>
      </c>
      <c r="K168" s="1">
        <v>0.88115976410804397</v>
      </c>
      <c r="L168" s="1">
        <v>0.61574547220874398</v>
      </c>
      <c r="P168" s="1">
        <f>I168-'Passo 2'!I168</f>
        <v>1.9510611810332978E-2</v>
      </c>
      <c r="Q168" s="1">
        <f>J168-'Passo 2'!J168</f>
        <v>2.7133626372159991E-2</v>
      </c>
      <c r="R168" s="1">
        <f t="shared" si="9"/>
        <v>598.5575</v>
      </c>
      <c r="S168">
        <f t="shared" si="8"/>
        <v>598.06400000000008</v>
      </c>
      <c r="T168" s="1">
        <f t="shared" si="10"/>
        <v>528.0244147245761</v>
      </c>
      <c r="U168" s="1">
        <f t="shared" si="11"/>
        <v>368.97808527542338</v>
      </c>
    </row>
    <row r="169" spans="1:21" x14ac:dyDescent="0.3">
      <c r="A169" t="s">
        <v>57</v>
      </c>
      <c r="B169" t="s">
        <v>638</v>
      </c>
      <c r="C169" t="s">
        <v>580</v>
      </c>
      <c r="D169" t="s">
        <v>581</v>
      </c>
      <c r="E169" s="2">
        <v>0</v>
      </c>
      <c r="F169" s="2">
        <v>0</v>
      </c>
      <c r="G169" s="2">
        <v>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P169" s="1">
        <f>I169-'Passo 2'!I169</f>
        <v>0</v>
      </c>
      <c r="Q169" s="1">
        <f>J169-'Passo 2'!J169</f>
        <v>0</v>
      </c>
      <c r="R169" s="1">
        <f t="shared" si="9"/>
        <v>0</v>
      </c>
      <c r="S169">
        <f t="shared" si="8"/>
        <v>0</v>
      </c>
      <c r="T169" s="1">
        <f t="shared" si="10"/>
        <v>0</v>
      </c>
      <c r="U169" s="1">
        <f t="shared" si="11"/>
        <v>0</v>
      </c>
    </row>
    <row r="170" spans="1:21" x14ac:dyDescent="0.3">
      <c r="A170" t="s">
        <v>57</v>
      </c>
      <c r="B170" t="s">
        <v>130</v>
      </c>
      <c r="C170" t="s">
        <v>34</v>
      </c>
      <c r="D170" t="s">
        <v>35</v>
      </c>
      <c r="E170" s="2">
        <v>81.097999999999999</v>
      </c>
      <c r="F170" s="2">
        <v>0</v>
      </c>
      <c r="G170" s="2">
        <v>20.00525</v>
      </c>
      <c r="H170" s="2">
        <v>-19.754999999999999</v>
      </c>
      <c r="I170" s="1">
        <v>0.993359885570544</v>
      </c>
      <c r="J170" s="1">
        <v>0.98718834003304601</v>
      </c>
      <c r="K170" s="1">
        <v>0.88222124091584098</v>
      </c>
      <c r="L170" s="1">
        <v>0.59832698468774903</v>
      </c>
      <c r="P170" s="1">
        <f>I170-'Passo 2'!I170</f>
        <v>5.561172901921041E-3</v>
      </c>
      <c r="Q170" s="1">
        <f>J170-'Passo 2'!J170</f>
        <v>7.0840218007840461E-3</v>
      </c>
      <c r="R170" s="1">
        <f t="shared" si="9"/>
        <v>80.559499999999971</v>
      </c>
      <c r="S170">
        <f t="shared" si="8"/>
        <v>80.058999999999969</v>
      </c>
      <c r="T170" s="1">
        <f t="shared" si="10"/>
        <v>71.546378195792869</v>
      </c>
      <c r="U170" s="1">
        <f t="shared" si="11"/>
        <v>48.523121804207072</v>
      </c>
    </row>
    <row r="171" spans="1:21" x14ac:dyDescent="0.3">
      <c r="A171" t="s">
        <v>57</v>
      </c>
      <c r="B171" t="s">
        <v>639</v>
      </c>
      <c r="C171" t="s">
        <v>580</v>
      </c>
      <c r="D171" t="s">
        <v>581</v>
      </c>
      <c r="E171" s="2">
        <v>126.643</v>
      </c>
      <c r="F171" s="2">
        <v>0</v>
      </c>
      <c r="G171" s="2">
        <v>29.47</v>
      </c>
      <c r="H171" s="2">
        <v>-27.405749999999902</v>
      </c>
      <c r="I171" s="1">
        <v>0.96540274630259804</v>
      </c>
      <c r="J171" s="1">
        <v>0.93280323428851097</v>
      </c>
      <c r="K171" s="1">
        <v>0.83365612262965705</v>
      </c>
      <c r="L171" s="1">
        <v>0.56454985796145296</v>
      </c>
      <c r="P171" s="1">
        <f>I171-'Passo 2'!I171</f>
        <v>3.7033235157090116E-3</v>
      </c>
      <c r="Q171" s="1">
        <f>J171-'Passo 2'!J171</f>
        <v>2.0234043729222995E-2</v>
      </c>
      <c r="R171" s="1">
        <f t="shared" si="9"/>
        <v>122.26149999999993</v>
      </c>
      <c r="S171">
        <f t="shared" si="8"/>
        <v>118.1329999999999</v>
      </c>
      <c r="T171" s="1">
        <f t="shared" si="10"/>
        <v>105.57671233818766</v>
      </c>
      <c r="U171" s="1">
        <f t="shared" si="11"/>
        <v>71.496287661812289</v>
      </c>
    </row>
    <row r="172" spans="1:21" x14ac:dyDescent="0.3">
      <c r="A172" t="s">
        <v>57</v>
      </c>
      <c r="B172" t="s">
        <v>640</v>
      </c>
      <c r="C172" t="s">
        <v>580</v>
      </c>
      <c r="D172" t="s">
        <v>581</v>
      </c>
      <c r="E172" s="2">
        <v>297.04300000000001</v>
      </c>
      <c r="F172" s="2">
        <v>0</v>
      </c>
      <c r="G172" s="2">
        <v>73.233999999999995</v>
      </c>
      <c r="H172" s="2">
        <v>-73.811750000000004</v>
      </c>
      <c r="I172" s="1">
        <v>0.99308685947825703</v>
      </c>
      <c r="J172" s="1">
        <v>0.99697686866884505</v>
      </c>
      <c r="K172" s="1">
        <v>0.79139630751704704</v>
      </c>
      <c r="L172" s="1">
        <v>0.69866742063005505</v>
      </c>
      <c r="P172" s="1">
        <f>I172-'Passo 2'!I172</f>
        <v>3.1611584854720487E-3</v>
      </c>
      <c r="Q172" s="1">
        <f>J172-'Passo 2'!J172</f>
        <v>2.8952037247109708E-4</v>
      </c>
      <c r="R172" s="1">
        <f t="shared" si="9"/>
        <v>294.98949999999991</v>
      </c>
      <c r="S172">
        <f t="shared" si="8"/>
        <v>296.14499999999975</v>
      </c>
      <c r="T172" s="1">
        <f t="shared" si="10"/>
        <v>235.07873337378621</v>
      </c>
      <c r="U172" s="1">
        <f t="shared" si="11"/>
        <v>207.53426662621345</v>
      </c>
    </row>
    <row r="173" spans="1:21" x14ac:dyDescent="0.3">
      <c r="A173" t="s">
        <v>57</v>
      </c>
      <c r="B173" t="s">
        <v>641</v>
      </c>
      <c r="C173" t="s">
        <v>580</v>
      </c>
      <c r="D173" t="s">
        <v>581</v>
      </c>
      <c r="E173" s="2">
        <v>175.06200000000001</v>
      </c>
      <c r="F173" s="2">
        <v>0</v>
      </c>
      <c r="G173" s="2">
        <v>40.79325</v>
      </c>
      <c r="H173" s="2">
        <v>-41.360999999999997</v>
      </c>
      <c r="I173" s="1">
        <v>0.96604345888885002</v>
      </c>
      <c r="J173" s="1">
        <v>0.97252973232340501</v>
      </c>
      <c r="K173" s="1">
        <v>0.80404232048668201</v>
      </c>
      <c r="L173" s="1">
        <v>0.63453087072557401</v>
      </c>
      <c r="P173" s="1">
        <f>I173-'Passo 2'!I173</f>
        <v>2.4068615690441053E-2</v>
      </c>
      <c r="Q173" s="1">
        <f>J173-'Passo 2'!J173</f>
        <v>2.8981160960117047E-2</v>
      </c>
      <c r="R173" s="1">
        <f t="shared" si="9"/>
        <v>169.11749999999986</v>
      </c>
      <c r="S173">
        <f t="shared" si="8"/>
        <v>170.25299999999993</v>
      </c>
      <c r="T173" s="1">
        <f t="shared" si="10"/>
        <v>140.75725670903952</v>
      </c>
      <c r="U173" s="1">
        <f t="shared" si="11"/>
        <v>111.08224329096045</v>
      </c>
    </row>
    <row r="174" spans="1:21" x14ac:dyDescent="0.3">
      <c r="A174" t="s">
        <v>57</v>
      </c>
      <c r="B174" t="s">
        <v>131</v>
      </c>
      <c r="C174" t="s">
        <v>580</v>
      </c>
      <c r="D174" t="s">
        <v>581</v>
      </c>
      <c r="E174" s="2">
        <v>189.50200000000001</v>
      </c>
      <c r="F174" s="2">
        <v>0</v>
      </c>
      <c r="G174" s="2">
        <v>46.02525</v>
      </c>
      <c r="H174" s="2">
        <v>-44.994999999999997</v>
      </c>
      <c r="I174" s="1">
        <v>0.98574949077054597</v>
      </c>
      <c r="J174" s="1">
        <v>0.97487625460417204</v>
      </c>
      <c r="K174" s="1">
        <v>0.83434910123311101</v>
      </c>
      <c r="L174" s="1">
        <v>0.626276644141607</v>
      </c>
      <c r="P174" s="1">
        <f>I174-'Passo 2'!I174</f>
        <v>2.3601334022860021E-2</v>
      </c>
      <c r="Q174" s="1">
        <f>J174-'Passo 2'!J174</f>
        <v>0</v>
      </c>
      <c r="R174" s="1">
        <f t="shared" si="9"/>
        <v>186.8015</v>
      </c>
      <c r="S174">
        <f t="shared" si="8"/>
        <v>184.74099999999981</v>
      </c>
      <c r="T174" s="1">
        <f t="shared" si="10"/>
        <v>158.110823381877</v>
      </c>
      <c r="U174" s="1">
        <f t="shared" si="11"/>
        <v>118.68067661812282</v>
      </c>
    </row>
    <row r="175" spans="1:21" x14ac:dyDescent="0.3">
      <c r="A175" t="s">
        <v>57</v>
      </c>
      <c r="B175" t="s">
        <v>132</v>
      </c>
      <c r="C175" t="s">
        <v>34</v>
      </c>
      <c r="D175" t="s">
        <v>35</v>
      </c>
      <c r="E175" s="2">
        <v>218.75299999999999</v>
      </c>
      <c r="F175" s="2">
        <v>0</v>
      </c>
      <c r="G175" s="2">
        <v>49.547499999999999</v>
      </c>
      <c r="H175" s="2">
        <v>-54.688249999999996</v>
      </c>
      <c r="I175" s="1">
        <v>0.95299950172111902</v>
      </c>
      <c r="J175" s="1">
        <v>1</v>
      </c>
      <c r="K175" s="1">
        <v>0.85207698492294004</v>
      </c>
      <c r="L175" s="1">
        <v>0.60092251679817899</v>
      </c>
      <c r="P175" s="1">
        <f>I175-'Passo 2'!I175</f>
        <v>8.1370312635697939E-4</v>
      </c>
      <c r="Q175" s="1">
        <f>J175-'Passo 2'!J175</f>
        <v>0</v>
      </c>
      <c r="R175" s="1">
        <f t="shared" si="9"/>
        <v>208.47149999999993</v>
      </c>
      <c r="S175">
        <f t="shared" si="8"/>
        <v>218.75299999999999</v>
      </c>
      <c r="T175" s="1">
        <f t="shared" si="10"/>
        <v>186.39439668284788</v>
      </c>
      <c r="U175" s="1">
        <f t="shared" si="11"/>
        <v>131.45360331715204</v>
      </c>
    </row>
    <row r="176" spans="1:21" x14ac:dyDescent="0.3">
      <c r="A176" t="s">
        <v>57</v>
      </c>
      <c r="B176" t="s">
        <v>133</v>
      </c>
      <c r="C176" t="s">
        <v>580</v>
      </c>
      <c r="D176" t="s">
        <v>581</v>
      </c>
      <c r="E176" s="2">
        <v>122.13</v>
      </c>
      <c r="F176" s="2">
        <v>0</v>
      </c>
      <c r="G176" s="2">
        <v>29.384250000000002</v>
      </c>
      <c r="H176" s="2">
        <v>-29.234999999999999</v>
      </c>
      <c r="I176" s="1">
        <v>0.98119626627364198</v>
      </c>
      <c r="J176" s="1">
        <v>0.97875214934905397</v>
      </c>
      <c r="K176" s="1">
        <v>0.84019119335940196</v>
      </c>
      <c r="L176" s="1">
        <v>0.61975722226329399</v>
      </c>
      <c r="P176" s="1">
        <f>I176-'Passo 2'!I176</f>
        <v>2.274625399164798E-2</v>
      </c>
      <c r="Q176" s="1">
        <f>J176-'Passo 2'!J176</f>
        <v>2.7921067714730019E-2</v>
      </c>
      <c r="R176" s="1">
        <f t="shared" si="9"/>
        <v>119.83349999999989</v>
      </c>
      <c r="S176">
        <f t="shared" si="8"/>
        <v>119.53499999999995</v>
      </c>
      <c r="T176" s="1">
        <f t="shared" si="10"/>
        <v>102.61255044498375</v>
      </c>
      <c r="U176" s="1">
        <f t="shared" si="11"/>
        <v>75.69094955501609</v>
      </c>
    </row>
    <row r="177" spans="1:21" x14ac:dyDescent="0.3">
      <c r="A177" t="s">
        <v>57</v>
      </c>
      <c r="B177" t="s">
        <v>642</v>
      </c>
      <c r="C177" t="s">
        <v>580</v>
      </c>
      <c r="D177" t="s">
        <v>581</v>
      </c>
      <c r="E177" s="2">
        <v>80.447999999999993</v>
      </c>
      <c r="F177" s="2">
        <v>0</v>
      </c>
      <c r="G177" s="2">
        <v>17.779</v>
      </c>
      <c r="H177" s="2">
        <v>-17.54</v>
      </c>
      <c r="I177" s="1">
        <v>0.94199980111376203</v>
      </c>
      <c r="J177" s="1">
        <v>0.93605807478122505</v>
      </c>
      <c r="K177" s="1">
        <v>0.73624249208477799</v>
      </c>
      <c r="L177" s="1">
        <v>0.64181538381020897</v>
      </c>
      <c r="P177" s="1">
        <f>I177-'Passo 2'!I177</f>
        <v>5.9479415274460434E-3</v>
      </c>
      <c r="Q177" s="1">
        <f>J177-'Passo 2'!J177</f>
        <v>7.044301909307904E-2</v>
      </c>
      <c r="R177" s="1">
        <f t="shared" si="9"/>
        <v>75.781999999999925</v>
      </c>
      <c r="S177">
        <f t="shared" si="8"/>
        <v>75.303999999999988</v>
      </c>
      <c r="T177" s="1">
        <f t="shared" si="10"/>
        <v>59.229236003236217</v>
      </c>
      <c r="U177" s="1">
        <f t="shared" si="11"/>
        <v>51.632763996763686</v>
      </c>
    </row>
    <row r="178" spans="1:21" x14ac:dyDescent="0.3">
      <c r="A178" t="s">
        <v>57</v>
      </c>
      <c r="B178" t="s">
        <v>643</v>
      </c>
      <c r="C178" t="s">
        <v>580</v>
      </c>
      <c r="D178" t="s">
        <v>581</v>
      </c>
      <c r="E178" s="2">
        <v>60.494999999999997</v>
      </c>
      <c r="F178" s="2">
        <v>0</v>
      </c>
      <c r="G178" s="2">
        <v>12.653</v>
      </c>
      <c r="H178" s="2">
        <v>-13.47425</v>
      </c>
      <c r="I178" s="1">
        <v>0.91831556326969099</v>
      </c>
      <c r="J178" s="1">
        <v>0.94546656748491598</v>
      </c>
      <c r="K178" s="1">
        <v>0.72330798019895703</v>
      </c>
      <c r="L178" s="1">
        <v>0.64047415055565005</v>
      </c>
      <c r="P178" s="1">
        <f>I178-'Passo 2'!I178</f>
        <v>3.2209273493676971E-2</v>
      </c>
      <c r="Q178" s="1">
        <f>J178-'Passo 2'!J178</f>
        <v>2.267956029423901E-2</v>
      </c>
      <c r="R178" s="1">
        <f t="shared" si="9"/>
        <v>55.553499999999957</v>
      </c>
      <c r="S178">
        <f t="shared" si="8"/>
        <v>57.195999999999991</v>
      </c>
      <c r="T178" s="1">
        <f t="shared" si="10"/>
        <v>43.756516262135904</v>
      </c>
      <c r="U178" s="1">
        <f t="shared" si="11"/>
        <v>38.745483737864049</v>
      </c>
    </row>
    <row r="179" spans="1:21" x14ac:dyDescent="0.3">
      <c r="A179" t="s">
        <v>57</v>
      </c>
      <c r="B179" t="s">
        <v>644</v>
      </c>
      <c r="C179" t="s">
        <v>580</v>
      </c>
      <c r="D179" t="s">
        <v>581</v>
      </c>
      <c r="E179" s="2">
        <v>252.46199999999999</v>
      </c>
      <c r="F179" s="2">
        <v>0</v>
      </c>
      <c r="G179" s="2">
        <v>54.184750000000001</v>
      </c>
      <c r="H179" s="2">
        <v>-52.459499999999998</v>
      </c>
      <c r="I179" s="1">
        <v>0.92925073872503505</v>
      </c>
      <c r="J179" s="1">
        <v>0.91558333531382896</v>
      </c>
      <c r="K179" s="1">
        <v>0.73159481366018697</v>
      </c>
      <c r="L179" s="1">
        <v>0.61323926037867704</v>
      </c>
      <c r="P179" s="1">
        <f>I179-'Passo 2'!I179</f>
        <v>3.6637196885075052E-2</v>
      </c>
      <c r="Q179" s="1">
        <f>J179-'Passo 2'!J179</f>
        <v>-4.4026427739620733E-3</v>
      </c>
      <c r="R179" s="1">
        <f t="shared" si="9"/>
        <v>234.60049999999978</v>
      </c>
      <c r="S179">
        <f t="shared" si="8"/>
        <v>231.14999999999986</v>
      </c>
      <c r="T179" s="1">
        <f t="shared" si="10"/>
        <v>184.69988984627813</v>
      </c>
      <c r="U179" s="1">
        <f t="shared" si="11"/>
        <v>154.81961015372156</v>
      </c>
    </row>
    <row r="180" spans="1:21" x14ac:dyDescent="0.3">
      <c r="A180" t="s">
        <v>57</v>
      </c>
      <c r="B180" t="s">
        <v>134</v>
      </c>
      <c r="C180" t="s">
        <v>34</v>
      </c>
      <c r="D180" t="s">
        <v>35</v>
      </c>
      <c r="E180" s="2">
        <v>200</v>
      </c>
      <c r="F180" s="2">
        <v>0</v>
      </c>
      <c r="G180" s="2">
        <v>50</v>
      </c>
      <c r="H180" s="2">
        <v>-50</v>
      </c>
      <c r="I180" s="1">
        <v>1</v>
      </c>
      <c r="J180" s="1">
        <v>1</v>
      </c>
      <c r="K180" s="1">
        <v>0.93593577791262095</v>
      </c>
      <c r="L180" s="1">
        <v>0.56406422208737805</v>
      </c>
      <c r="P180" s="1">
        <f>I180-'Passo 2'!I180</f>
        <v>0</v>
      </c>
      <c r="Q180" s="1">
        <f>J180-'Passo 2'!J180</f>
        <v>0</v>
      </c>
      <c r="R180" s="1">
        <f t="shared" si="9"/>
        <v>200</v>
      </c>
      <c r="S180">
        <f t="shared" si="8"/>
        <v>200</v>
      </c>
      <c r="T180" s="1">
        <f t="shared" si="10"/>
        <v>187.18715558252418</v>
      </c>
      <c r="U180" s="1">
        <f t="shared" si="11"/>
        <v>112.81284441747562</v>
      </c>
    </row>
    <row r="181" spans="1:21" x14ac:dyDescent="0.3">
      <c r="A181" t="s">
        <v>57</v>
      </c>
      <c r="B181" t="s">
        <v>135</v>
      </c>
      <c r="C181" t="s">
        <v>34</v>
      </c>
      <c r="D181" t="s">
        <v>35</v>
      </c>
      <c r="E181" s="2">
        <v>154.08000000000001</v>
      </c>
      <c r="F181" s="2">
        <v>0</v>
      </c>
      <c r="G181" s="2">
        <v>38.494</v>
      </c>
      <c r="H181" s="2">
        <v>-38.437249999999999</v>
      </c>
      <c r="I181" s="1">
        <v>0.99966251298026998</v>
      </c>
      <c r="J181" s="1">
        <v>0.99892588265835902</v>
      </c>
      <c r="K181" s="1">
        <v>0.87625635807440005</v>
      </c>
      <c r="L181" s="1">
        <v>0.62233203756422895</v>
      </c>
      <c r="P181" s="1">
        <f>I181-'Passo 2'!I181</f>
        <v>2.3026998961579004E-2</v>
      </c>
      <c r="Q181" s="1">
        <f>J181-'Passo 2'!J181</f>
        <v>4.1861370716500534E-4</v>
      </c>
      <c r="R181" s="1">
        <f t="shared" si="9"/>
        <v>154.02800000000002</v>
      </c>
      <c r="S181">
        <f t="shared" si="8"/>
        <v>153.91449999999998</v>
      </c>
      <c r="T181" s="1">
        <f t="shared" si="10"/>
        <v>135.01357965210357</v>
      </c>
      <c r="U181" s="1">
        <f t="shared" si="11"/>
        <v>95.888920347896402</v>
      </c>
    </row>
    <row r="182" spans="1:21" x14ac:dyDescent="0.3">
      <c r="A182" t="s">
        <v>57</v>
      </c>
      <c r="B182" t="s">
        <v>136</v>
      </c>
      <c r="C182" t="s">
        <v>580</v>
      </c>
      <c r="D182" t="s">
        <v>581</v>
      </c>
      <c r="E182" s="2">
        <v>97.884</v>
      </c>
      <c r="F182" s="2">
        <v>0</v>
      </c>
      <c r="G182" s="2">
        <v>22.757999999999999</v>
      </c>
      <c r="H182" s="2">
        <v>-23.3355</v>
      </c>
      <c r="I182" s="1">
        <v>0.96499938702954502</v>
      </c>
      <c r="J182" s="1">
        <v>0.97679906828490803</v>
      </c>
      <c r="K182" s="1">
        <v>0.81217024880655397</v>
      </c>
      <c r="L182" s="1">
        <v>0.62962820650789897</v>
      </c>
      <c r="P182" s="1">
        <f>I182-'Passo 2'!I182</f>
        <v>1.0108904417474029E-2</v>
      </c>
      <c r="Q182" s="1">
        <f>J182-'Passo 2'!J182</f>
        <v>0.11032446569408705</v>
      </c>
      <c r="R182" s="1">
        <f t="shared" si="9"/>
        <v>94.457999999999984</v>
      </c>
      <c r="S182">
        <f t="shared" si="8"/>
        <v>95.612999999999943</v>
      </c>
      <c r="T182" s="1">
        <f t="shared" si="10"/>
        <v>79.498472634180729</v>
      </c>
      <c r="U182" s="1">
        <f t="shared" si="11"/>
        <v>61.630527365819184</v>
      </c>
    </row>
    <row r="183" spans="1:21" x14ac:dyDescent="0.3">
      <c r="A183" t="s">
        <v>57</v>
      </c>
      <c r="B183" t="s">
        <v>137</v>
      </c>
      <c r="C183" t="s">
        <v>580</v>
      </c>
      <c r="D183" t="s">
        <v>581</v>
      </c>
      <c r="E183" s="2">
        <v>270.80700000000002</v>
      </c>
      <c r="F183" s="2">
        <v>0</v>
      </c>
      <c r="G183" s="2">
        <v>61.89575</v>
      </c>
      <c r="H183" s="2">
        <v>-64.494749999999996</v>
      </c>
      <c r="I183" s="1">
        <v>0.95712075389483997</v>
      </c>
      <c r="J183" s="1">
        <v>0.97631523557367395</v>
      </c>
      <c r="K183" s="1">
        <v>0.73941525616816295</v>
      </c>
      <c r="L183" s="1">
        <v>0.69402073330035097</v>
      </c>
      <c r="P183" s="1">
        <f>I183-'Passo 2'!I183</f>
        <v>5.9828586410248019E-2</v>
      </c>
      <c r="Q183" s="1">
        <f>J183-'Passo 2'!J183</f>
        <v>5.98950544114496E-3</v>
      </c>
      <c r="R183" s="1">
        <f t="shared" si="9"/>
        <v>259.19499999999994</v>
      </c>
      <c r="S183">
        <f t="shared" si="8"/>
        <v>264.39299999999992</v>
      </c>
      <c r="T183" s="1">
        <f t="shared" si="10"/>
        <v>200.23882727713172</v>
      </c>
      <c r="U183" s="1">
        <f t="shared" si="11"/>
        <v>187.94567272286815</v>
      </c>
    </row>
    <row r="184" spans="1:21" x14ac:dyDescent="0.3">
      <c r="A184" t="s">
        <v>57</v>
      </c>
      <c r="B184" t="s">
        <v>138</v>
      </c>
      <c r="C184" t="s">
        <v>580</v>
      </c>
      <c r="D184" t="s">
        <v>581</v>
      </c>
      <c r="E184" s="2">
        <v>685.65800000000002</v>
      </c>
      <c r="F184" s="2">
        <v>0</v>
      </c>
      <c r="G184" s="2">
        <v>168.86099999999999</v>
      </c>
      <c r="H184" s="2">
        <v>-168.85550000000001</v>
      </c>
      <c r="I184" s="1">
        <v>0.99255168028375595</v>
      </c>
      <c r="J184" s="1">
        <v>0.99253563730022798</v>
      </c>
      <c r="K184" s="1">
        <v>0.75681355504859205</v>
      </c>
      <c r="L184" s="1">
        <v>0.728273762535392</v>
      </c>
      <c r="P184" s="1">
        <f>I184-'Passo 2'!I184</f>
        <v>9.0971008870309733E-3</v>
      </c>
      <c r="Q184" s="1">
        <f>J184-'Passo 2'!J184</f>
        <v>2.1315291296829519E-3</v>
      </c>
      <c r="R184" s="1">
        <f t="shared" si="9"/>
        <v>680.55099999999959</v>
      </c>
      <c r="S184">
        <f t="shared" si="8"/>
        <v>680.53999999999974</v>
      </c>
      <c r="T184" s="1">
        <f t="shared" si="10"/>
        <v>518.91526852750758</v>
      </c>
      <c r="U184" s="1">
        <f t="shared" si="11"/>
        <v>499.3467314724918</v>
      </c>
    </row>
    <row r="185" spans="1:21" x14ac:dyDescent="0.3">
      <c r="A185" t="s">
        <v>57</v>
      </c>
      <c r="B185" t="s">
        <v>139</v>
      </c>
      <c r="C185" t="s">
        <v>580</v>
      </c>
      <c r="D185" t="s">
        <v>581</v>
      </c>
      <c r="E185" s="2">
        <v>0</v>
      </c>
      <c r="F185" s="2">
        <v>0</v>
      </c>
      <c r="G185" s="2">
        <v>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P185" s="1">
        <f>I185-'Passo 2'!I185</f>
        <v>0</v>
      </c>
      <c r="Q185" s="1">
        <f>J185-'Passo 2'!J185</f>
        <v>0</v>
      </c>
      <c r="R185" s="1">
        <f t="shared" si="9"/>
        <v>0</v>
      </c>
      <c r="S185">
        <f t="shared" si="8"/>
        <v>0</v>
      </c>
      <c r="T185" s="1">
        <f t="shared" si="10"/>
        <v>0</v>
      </c>
      <c r="U185" s="1">
        <f t="shared" si="11"/>
        <v>0</v>
      </c>
    </row>
    <row r="186" spans="1:21" x14ac:dyDescent="0.3">
      <c r="A186" t="s">
        <v>57</v>
      </c>
      <c r="B186" t="s">
        <v>140</v>
      </c>
      <c r="C186" t="s">
        <v>580</v>
      </c>
      <c r="D186" t="s">
        <v>581</v>
      </c>
      <c r="E186" s="2">
        <v>0</v>
      </c>
      <c r="F186" s="2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P186" s="1">
        <f>I186-'Passo 2'!I186</f>
        <v>0</v>
      </c>
      <c r="Q186" s="1">
        <f>J186-'Passo 2'!J186</f>
        <v>0</v>
      </c>
      <c r="R186" s="1">
        <f t="shared" si="9"/>
        <v>0</v>
      </c>
      <c r="S186">
        <f t="shared" si="8"/>
        <v>0</v>
      </c>
      <c r="T186" s="1">
        <f t="shared" si="10"/>
        <v>0</v>
      </c>
      <c r="U186" s="1">
        <f t="shared" si="11"/>
        <v>0</v>
      </c>
    </row>
    <row r="187" spans="1:21" x14ac:dyDescent="0.3">
      <c r="A187" t="s">
        <v>57</v>
      </c>
      <c r="B187" t="s">
        <v>141</v>
      </c>
      <c r="C187" t="s">
        <v>34</v>
      </c>
      <c r="D187" t="s">
        <v>35</v>
      </c>
      <c r="E187" s="2">
        <v>65</v>
      </c>
      <c r="F187" s="2">
        <v>0</v>
      </c>
      <c r="G187" s="2">
        <v>16.25</v>
      </c>
      <c r="H187" s="2">
        <v>-16.18</v>
      </c>
      <c r="I187" s="1">
        <v>1</v>
      </c>
      <c r="J187" s="1">
        <v>0.99784615384615305</v>
      </c>
      <c r="K187" s="1">
        <v>0.90855775765496605</v>
      </c>
      <c r="L187" s="1">
        <v>0.589288396191187</v>
      </c>
      <c r="P187" s="1">
        <f>I187-'Passo 2'!I187</f>
        <v>0</v>
      </c>
      <c r="Q187" s="1">
        <f>J187-'Passo 2'!J187</f>
        <v>0</v>
      </c>
      <c r="R187" s="1">
        <f t="shared" si="9"/>
        <v>65</v>
      </c>
      <c r="S187">
        <f t="shared" si="8"/>
        <v>64.859999999999943</v>
      </c>
      <c r="T187" s="1">
        <f t="shared" si="10"/>
        <v>59.056254247572795</v>
      </c>
      <c r="U187" s="1">
        <f t="shared" si="11"/>
        <v>38.303745752427155</v>
      </c>
    </row>
    <row r="188" spans="1:21" x14ac:dyDescent="0.3">
      <c r="A188" t="s">
        <v>57</v>
      </c>
      <c r="B188" t="s">
        <v>142</v>
      </c>
      <c r="C188" t="s">
        <v>580</v>
      </c>
      <c r="D188" t="s">
        <v>581</v>
      </c>
      <c r="E188" s="2">
        <v>495.87400000000002</v>
      </c>
      <c r="F188" s="2">
        <v>0</v>
      </c>
      <c r="G188" s="2">
        <v>118.87224999999999</v>
      </c>
      <c r="H188" s="2">
        <v>-121.976</v>
      </c>
      <c r="I188" s="1">
        <v>0.979445383303016</v>
      </c>
      <c r="J188" s="1">
        <v>0.99196368432303295</v>
      </c>
      <c r="K188" s="1">
        <v>0.75166690032621597</v>
      </c>
      <c r="L188" s="1">
        <v>0.71974216729983298</v>
      </c>
      <c r="P188" s="1">
        <f>I188-'Passo 2'!I188</f>
        <v>6.1951221479650265E-3</v>
      </c>
      <c r="Q188" s="1">
        <f>J188-'Passo 2'!J188</f>
        <v>2.5307840298139928E-2</v>
      </c>
      <c r="R188" s="1">
        <f t="shared" si="9"/>
        <v>485.6814999999998</v>
      </c>
      <c r="S188">
        <f t="shared" si="8"/>
        <v>491.88899999999967</v>
      </c>
      <c r="T188" s="1">
        <f t="shared" si="10"/>
        <v>372.73207253236205</v>
      </c>
      <c r="U188" s="1">
        <f t="shared" si="11"/>
        <v>356.9014274676374</v>
      </c>
    </row>
    <row r="189" spans="1:21" x14ac:dyDescent="0.3">
      <c r="A189" t="s">
        <v>57</v>
      </c>
      <c r="B189" t="s">
        <v>143</v>
      </c>
      <c r="C189" t="s">
        <v>34</v>
      </c>
      <c r="D189" t="s">
        <v>35</v>
      </c>
      <c r="E189" s="2">
        <v>192.09399999999999</v>
      </c>
      <c r="F189" s="2">
        <v>0</v>
      </c>
      <c r="G189" s="2">
        <v>45.798000000000002</v>
      </c>
      <c r="H189" s="2">
        <v>-46.267249999999997</v>
      </c>
      <c r="I189" s="1">
        <v>0.97682905244307405</v>
      </c>
      <c r="J189" s="1">
        <v>0.98171468135392004</v>
      </c>
      <c r="K189" s="1">
        <v>0.87280383044162901</v>
      </c>
      <c r="L189" s="1">
        <v>0.58573990335536497</v>
      </c>
      <c r="P189" s="1">
        <f>I189-'Passo 2'!I189</f>
        <v>1.4151925619748096E-2</v>
      </c>
      <c r="Q189" s="1">
        <f>J189-'Passo 2'!J189</f>
        <v>4.4428769248389011E-2</v>
      </c>
      <c r="R189" s="1">
        <f t="shared" si="9"/>
        <v>187.64299999999986</v>
      </c>
      <c r="S189">
        <f t="shared" si="8"/>
        <v>188.58149999999992</v>
      </c>
      <c r="T189" s="1">
        <f t="shared" si="10"/>
        <v>167.66037900485429</v>
      </c>
      <c r="U189" s="1">
        <f t="shared" si="11"/>
        <v>112.51712099514548</v>
      </c>
    </row>
    <row r="190" spans="1:21" x14ac:dyDescent="0.3">
      <c r="A190" t="s">
        <v>57</v>
      </c>
      <c r="B190" t="s">
        <v>645</v>
      </c>
      <c r="C190" t="s">
        <v>580</v>
      </c>
      <c r="D190" t="s">
        <v>581</v>
      </c>
      <c r="E190" s="2">
        <v>0</v>
      </c>
      <c r="F190" s="2">
        <v>0</v>
      </c>
      <c r="G190" s="2">
        <v>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P190" s="1">
        <f>I190-'Passo 2'!I190</f>
        <v>0</v>
      </c>
      <c r="Q190" s="1">
        <f>J190-'Passo 2'!J190</f>
        <v>0</v>
      </c>
      <c r="R190" s="1">
        <f t="shared" si="9"/>
        <v>0</v>
      </c>
      <c r="S190">
        <f t="shared" si="8"/>
        <v>0</v>
      </c>
      <c r="T190" s="1">
        <f t="shared" si="10"/>
        <v>0</v>
      </c>
      <c r="U190" s="1">
        <f t="shared" si="11"/>
        <v>0</v>
      </c>
    </row>
    <row r="191" spans="1:21" x14ac:dyDescent="0.3">
      <c r="A191" t="s">
        <v>57</v>
      </c>
      <c r="B191" t="s">
        <v>144</v>
      </c>
      <c r="C191" t="s">
        <v>34</v>
      </c>
      <c r="D191" t="s">
        <v>35</v>
      </c>
      <c r="E191" s="2">
        <v>0</v>
      </c>
      <c r="F191" s="2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P191" s="1">
        <f>I191-'Passo 2'!I191</f>
        <v>0</v>
      </c>
      <c r="Q191" s="1">
        <f>J191-'Passo 2'!J191</f>
        <v>0</v>
      </c>
      <c r="R191" s="1">
        <f t="shared" si="9"/>
        <v>0</v>
      </c>
      <c r="S191">
        <f t="shared" si="8"/>
        <v>0</v>
      </c>
      <c r="T191" s="1">
        <f t="shared" si="10"/>
        <v>0</v>
      </c>
      <c r="U191" s="1">
        <f t="shared" si="11"/>
        <v>0</v>
      </c>
    </row>
    <row r="192" spans="1:21" x14ac:dyDescent="0.3">
      <c r="A192" t="s">
        <v>57</v>
      </c>
      <c r="B192" t="s">
        <v>145</v>
      </c>
      <c r="C192" t="s">
        <v>34</v>
      </c>
      <c r="D192" t="s">
        <v>35</v>
      </c>
      <c r="E192" s="2">
        <v>111.72499999999999</v>
      </c>
      <c r="F192" s="2">
        <v>0</v>
      </c>
      <c r="G192" s="2">
        <v>26.54</v>
      </c>
      <c r="H192" s="2">
        <v>-24.99</v>
      </c>
      <c r="I192" s="1">
        <v>0.97509509957484897</v>
      </c>
      <c r="J192" s="1">
        <v>0.94734840008950505</v>
      </c>
      <c r="K192" s="1">
        <v>0.85478272942478195</v>
      </c>
      <c r="L192" s="1">
        <v>0.56766077023957195</v>
      </c>
      <c r="P192" s="1">
        <f>I192-'Passo 2'!I192</f>
        <v>3.530096218393397E-2</v>
      </c>
      <c r="Q192" s="1">
        <f>J192-'Passo 2'!J192</f>
        <v>4.2962631461180845E-3</v>
      </c>
      <c r="R192" s="1">
        <f t="shared" si="9"/>
        <v>108.9425</v>
      </c>
      <c r="S192">
        <f t="shared" si="8"/>
        <v>105.84249999999994</v>
      </c>
      <c r="T192" s="1">
        <f t="shared" si="10"/>
        <v>95.50060044498376</v>
      </c>
      <c r="U192" s="1">
        <f t="shared" si="11"/>
        <v>63.421899555016175</v>
      </c>
    </row>
    <row r="193" spans="1:21" x14ac:dyDescent="0.3">
      <c r="A193" t="s">
        <v>57</v>
      </c>
      <c r="B193" t="s">
        <v>146</v>
      </c>
      <c r="C193" t="s">
        <v>580</v>
      </c>
      <c r="D193" t="s">
        <v>581</v>
      </c>
      <c r="E193" s="2">
        <v>76.466999999999999</v>
      </c>
      <c r="F193" s="2">
        <v>0</v>
      </c>
      <c r="G193" s="2">
        <v>16.34825</v>
      </c>
      <c r="H193" s="2">
        <v>-16.573</v>
      </c>
      <c r="I193" s="1">
        <v>0.92758967920802404</v>
      </c>
      <c r="J193" s="1">
        <v>0.93346803196149897</v>
      </c>
      <c r="K193" s="1">
        <v>0.76272918383093302</v>
      </c>
      <c r="L193" s="1">
        <v>0.59832852733858999</v>
      </c>
      <c r="P193" s="1">
        <f>I193-'Passo 2'!I193</f>
        <v>-1.6876561130944934E-2</v>
      </c>
      <c r="Q193" s="1">
        <f>J193-'Passo 2'!J193</f>
        <v>5.7756940902610965E-2</v>
      </c>
      <c r="R193" s="1">
        <f t="shared" si="9"/>
        <v>70.929999999999978</v>
      </c>
      <c r="S193">
        <f t="shared" si="8"/>
        <v>71.379499999999936</v>
      </c>
      <c r="T193" s="1">
        <f t="shared" si="10"/>
        <v>58.323612499999953</v>
      </c>
      <c r="U193" s="1">
        <f t="shared" si="11"/>
        <v>45.752387499999962</v>
      </c>
    </row>
    <row r="194" spans="1:21" x14ac:dyDescent="0.3">
      <c r="A194" t="s">
        <v>57</v>
      </c>
      <c r="B194" t="s">
        <v>147</v>
      </c>
      <c r="C194" t="s">
        <v>580</v>
      </c>
      <c r="D194" t="s">
        <v>581</v>
      </c>
      <c r="E194" s="2">
        <v>99.554000000000002</v>
      </c>
      <c r="F194" s="2">
        <v>0</v>
      </c>
      <c r="G194" s="2">
        <v>22.0565</v>
      </c>
      <c r="H194" s="2">
        <v>-19.664000000000001</v>
      </c>
      <c r="I194" s="1">
        <v>0.94310625389235903</v>
      </c>
      <c r="J194" s="1">
        <v>0.89504188681519503</v>
      </c>
      <c r="K194" s="1">
        <v>0.82373132593697895</v>
      </c>
      <c r="L194" s="1">
        <v>0.51441681477057499</v>
      </c>
      <c r="P194" s="1">
        <f>I194-'Passo 2'!I194</f>
        <v>0</v>
      </c>
      <c r="Q194" s="1">
        <f>J194-'Passo 2'!J194</f>
        <v>1.6332844486409037E-2</v>
      </c>
      <c r="R194" s="1">
        <f t="shared" si="9"/>
        <v>93.889999999999915</v>
      </c>
      <c r="S194">
        <f t="shared" ref="S194:S257" si="12">J194*E194</f>
        <v>89.104999999999933</v>
      </c>
      <c r="T194" s="1">
        <f t="shared" si="10"/>
        <v>82.005748422330001</v>
      </c>
      <c r="U194" s="1">
        <f t="shared" si="11"/>
        <v>51.212251577669825</v>
      </c>
    </row>
    <row r="195" spans="1:21" x14ac:dyDescent="0.3">
      <c r="A195" t="s">
        <v>57</v>
      </c>
      <c r="B195" t="s">
        <v>148</v>
      </c>
      <c r="C195" t="s">
        <v>34</v>
      </c>
      <c r="D195" t="s">
        <v>35</v>
      </c>
      <c r="E195" s="2">
        <v>354.84899999999999</v>
      </c>
      <c r="F195" s="2">
        <v>0</v>
      </c>
      <c r="G195" s="2">
        <v>88.547499999999999</v>
      </c>
      <c r="H195" s="2">
        <v>-87.515999999999906</v>
      </c>
      <c r="I195" s="1">
        <v>0.99907143601926396</v>
      </c>
      <c r="J195" s="1">
        <v>0.99325769552682897</v>
      </c>
      <c r="K195" s="1">
        <v>0.89002293063180205</v>
      </c>
      <c r="L195" s="1">
        <v>0.60230620091429099</v>
      </c>
      <c r="P195" s="1">
        <f>I195-'Passo 2'!I195</f>
        <v>-3.818525626390068E-4</v>
      </c>
      <c r="Q195" s="1">
        <f>J195-'Passo 2'!J195</f>
        <v>-1.4315948473860862E-3</v>
      </c>
      <c r="R195" s="1">
        <f t="shared" ref="R195:R258" si="13">I195*E195</f>
        <v>354.51949999999977</v>
      </c>
      <c r="S195">
        <f t="shared" si="12"/>
        <v>352.45649999999972</v>
      </c>
      <c r="T195" s="1">
        <f t="shared" ref="T195:T258" si="14">K195*E195</f>
        <v>315.82374691176432</v>
      </c>
      <c r="U195" s="1">
        <f t="shared" ref="U195:U258" si="15">L195*E195</f>
        <v>213.72775308823523</v>
      </c>
    </row>
    <row r="196" spans="1:21" x14ac:dyDescent="0.3">
      <c r="A196" t="s">
        <v>57</v>
      </c>
      <c r="B196" t="s">
        <v>149</v>
      </c>
      <c r="C196" t="s">
        <v>34</v>
      </c>
      <c r="D196" t="s">
        <v>35</v>
      </c>
      <c r="E196" s="2">
        <v>315.59699999999998</v>
      </c>
      <c r="F196" s="2">
        <v>0</v>
      </c>
      <c r="G196" s="2">
        <v>78.489750000000001</v>
      </c>
      <c r="H196" s="2">
        <v>-75.293000000000006</v>
      </c>
      <c r="I196" s="1">
        <v>0.99740491829770195</v>
      </c>
      <c r="J196" s="1">
        <v>0.97714648745076704</v>
      </c>
      <c r="K196" s="1">
        <v>0.89454433645810305</v>
      </c>
      <c r="L196" s="1">
        <v>0.58000706929036705</v>
      </c>
      <c r="P196" s="1">
        <f>I196-'Passo 2'!I196</f>
        <v>0.10364008529865598</v>
      </c>
      <c r="Q196" s="1">
        <f>J196-'Passo 2'!J196</f>
        <v>4.5482054645639036E-2</v>
      </c>
      <c r="R196" s="1">
        <f t="shared" si="13"/>
        <v>314.77799999999985</v>
      </c>
      <c r="S196">
        <f t="shared" si="12"/>
        <v>308.38449999999972</v>
      </c>
      <c r="T196" s="1">
        <f t="shared" si="14"/>
        <v>282.31550895316792</v>
      </c>
      <c r="U196" s="1">
        <f t="shared" si="15"/>
        <v>183.04849104683197</v>
      </c>
    </row>
    <row r="197" spans="1:21" x14ac:dyDescent="0.3">
      <c r="A197" t="s">
        <v>57</v>
      </c>
      <c r="B197" t="s">
        <v>150</v>
      </c>
      <c r="C197" t="s">
        <v>580</v>
      </c>
      <c r="D197" t="s">
        <v>581</v>
      </c>
      <c r="E197" s="2">
        <v>54.831000000000003</v>
      </c>
      <c r="F197" s="2">
        <v>0</v>
      </c>
      <c r="G197" s="2">
        <v>12.97625</v>
      </c>
      <c r="H197" s="2">
        <v>-12.9375</v>
      </c>
      <c r="I197" s="1">
        <v>0.97331801353249003</v>
      </c>
      <c r="J197" s="1">
        <v>0.97190457952618003</v>
      </c>
      <c r="K197" s="1">
        <v>0.79757244738304101</v>
      </c>
      <c r="L197" s="1">
        <v>0.64765014567562895</v>
      </c>
      <c r="P197" s="1">
        <f>I197-'Passo 2'!I197</f>
        <v>3.1396472798233988E-2</v>
      </c>
      <c r="Q197" s="1">
        <f>J197-'Passo 2'!J197</f>
        <v>5.646440881982806E-2</v>
      </c>
      <c r="R197" s="1">
        <f t="shared" si="13"/>
        <v>53.367999999999967</v>
      </c>
      <c r="S197">
        <f t="shared" si="12"/>
        <v>53.29049999999998</v>
      </c>
      <c r="T197" s="1">
        <f t="shared" si="14"/>
        <v>43.731694862459527</v>
      </c>
      <c r="U197" s="1">
        <f t="shared" si="15"/>
        <v>35.511305137540411</v>
      </c>
    </row>
    <row r="198" spans="1:21" x14ac:dyDescent="0.3">
      <c r="A198" t="s">
        <v>57</v>
      </c>
      <c r="B198" t="s">
        <v>151</v>
      </c>
      <c r="C198" t="s">
        <v>580</v>
      </c>
      <c r="D198" t="s">
        <v>581</v>
      </c>
      <c r="E198" s="2">
        <v>442.113</v>
      </c>
      <c r="F198" s="2">
        <v>0</v>
      </c>
      <c r="G198" s="2">
        <v>101.0235</v>
      </c>
      <c r="H198" s="2">
        <v>-97.8005</v>
      </c>
      <c r="I198" s="1">
        <v>0.95700307387477801</v>
      </c>
      <c r="J198" s="1">
        <v>0.94242309092924204</v>
      </c>
      <c r="K198" s="1">
        <v>0.74324646200915201</v>
      </c>
      <c r="L198" s="1">
        <v>0.65617970279486804</v>
      </c>
      <c r="P198" s="1">
        <f>I198-'Passo 2'!I198</f>
        <v>1.4803907598283983E-2</v>
      </c>
      <c r="Q198" s="1">
        <f>J198-'Passo 2'!J198</f>
        <v>0</v>
      </c>
      <c r="R198" s="1">
        <f t="shared" si="13"/>
        <v>423.10349999999971</v>
      </c>
      <c r="S198">
        <f t="shared" si="12"/>
        <v>416.65749999999997</v>
      </c>
      <c r="T198" s="1">
        <f t="shared" si="14"/>
        <v>328.59892305825224</v>
      </c>
      <c r="U198" s="1">
        <f t="shared" si="15"/>
        <v>290.10557694174747</v>
      </c>
    </row>
    <row r="199" spans="1:21" x14ac:dyDescent="0.3">
      <c r="A199" t="s">
        <v>57</v>
      </c>
      <c r="B199" t="s">
        <v>152</v>
      </c>
      <c r="C199" t="s">
        <v>34</v>
      </c>
      <c r="D199" t="s">
        <v>35</v>
      </c>
      <c r="E199" s="2">
        <v>211.74</v>
      </c>
      <c r="F199" s="2">
        <v>0</v>
      </c>
      <c r="G199" s="2">
        <v>52.47</v>
      </c>
      <c r="H199" s="2">
        <v>-51.970500000000001</v>
      </c>
      <c r="I199" s="1">
        <v>0.99560782091243905</v>
      </c>
      <c r="J199" s="1">
        <v>0.99088977047322102</v>
      </c>
      <c r="K199" s="1">
        <v>0.90152805884295695</v>
      </c>
      <c r="L199" s="1">
        <v>0.58496953254270401</v>
      </c>
      <c r="P199" s="1">
        <f>I199-'Passo 2'!I199</f>
        <v>4.439406819684022E-3</v>
      </c>
      <c r="Q199" s="1">
        <f>J199-'Passo 2'!J199</f>
        <v>5.9851704921129012E-2</v>
      </c>
      <c r="R199" s="1">
        <f t="shared" si="13"/>
        <v>210.80999999999986</v>
      </c>
      <c r="S199">
        <f t="shared" si="12"/>
        <v>209.81099999999984</v>
      </c>
      <c r="T199" s="1">
        <f t="shared" si="14"/>
        <v>190.8895511794077</v>
      </c>
      <c r="U199" s="1">
        <f t="shared" si="15"/>
        <v>123.86144882059216</v>
      </c>
    </row>
    <row r="200" spans="1:21" x14ac:dyDescent="0.3">
      <c r="A200" t="s">
        <v>57</v>
      </c>
      <c r="B200" t="s">
        <v>153</v>
      </c>
      <c r="C200" t="s">
        <v>580</v>
      </c>
      <c r="D200" t="s">
        <v>581</v>
      </c>
      <c r="E200" s="2">
        <v>214.62</v>
      </c>
      <c r="F200" s="2">
        <v>0</v>
      </c>
      <c r="G200" s="2">
        <v>39.408000000000001</v>
      </c>
      <c r="H200" s="2">
        <v>-51.930999999999997</v>
      </c>
      <c r="I200" s="1">
        <v>0.86723511322337099</v>
      </c>
      <c r="J200" s="1">
        <v>0.98393439567607799</v>
      </c>
      <c r="K200" s="1">
        <v>0.70719783502353295</v>
      </c>
      <c r="L200" s="1">
        <v>0.64397167387591603</v>
      </c>
      <c r="P200" s="1">
        <f>I200-'Passo 2'!I200</f>
        <v>4.5701705339669996E-2</v>
      </c>
      <c r="Q200" s="1">
        <f>J200-'Passo 2'!J200</f>
        <v>3.8265306122448939E-2</v>
      </c>
      <c r="R200" s="1">
        <f t="shared" si="13"/>
        <v>186.12599999999989</v>
      </c>
      <c r="S200">
        <f t="shared" si="12"/>
        <v>211.17199999999985</v>
      </c>
      <c r="T200" s="1">
        <f t="shared" si="14"/>
        <v>151.77879935275064</v>
      </c>
      <c r="U200" s="1">
        <f t="shared" si="15"/>
        <v>138.20920064724911</v>
      </c>
    </row>
    <row r="201" spans="1:21" x14ac:dyDescent="0.3">
      <c r="A201" t="s">
        <v>57</v>
      </c>
      <c r="B201" t="s">
        <v>646</v>
      </c>
      <c r="C201" t="s">
        <v>580</v>
      </c>
      <c r="D201" t="s">
        <v>581</v>
      </c>
      <c r="E201" s="2">
        <v>170.654</v>
      </c>
      <c r="F201" s="2">
        <v>0</v>
      </c>
      <c r="G201" s="2">
        <v>42.326250000000002</v>
      </c>
      <c r="H201" s="2">
        <v>-42.326250000000002</v>
      </c>
      <c r="I201" s="1">
        <v>0.99604755821721103</v>
      </c>
      <c r="J201" s="1">
        <v>0.99604755821721103</v>
      </c>
      <c r="K201" s="1">
        <v>0.71283365288261102</v>
      </c>
      <c r="L201" s="1">
        <v>0.77926146355181103</v>
      </c>
      <c r="P201" s="1">
        <f>I201-'Passo 2'!I201</f>
        <v>1.1098479965309993E-2</v>
      </c>
      <c r="Q201" s="1">
        <f>J201-'Passo 2'!J201</f>
        <v>-1.5235505760189394E-3</v>
      </c>
      <c r="R201" s="1">
        <f t="shared" si="13"/>
        <v>169.97949999999992</v>
      </c>
      <c r="S201">
        <f t="shared" si="12"/>
        <v>169.97949999999992</v>
      </c>
      <c r="T201" s="1">
        <f t="shared" si="14"/>
        <v>121.6479141990291</v>
      </c>
      <c r="U201" s="1">
        <f t="shared" si="15"/>
        <v>132.98408580097075</v>
      </c>
    </row>
    <row r="202" spans="1:21" x14ac:dyDescent="0.3">
      <c r="A202" t="s">
        <v>57</v>
      </c>
      <c r="B202" t="s">
        <v>647</v>
      </c>
      <c r="C202" t="s">
        <v>580</v>
      </c>
      <c r="D202" t="s">
        <v>581</v>
      </c>
      <c r="E202" s="2">
        <v>345.053</v>
      </c>
      <c r="F202" s="2">
        <v>0</v>
      </c>
      <c r="G202" s="2">
        <v>73.497249999999994</v>
      </c>
      <c r="H202" s="2">
        <v>-83.853999999999999</v>
      </c>
      <c r="I202" s="1">
        <v>0.92600557015878704</v>
      </c>
      <c r="J202" s="1">
        <v>0.98603547860763396</v>
      </c>
      <c r="K202" s="1">
        <v>0.71976177828297905</v>
      </c>
      <c r="L202" s="1">
        <v>0.69227927048344096</v>
      </c>
      <c r="P202" s="1">
        <f>I202-'Passo 2'!I202</f>
        <v>5.8602591485946043E-2</v>
      </c>
      <c r="Q202" s="1">
        <f>J202-'Passo 2'!J202</f>
        <v>3.6066923052399114E-3</v>
      </c>
      <c r="R202" s="1">
        <f t="shared" si="13"/>
        <v>319.52099999999996</v>
      </c>
      <c r="S202">
        <f t="shared" si="12"/>
        <v>340.23449999999991</v>
      </c>
      <c r="T202" s="1">
        <f t="shared" si="14"/>
        <v>248.35596088187677</v>
      </c>
      <c r="U202" s="1">
        <f t="shared" si="15"/>
        <v>238.87303911812276</v>
      </c>
    </row>
    <row r="203" spans="1:21" x14ac:dyDescent="0.3">
      <c r="A203" t="s">
        <v>57</v>
      </c>
      <c r="B203" t="s">
        <v>154</v>
      </c>
      <c r="C203" t="s">
        <v>580</v>
      </c>
      <c r="D203" t="s">
        <v>581</v>
      </c>
      <c r="E203" s="2">
        <v>158.02199999999999</v>
      </c>
      <c r="F203" s="2">
        <v>0</v>
      </c>
      <c r="G203" s="2">
        <v>30.59675</v>
      </c>
      <c r="H203" s="2">
        <v>-28.723749999999999</v>
      </c>
      <c r="I203" s="1">
        <v>0.88724671248307196</v>
      </c>
      <c r="J203" s="1">
        <v>0.86354115249775298</v>
      </c>
      <c r="K203" s="1">
        <v>0.74273220103636295</v>
      </c>
      <c r="L203" s="1">
        <v>0.508055663944461</v>
      </c>
      <c r="P203" s="1">
        <f>I203-'Passo 2'!I203</f>
        <v>5.6675652757210981E-2</v>
      </c>
      <c r="Q203" s="1">
        <f>J203-'Passo 2'!J203</f>
        <v>1.9000518915088027E-2</v>
      </c>
      <c r="R203" s="1">
        <f t="shared" si="13"/>
        <v>140.2045</v>
      </c>
      <c r="S203">
        <f t="shared" si="12"/>
        <v>136.4584999999999</v>
      </c>
      <c r="T203" s="1">
        <f t="shared" si="14"/>
        <v>117.36802787216814</v>
      </c>
      <c r="U203" s="1">
        <f t="shared" si="15"/>
        <v>80.283972127831618</v>
      </c>
    </row>
    <row r="204" spans="1:21" x14ac:dyDescent="0.3">
      <c r="A204" t="s">
        <v>57</v>
      </c>
      <c r="B204" t="s">
        <v>155</v>
      </c>
      <c r="C204" t="s">
        <v>580</v>
      </c>
      <c r="D204" t="s">
        <v>581</v>
      </c>
      <c r="E204" s="2">
        <v>84.757999999999996</v>
      </c>
      <c r="F204" s="2">
        <v>0</v>
      </c>
      <c r="G204" s="2">
        <v>16.222000000000001</v>
      </c>
      <c r="H204" s="2">
        <v>-15.371</v>
      </c>
      <c r="I204" s="1">
        <v>0.88278392600108502</v>
      </c>
      <c r="J204" s="1">
        <v>0.86270322565421498</v>
      </c>
      <c r="K204" s="1">
        <v>0.72160766096217099</v>
      </c>
      <c r="L204" s="1">
        <v>0.523879490693129</v>
      </c>
      <c r="P204" s="1">
        <f>I204-'Passo 2'!I204</f>
        <v>3.0693267892116016E-2</v>
      </c>
      <c r="Q204" s="1">
        <f>J204-'Passo 2'!J204</f>
        <v>2.1360815498241981E-2</v>
      </c>
      <c r="R204" s="1">
        <f t="shared" si="13"/>
        <v>74.822999999999965</v>
      </c>
      <c r="S204">
        <f t="shared" si="12"/>
        <v>73.120999999999952</v>
      </c>
      <c r="T204" s="1">
        <f t="shared" si="14"/>
        <v>61.162022127831683</v>
      </c>
      <c r="U204" s="1">
        <f t="shared" si="15"/>
        <v>44.402977872168229</v>
      </c>
    </row>
    <row r="205" spans="1:21" x14ac:dyDescent="0.3">
      <c r="A205" t="s">
        <v>57</v>
      </c>
      <c r="B205" t="s">
        <v>648</v>
      </c>
      <c r="C205" t="s">
        <v>580</v>
      </c>
      <c r="D205" t="s">
        <v>581</v>
      </c>
      <c r="E205" s="2">
        <v>113.274</v>
      </c>
      <c r="F205" s="2">
        <v>0</v>
      </c>
      <c r="G205" s="2">
        <v>27.783750000000001</v>
      </c>
      <c r="H205" s="2">
        <v>-28.146000000000001</v>
      </c>
      <c r="I205" s="1">
        <v>0.99055829228242998</v>
      </c>
      <c r="J205" s="1">
        <v>0.99695428783304196</v>
      </c>
      <c r="K205" s="1">
        <v>0.82694279823708905</v>
      </c>
      <c r="L205" s="1">
        <v>0.660569781878382</v>
      </c>
      <c r="P205" s="1">
        <f>I205-'Passo 2'!I205</f>
        <v>-1.5449264614997293E-4</v>
      </c>
      <c r="Q205" s="1">
        <f>J205-'Passo 2'!J205</f>
        <v>0</v>
      </c>
      <c r="R205" s="1">
        <f t="shared" si="13"/>
        <v>112.20449999999997</v>
      </c>
      <c r="S205">
        <f t="shared" si="12"/>
        <v>112.929</v>
      </c>
      <c r="T205" s="1">
        <f t="shared" si="14"/>
        <v>93.671118527508028</v>
      </c>
      <c r="U205" s="1">
        <f t="shared" si="15"/>
        <v>74.825381472491841</v>
      </c>
    </row>
    <row r="206" spans="1:21" x14ac:dyDescent="0.3">
      <c r="A206" t="s">
        <v>57</v>
      </c>
      <c r="B206" t="s">
        <v>649</v>
      </c>
      <c r="C206" t="s">
        <v>580</v>
      </c>
      <c r="D206" t="s">
        <v>581</v>
      </c>
      <c r="E206" s="2">
        <v>362.435</v>
      </c>
      <c r="F206" s="2">
        <v>8.7999999999999995E-2</v>
      </c>
      <c r="G206" s="2">
        <v>75.491499999999903</v>
      </c>
      <c r="H206" s="2">
        <v>-75.219499999999996</v>
      </c>
      <c r="I206" s="1">
        <v>0.91645812352559697</v>
      </c>
      <c r="J206" s="1">
        <v>0.91495716473298605</v>
      </c>
      <c r="K206" s="1">
        <v>0.73811883636800901</v>
      </c>
      <c r="L206" s="1">
        <v>0.59341785296938798</v>
      </c>
      <c r="P206" s="1">
        <f>I206-'Passo 2'!I206</f>
        <v>4.7823747706485009E-2</v>
      </c>
      <c r="Q206" s="1">
        <f>J206-'Passo 2'!J206</f>
        <v>1.3086484473078031E-2</v>
      </c>
      <c r="R206" s="1">
        <f t="shared" si="13"/>
        <v>332.15649999999977</v>
      </c>
      <c r="S206">
        <f t="shared" si="12"/>
        <v>331.61249999999978</v>
      </c>
      <c r="T206" s="1">
        <f t="shared" si="14"/>
        <v>267.52010045903933</v>
      </c>
      <c r="U206" s="1">
        <f t="shared" si="15"/>
        <v>215.07539954096015</v>
      </c>
    </row>
    <row r="207" spans="1:21" x14ac:dyDescent="0.3">
      <c r="A207" t="s">
        <v>57</v>
      </c>
      <c r="B207" t="s">
        <v>156</v>
      </c>
      <c r="C207" t="s">
        <v>580</v>
      </c>
      <c r="D207" t="s">
        <v>581</v>
      </c>
      <c r="E207" s="2">
        <v>98.14</v>
      </c>
      <c r="F207" s="2">
        <v>0</v>
      </c>
      <c r="G207" s="2">
        <v>19.397749999999998</v>
      </c>
      <c r="H207" s="2">
        <v>-23.548999999999999</v>
      </c>
      <c r="I207" s="1">
        <v>0.89530772366007705</v>
      </c>
      <c r="J207" s="1">
        <v>0.97990625636845297</v>
      </c>
      <c r="K207" s="1">
        <v>0.66499122843464498</v>
      </c>
      <c r="L207" s="1">
        <v>0.71022275159388504</v>
      </c>
      <c r="P207" s="1">
        <f>I207-'Passo 2'!I207</f>
        <v>6.1162624821682998E-2</v>
      </c>
      <c r="Q207" s="1">
        <f>J207-'Passo 2'!J207</f>
        <v>3.9474220501324986E-2</v>
      </c>
      <c r="R207" s="1">
        <f t="shared" si="13"/>
        <v>87.865499999999969</v>
      </c>
      <c r="S207">
        <f t="shared" si="12"/>
        <v>96.167999999999978</v>
      </c>
      <c r="T207" s="1">
        <f t="shared" si="14"/>
        <v>65.262239158576065</v>
      </c>
      <c r="U207" s="1">
        <f t="shared" si="15"/>
        <v>69.701260841423874</v>
      </c>
    </row>
    <row r="208" spans="1:21" x14ac:dyDescent="0.3">
      <c r="A208" t="s">
        <v>57</v>
      </c>
      <c r="B208" t="s">
        <v>650</v>
      </c>
      <c r="C208" t="s">
        <v>580</v>
      </c>
      <c r="D208" t="s">
        <v>581</v>
      </c>
      <c r="E208" s="2">
        <v>0</v>
      </c>
      <c r="F208" s="2">
        <v>0</v>
      </c>
      <c r="G208" s="2">
        <v>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P208" s="1">
        <f>I208-'Passo 2'!I208</f>
        <v>0</v>
      </c>
      <c r="Q208" s="1">
        <f>J208-'Passo 2'!J208</f>
        <v>0</v>
      </c>
      <c r="R208" s="1">
        <f t="shared" si="13"/>
        <v>0</v>
      </c>
      <c r="S208">
        <f t="shared" si="12"/>
        <v>0</v>
      </c>
      <c r="T208" s="1">
        <f t="shared" si="14"/>
        <v>0</v>
      </c>
      <c r="U208" s="1">
        <f t="shared" si="15"/>
        <v>0</v>
      </c>
    </row>
    <row r="209" spans="1:21" x14ac:dyDescent="0.3">
      <c r="A209" t="s">
        <v>57</v>
      </c>
      <c r="B209" t="s">
        <v>157</v>
      </c>
      <c r="C209" t="s">
        <v>34</v>
      </c>
      <c r="D209" t="s">
        <v>35</v>
      </c>
      <c r="E209" s="2">
        <v>208.697</v>
      </c>
      <c r="F209" s="2">
        <v>0</v>
      </c>
      <c r="G209" s="2">
        <v>52.000999999999998</v>
      </c>
      <c r="H209" s="2">
        <v>-51.643749999999997</v>
      </c>
      <c r="I209" s="1">
        <v>0.99833969822278201</v>
      </c>
      <c r="J209" s="1">
        <v>0.99491607450035202</v>
      </c>
      <c r="K209" s="1">
        <v>0.87162595478187599</v>
      </c>
      <c r="L209" s="1">
        <v>0.62162981794125804</v>
      </c>
      <c r="P209" s="1">
        <f>I209-'Passo 2'!I209</f>
        <v>8.0523438286129734E-3</v>
      </c>
      <c r="Q209" s="1">
        <f>J209-'Passo 2'!J209</f>
        <v>2.8795334863462974E-2</v>
      </c>
      <c r="R209" s="1">
        <f t="shared" si="13"/>
        <v>208.35049999999995</v>
      </c>
      <c r="S209">
        <f t="shared" si="12"/>
        <v>207.63599999999997</v>
      </c>
      <c r="T209" s="1">
        <f t="shared" si="14"/>
        <v>181.90572188511317</v>
      </c>
      <c r="U209" s="1">
        <f t="shared" si="15"/>
        <v>129.73227811488673</v>
      </c>
    </row>
    <row r="210" spans="1:21" x14ac:dyDescent="0.3">
      <c r="A210" t="s">
        <v>57</v>
      </c>
      <c r="B210" t="s">
        <v>158</v>
      </c>
      <c r="C210" t="s">
        <v>580</v>
      </c>
      <c r="D210" t="s">
        <v>581</v>
      </c>
      <c r="E210" s="2">
        <v>401.07400000000001</v>
      </c>
      <c r="F210" s="2">
        <v>0</v>
      </c>
      <c r="G210" s="2">
        <v>93.391249999999999</v>
      </c>
      <c r="H210" s="2">
        <v>-97.03</v>
      </c>
      <c r="I210" s="1">
        <v>0.96570582984686104</v>
      </c>
      <c r="J210" s="1">
        <v>0.98385086043971903</v>
      </c>
      <c r="K210" s="1">
        <v>0.80692144454195502</v>
      </c>
      <c r="L210" s="1">
        <v>0.64263524574462505</v>
      </c>
      <c r="P210" s="1">
        <f>I210-'Passo 2'!I210</f>
        <v>1.5714057754928068E-2</v>
      </c>
      <c r="Q210" s="1">
        <f>J210-'Passo 2'!J210</f>
        <v>-9.632885701889915E-3</v>
      </c>
      <c r="R210" s="1">
        <f t="shared" si="13"/>
        <v>387.31949999999995</v>
      </c>
      <c r="S210">
        <f t="shared" si="12"/>
        <v>394.59699999999987</v>
      </c>
      <c r="T210" s="1">
        <f t="shared" si="14"/>
        <v>323.6352114482201</v>
      </c>
      <c r="U210" s="1">
        <f t="shared" si="15"/>
        <v>257.74428855177973</v>
      </c>
    </row>
    <row r="211" spans="1:21" x14ac:dyDescent="0.3">
      <c r="A211" t="s">
        <v>57</v>
      </c>
      <c r="B211" t="s">
        <v>159</v>
      </c>
      <c r="C211" t="s">
        <v>580</v>
      </c>
      <c r="D211" t="s">
        <v>581</v>
      </c>
      <c r="E211" s="2">
        <v>240.53100000000001</v>
      </c>
      <c r="F211" s="2">
        <v>0</v>
      </c>
      <c r="G211" s="2">
        <v>54.369250000000001</v>
      </c>
      <c r="H211" s="2">
        <v>-50.598499999999902</v>
      </c>
      <c r="I211" s="1">
        <v>0.95207686327334096</v>
      </c>
      <c r="J211" s="1">
        <v>0.92072331632928694</v>
      </c>
      <c r="K211" s="1">
        <v>0.68239670726453605</v>
      </c>
      <c r="L211" s="1">
        <v>0.69040347233809196</v>
      </c>
      <c r="P211" s="1">
        <f>I211-'Passo 2'!I211</f>
        <v>5.7393849441443989E-2</v>
      </c>
      <c r="Q211" s="1">
        <f>J211-'Passo 2'!J211</f>
        <v>1.5411734869932969E-2</v>
      </c>
      <c r="R211" s="1">
        <f t="shared" si="13"/>
        <v>229.00399999999999</v>
      </c>
      <c r="S211">
        <f t="shared" si="12"/>
        <v>221.46249999999972</v>
      </c>
      <c r="T211" s="1">
        <f t="shared" si="14"/>
        <v>164.13756239504613</v>
      </c>
      <c r="U211" s="1">
        <f t="shared" si="15"/>
        <v>166.06343760495361</v>
      </c>
    </row>
    <row r="212" spans="1:21" x14ac:dyDescent="0.3">
      <c r="A212" t="s">
        <v>57</v>
      </c>
      <c r="B212" t="s">
        <v>651</v>
      </c>
      <c r="C212" t="s">
        <v>580</v>
      </c>
      <c r="D212" t="s">
        <v>581</v>
      </c>
      <c r="E212" s="2">
        <v>230.49199999999999</v>
      </c>
      <c r="F212" s="2">
        <v>0</v>
      </c>
      <c r="G212" s="2">
        <v>53.438000000000002</v>
      </c>
      <c r="H212" s="2">
        <v>-56.77825</v>
      </c>
      <c r="I212" s="1">
        <v>0.96368637523211198</v>
      </c>
      <c r="J212" s="1">
        <v>0.99267002759314804</v>
      </c>
      <c r="K212" s="1">
        <v>0.68444986549161202</v>
      </c>
      <c r="L212" s="1">
        <v>0.771906537333648</v>
      </c>
      <c r="P212" s="1">
        <f>I212-'Passo 2'!I212</f>
        <v>9.173637262898493E-2</v>
      </c>
      <c r="Q212" s="1">
        <f>J212-'Passo 2'!J212</f>
        <v>4.6526560574770004E-2</v>
      </c>
      <c r="R212" s="1">
        <f t="shared" si="13"/>
        <v>222.12199999999996</v>
      </c>
      <c r="S212">
        <f t="shared" si="12"/>
        <v>228.80249999999987</v>
      </c>
      <c r="T212" s="1">
        <f t="shared" si="14"/>
        <v>157.76021839689264</v>
      </c>
      <c r="U212" s="1">
        <f t="shared" si="15"/>
        <v>177.91828160310718</v>
      </c>
    </row>
    <row r="213" spans="1:21" x14ac:dyDescent="0.3">
      <c r="A213" t="s">
        <v>57</v>
      </c>
      <c r="B213" t="s">
        <v>160</v>
      </c>
      <c r="C213" t="s">
        <v>580</v>
      </c>
      <c r="D213" t="s">
        <v>581</v>
      </c>
      <c r="E213" s="2">
        <v>536.93200000000002</v>
      </c>
      <c r="F213" s="2">
        <v>0</v>
      </c>
      <c r="G213" s="2">
        <v>131.58775</v>
      </c>
      <c r="H213" s="2">
        <v>-132.15924999999999</v>
      </c>
      <c r="I213" s="1">
        <v>0.99014679698732699</v>
      </c>
      <c r="J213" s="1">
        <v>0.99227555817123902</v>
      </c>
      <c r="K213" s="1">
        <v>0.79264933187046105</v>
      </c>
      <c r="L213" s="1">
        <v>0.68977302328810597</v>
      </c>
      <c r="P213" s="1">
        <f>I213-'Passo 2'!I213</f>
        <v>1.5823232737105952E-2</v>
      </c>
      <c r="Q213" s="1">
        <f>J213-'Passo 2'!J213</f>
        <v>-2.6353430229497654E-4</v>
      </c>
      <c r="R213" s="1">
        <f t="shared" si="13"/>
        <v>531.6414999999995</v>
      </c>
      <c r="S213">
        <f t="shared" si="12"/>
        <v>532.78449999999975</v>
      </c>
      <c r="T213" s="1">
        <f t="shared" si="14"/>
        <v>425.59879105987039</v>
      </c>
      <c r="U213" s="1">
        <f t="shared" si="15"/>
        <v>370.3612089401293</v>
      </c>
    </row>
    <row r="214" spans="1:21" x14ac:dyDescent="0.3">
      <c r="A214" t="s">
        <v>57</v>
      </c>
      <c r="B214" t="s">
        <v>652</v>
      </c>
      <c r="C214" t="s">
        <v>580</v>
      </c>
      <c r="D214" t="s">
        <v>581</v>
      </c>
      <c r="E214" s="2">
        <v>90.959000000000003</v>
      </c>
      <c r="F214" s="2">
        <v>0</v>
      </c>
      <c r="G214" s="2">
        <v>20.038</v>
      </c>
      <c r="H214" s="2">
        <v>-20.2775</v>
      </c>
      <c r="I214" s="1">
        <v>0.94059411383150604</v>
      </c>
      <c r="J214" s="1">
        <v>0.94586022273771697</v>
      </c>
      <c r="K214" s="1">
        <v>0.79000977217552804</v>
      </c>
      <c r="L214" s="1">
        <v>0.59644456439369398</v>
      </c>
      <c r="P214" s="1">
        <f>I214-'Passo 2'!I214</f>
        <v>-8.9710748798909057E-3</v>
      </c>
      <c r="Q214" s="1">
        <f>J214-'Passo 2'!J214</f>
        <v>2.8617289108279986E-2</v>
      </c>
      <c r="R214" s="1">
        <f t="shared" si="13"/>
        <v>85.555499999999967</v>
      </c>
      <c r="S214">
        <f t="shared" si="12"/>
        <v>86.034499999999994</v>
      </c>
      <c r="T214" s="1">
        <f t="shared" si="14"/>
        <v>71.858498867313855</v>
      </c>
      <c r="U214" s="1">
        <f t="shared" si="15"/>
        <v>54.252001132686011</v>
      </c>
    </row>
    <row r="215" spans="1:21" x14ac:dyDescent="0.3">
      <c r="A215" t="s">
        <v>57</v>
      </c>
      <c r="B215" t="s">
        <v>653</v>
      </c>
      <c r="C215" t="s">
        <v>580</v>
      </c>
      <c r="D215" t="s">
        <v>581</v>
      </c>
      <c r="E215" s="2">
        <v>510.298</v>
      </c>
      <c r="F215" s="2">
        <v>0</v>
      </c>
      <c r="G215" s="2">
        <v>116.82250000000001</v>
      </c>
      <c r="H215" s="2">
        <v>-124.697</v>
      </c>
      <c r="I215" s="1">
        <v>0.95785991714645102</v>
      </c>
      <c r="J215" s="1">
        <v>0.98872227600343299</v>
      </c>
      <c r="K215" s="1">
        <v>0.70394908401589096</v>
      </c>
      <c r="L215" s="1">
        <v>0.74263310913399305</v>
      </c>
      <c r="P215" s="1">
        <f>I215-'Passo 2'!I215</f>
        <v>5.2275337155936019E-2</v>
      </c>
      <c r="Q215" s="1">
        <f>J215-'Passo 2'!J215</f>
        <v>5.6062340044444992E-2</v>
      </c>
      <c r="R215" s="1">
        <f t="shared" si="13"/>
        <v>488.79399999999964</v>
      </c>
      <c r="S215">
        <f t="shared" si="12"/>
        <v>504.54299999999984</v>
      </c>
      <c r="T215" s="1">
        <f t="shared" si="14"/>
        <v>359.22380967514113</v>
      </c>
      <c r="U215" s="1">
        <f t="shared" si="15"/>
        <v>378.96419032485841</v>
      </c>
    </row>
    <row r="216" spans="1:21" x14ac:dyDescent="0.3">
      <c r="A216" t="s">
        <v>57</v>
      </c>
      <c r="B216" t="s">
        <v>161</v>
      </c>
      <c r="C216" t="s">
        <v>580</v>
      </c>
      <c r="D216" t="s">
        <v>581</v>
      </c>
      <c r="E216" s="2">
        <v>82.251000000000005</v>
      </c>
      <c r="F216" s="2">
        <v>0</v>
      </c>
      <c r="G216" s="2">
        <v>20.562750000000001</v>
      </c>
      <c r="H216" s="2">
        <v>-18.869</v>
      </c>
      <c r="I216" s="1">
        <v>1</v>
      </c>
      <c r="J216" s="1">
        <v>0.95881509039403701</v>
      </c>
      <c r="K216" s="1">
        <v>0.88563103855004699</v>
      </c>
      <c r="L216" s="1">
        <v>0.57318405184399002</v>
      </c>
      <c r="P216" s="1">
        <f>I216-'Passo 2'!I216</f>
        <v>3.2297479665901019E-2</v>
      </c>
      <c r="Q216" s="1">
        <f>J216-'Passo 2'!J216</f>
        <v>-1.2826591773960061E-3</v>
      </c>
      <c r="R216" s="1">
        <f t="shared" si="13"/>
        <v>82.251000000000005</v>
      </c>
      <c r="S216">
        <f t="shared" si="12"/>
        <v>78.863499999999945</v>
      </c>
      <c r="T216" s="1">
        <f t="shared" si="14"/>
        <v>72.844038551779917</v>
      </c>
      <c r="U216" s="1">
        <f t="shared" si="15"/>
        <v>47.144961448220023</v>
      </c>
    </row>
    <row r="217" spans="1:21" x14ac:dyDescent="0.3">
      <c r="A217" t="s">
        <v>57</v>
      </c>
      <c r="B217" t="s">
        <v>162</v>
      </c>
      <c r="C217" t="s">
        <v>580</v>
      </c>
      <c r="D217" t="s">
        <v>581</v>
      </c>
      <c r="E217" s="2">
        <v>241.01400000000001</v>
      </c>
      <c r="F217" s="2">
        <v>0</v>
      </c>
      <c r="G217" s="2">
        <v>52.939749999999997</v>
      </c>
      <c r="H217" s="2">
        <v>-56.722499999999997</v>
      </c>
      <c r="I217" s="1">
        <v>0.93930850490012996</v>
      </c>
      <c r="J217" s="1">
        <v>0.97069879758022304</v>
      </c>
      <c r="K217" s="1">
        <v>0.74248198526140696</v>
      </c>
      <c r="L217" s="1">
        <v>0.66752531721894603</v>
      </c>
      <c r="P217" s="1">
        <f>I217-'Passo 2'!I217</f>
        <v>3.836084210875701E-2</v>
      </c>
      <c r="Q217" s="1">
        <f>J217-'Passo 2'!J217</f>
        <v>1.1107238583651036E-2</v>
      </c>
      <c r="R217" s="1">
        <f t="shared" si="13"/>
        <v>226.38649999999993</v>
      </c>
      <c r="S217">
        <f t="shared" si="12"/>
        <v>233.95199999999988</v>
      </c>
      <c r="T217" s="1">
        <f t="shared" si="14"/>
        <v>178.94855319579275</v>
      </c>
      <c r="U217" s="1">
        <f t="shared" si="15"/>
        <v>160.88294680420708</v>
      </c>
    </row>
    <row r="218" spans="1:21" x14ac:dyDescent="0.3">
      <c r="A218" t="s">
        <v>57</v>
      </c>
      <c r="B218" t="s">
        <v>163</v>
      </c>
      <c r="C218" t="s">
        <v>580</v>
      </c>
      <c r="D218" t="s">
        <v>581</v>
      </c>
      <c r="E218" s="2">
        <v>224.31100000000001</v>
      </c>
      <c r="F218" s="2">
        <v>0</v>
      </c>
      <c r="G218" s="2">
        <v>45.553750000000001</v>
      </c>
      <c r="H218" s="2">
        <v>-50.859749999999998</v>
      </c>
      <c r="I218" s="1">
        <v>0.90616599275113496</v>
      </c>
      <c r="J218" s="1">
        <v>0.95347530883460896</v>
      </c>
      <c r="K218" s="1">
        <v>0.72631292662194502</v>
      </c>
      <c r="L218" s="1">
        <v>0.63332837496379901</v>
      </c>
      <c r="P218" s="1">
        <f>I218-'Passo 2'!I218</f>
        <v>4.5822541025628993E-2</v>
      </c>
      <c r="Q218" s="1">
        <f>J218-'Passo 2'!J218</f>
        <v>2.1372112825497003E-2</v>
      </c>
      <c r="R218" s="1">
        <f t="shared" si="13"/>
        <v>203.26299999999983</v>
      </c>
      <c r="S218">
        <f t="shared" si="12"/>
        <v>213.87499999999997</v>
      </c>
      <c r="T218" s="1">
        <f t="shared" si="14"/>
        <v>162.91997888349511</v>
      </c>
      <c r="U218" s="1">
        <f t="shared" si="15"/>
        <v>142.06252111650471</v>
      </c>
    </row>
    <row r="219" spans="1:21" x14ac:dyDescent="0.3">
      <c r="A219" t="s">
        <v>57</v>
      </c>
      <c r="B219" t="s">
        <v>164</v>
      </c>
      <c r="C219" t="s">
        <v>580</v>
      </c>
      <c r="D219" t="s">
        <v>581</v>
      </c>
      <c r="E219" s="2">
        <v>67.177000000000007</v>
      </c>
      <c r="F219" s="2">
        <v>0</v>
      </c>
      <c r="G219" s="2">
        <v>16.524750000000001</v>
      </c>
      <c r="H219" s="2">
        <v>-14.67675</v>
      </c>
      <c r="I219" s="1">
        <v>0.99197642050106405</v>
      </c>
      <c r="J219" s="1">
        <v>0.936957589651219</v>
      </c>
      <c r="K219" s="1">
        <v>0.87510987312029298</v>
      </c>
      <c r="L219" s="1">
        <v>0.55382413703199096</v>
      </c>
      <c r="P219" s="1">
        <f>I219-'Passo 2'!I219</f>
        <v>0.13446566533188509</v>
      </c>
      <c r="Q219" s="1">
        <f>J219-'Passo 2'!J219</f>
        <v>8.0607946172049916E-3</v>
      </c>
      <c r="R219" s="1">
        <f t="shared" si="13"/>
        <v>66.637999999999991</v>
      </c>
      <c r="S219">
        <f t="shared" si="12"/>
        <v>62.941999999999943</v>
      </c>
      <c r="T219" s="1">
        <f t="shared" si="14"/>
        <v>58.787255946601924</v>
      </c>
      <c r="U219" s="1">
        <f t="shared" si="15"/>
        <v>37.204244053398064</v>
      </c>
    </row>
    <row r="220" spans="1:21" x14ac:dyDescent="0.3">
      <c r="A220" t="s">
        <v>57</v>
      </c>
      <c r="B220" t="s">
        <v>165</v>
      </c>
      <c r="C220" t="s">
        <v>580</v>
      </c>
      <c r="D220" t="s">
        <v>581</v>
      </c>
      <c r="E220" s="2">
        <v>103.54300000000001</v>
      </c>
      <c r="F220" s="2">
        <v>0</v>
      </c>
      <c r="G220" s="2">
        <v>16.956499999999998</v>
      </c>
      <c r="H220" s="2">
        <v>-24.33475</v>
      </c>
      <c r="I220" s="1">
        <v>0.827525762243705</v>
      </c>
      <c r="J220" s="1">
        <v>0.97004143206204096</v>
      </c>
      <c r="K220" s="1">
        <v>0.73235313302757699</v>
      </c>
      <c r="L220" s="1">
        <v>0.56521406127816998</v>
      </c>
      <c r="P220" s="1">
        <f>I220-'Passo 2'!I220</f>
        <v>-1.9315646640039041E-5</v>
      </c>
      <c r="Q220" s="1">
        <f>J220-'Passo 2'!J220</f>
        <v>5.7898650802082008E-2</v>
      </c>
      <c r="R220" s="1">
        <f t="shared" si="13"/>
        <v>85.684499999999957</v>
      </c>
      <c r="S220">
        <f t="shared" si="12"/>
        <v>100.44099999999992</v>
      </c>
      <c r="T220" s="1">
        <f t="shared" si="14"/>
        <v>75.830040453074403</v>
      </c>
      <c r="U220" s="1">
        <f t="shared" si="15"/>
        <v>58.52395954692556</v>
      </c>
    </row>
    <row r="221" spans="1:21" x14ac:dyDescent="0.3">
      <c r="A221" t="s">
        <v>57</v>
      </c>
      <c r="B221" t="s">
        <v>166</v>
      </c>
      <c r="C221" t="s">
        <v>580</v>
      </c>
      <c r="D221" t="s">
        <v>581</v>
      </c>
      <c r="E221" s="2">
        <v>0</v>
      </c>
      <c r="F221" s="2">
        <v>0</v>
      </c>
      <c r="G221" s="2">
        <v>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P221" s="1">
        <f>I221-'Passo 2'!I221</f>
        <v>0</v>
      </c>
      <c r="Q221" s="1">
        <f>J221-'Passo 2'!J221</f>
        <v>0</v>
      </c>
      <c r="R221" s="1">
        <f t="shared" si="13"/>
        <v>0</v>
      </c>
      <c r="S221">
        <f t="shared" si="12"/>
        <v>0</v>
      </c>
      <c r="T221" s="1">
        <f t="shared" si="14"/>
        <v>0</v>
      </c>
      <c r="U221" s="1">
        <f t="shared" si="15"/>
        <v>0</v>
      </c>
    </row>
    <row r="222" spans="1:21" x14ac:dyDescent="0.3">
      <c r="A222" t="s">
        <v>57</v>
      </c>
      <c r="B222" t="s">
        <v>654</v>
      </c>
      <c r="C222" t="s">
        <v>580</v>
      </c>
      <c r="D222" t="s">
        <v>581</v>
      </c>
      <c r="E222" s="2">
        <v>103.39700000000001</v>
      </c>
      <c r="F222" s="2">
        <v>0</v>
      </c>
      <c r="G222" s="2">
        <v>25.4465</v>
      </c>
      <c r="H222" s="2">
        <v>-25.4605</v>
      </c>
      <c r="I222" s="1">
        <v>0.99220963857752098</v>
      </c>
      <c r="J222" s="1">
        <v>0.99248043947116404</v>
      </c>
      <c r="K222" s="1">
        <v>0.79879178904206005</v>
      </c>
      <c r="L222" s="1">
        <v>0.68589828900662497</v>
      </c>
      <c r="P222" s="1">
        <f>I222-'Passo 2'!I222</f>
        <v>-3.4333684729703773E-4</v>
      </c>
      <c r="Q222" s="1">
        <f>J222-'Passo 2'!J222</f>
        <v>2.2041258450439027E-2</v>
      </c>
      <c r="R222" s="1">
        <f t="shared" si="13"/>
        <v>102.59149999999994</v>
      </c>
      <c r="S222">
        <f t="shared" si="12"/>
        <v>102.61949999999996</v>
      </c>
      <c r="T222" s="1">
        <f t="shared" si="14"/>
        <v>82.592674611581884</v>
      </c>
      <c r="U222" s="1">
        <f t="shared" si="15"/>
        <v>70.919825388418005</v>
      </c>
    </row>
    <row r="223" spans="1:21" x14ac:dyDescent="0.3">
      <c r="A223" t="s">
        <v>57</v>
      </c>
      <c r="B223" t="s">
        <v>167</v>
      </c>
      <c r="C223" t="s">
        <v>580</v>
      </c>
      <c r="D223" t="s">
        <v>581</v>
      </c>
      <c r="E223" s="2">
        <v>96.573999999999998</v>
      </c>
      <c r="F223" s="2">
        <v>0</v>
      </c>
      <c r="G223" s="2">
        <v>23.2225</v>
      </c>
      <c r="H223" s="2">
        <v>-22.323</v>
      </c>
      <c r="I223" s="1">
        <v>0.980926543376064</v>
      </c>
      <c r="J223" s="1">
        <v>0.96229834116843005</v>
      </c>
      <c r="K223" s="1">
        <v>0.82135486735091101</v>
      </c>
      <c r="L223" s="1">
        <v>0.62187001719358204</v>
      </c>
      <c r="P223" s="1">
        <f>I223-'Passo 2'!I223</f>
        <v>1.7628968459419969E-2</v>
      </c>
      <c r="Q223" s="1">
        <f>J223-'Passo 2'!J223</f>
        <v>0</v>
      </c>
      <c r="R223" s="1">
        <f t="shared" si="13"/>
        <v>94.731999999999999</v>
      </c>
      <c r="S223">
        <f t="shared" si="12"/>
        <v>92.932999999999964</v>
      </c>
      <c r="T223" s="1">
        <f t="shared" si="14"/>
        <v>79.321524959546878</v>
      </c>
      <c r="U223" s="1">
        <f t="shared" si="15"/>
        <v>60.056475040452987</v>
      </c>
    </row>
    <row r="224" spans="1:21" x14ac:dyDescent="0.3">
      <c r="A224" t="s">
        <v>57</v>
      </c>
      <c r="B224" t="s">
        <v>168</v>
      </c>
      <c r="C224" t="s">
        <v>580</v>
      </c>
      <c r="D224" t="s">
        <v>581</v>
      </c>
      <c r="E224" s="2">
        <v>0</v>
      </c>
      <c r="F224" s="2">
        <v>0</v>
      </c>
      <c r="G224" s="2">
        <v>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P224" s="1">
        <f>I224-'Passo 2'!I224</f>
        <v>0</v>
      </c>
      <c r="Q224" s="1">
        <f>J224-'Passo 2'!J224</f>
        <v>0</v>
      </c>
      <c r="R224" s="1">
        <f t="shared" si="13"/>
        <v>0</v>
      </c>
      <c r="S224">
        <f t="shared" si="12"/>
        <v>0</v>
      </c>
      <c r="T224" s="1">
        <f t="shared" si="14"/>
        <v>0</v>
      </c>
      <c r="U224" s="1">
        <f t="shared" si="15"/>
        <v>0</v>
      </c>
    </row>
    <row r="225" spans="1:21" x14ac:dyDescent="0.3">
      <c r="A225" t="s">
        <v>57</v>
      </c>
      <c r="B225" t="s">
        <v>169</v>
      </c>
      <c r="C225" t="s">
        <v>580</v>
      </c>
      <c r="D225" t="s">
        <v>581</v>
      </c>
      <c r="E225" s="2">
        <v>88.206000000000003</v>
      </c>
      <c r="F225" s="2">
        <v>0</v>
      </c>
      <c r="G225" s="2">
        <v>21.309750000000001</v>
      </c>
      <c r="H225" s="2">
        <v>-21.323</v>
      </c>
      <c r="I225" s="1">
        <v>0.98318141623018795</v>
      </c>
      <c r="J225" s="1">
        <v>0.98348184930730298</v>
      </c>
      <c r="K225" s="1">
        <v>0.82019287466669899</v>
      </c>
      <c r="L225" s="1">
        <v>0.64647039087079206</v>
      </c>
      <c r="P225" s="1">
        <f>I225-'Passo 2'!I225</f>
        <v>1.5305081286989264E-3</v>
      </c>
      <c r="Q225" s="1">
        <f>J225-'Passo 2'!J225</f>
        <v>-7.8112600049879966E-3</v>
      </c>
      <c r="R225" s="1">
        <f t="shared" si="13"/>
        <v>86.722499999999968</v>
      </c>
      <c r="S225">
        <f t="shared" si="12"/>
        <v>86.748999999999967</v>
      </c>
      <c r="T225" s="1">
        <f t="shared" si="14"/>
        <v>72.34593270285086</v>
      </c>
      <c r="U225" s="1">
        <f t="shared" si="15"/>
        <v>57.022567297149088</v>
      </c>
    </row>
    <row r="226" spans="1:21" x14ac:dyDescent="0.3">
      <c r="A226" t="s">
        <v>57</v>
      </c>
      <c r="B226" t="s">
        <v>655</v>
      </c>
      <c r="C226" t="s">
        <v>580</v>
      </c>
      <c r="D226" t="s">
        <v>581</v>
      </c>
      <c r="E226" s="2">
        <v>141.893</v>
      </c>
      <c r="F226" s="2">
        <v>0</v>
      </c>
      <c r="G226" s="2">
        <v>29.545500000000001</v>
      </c>
      <c r="H226" s="2">
        <v>-28.971</v>
      </c>
      <c r="I226" s="1">
        <v>0.91644760488537103</v>
      </c>
      <c r="J226" s="1">
        <v>0.90834995383845496</v>
      </c>
      <c r="K226" s="1">
        <v>0.74668892157377198</v>
      </c>
      <c r="L226" s="1">
        <v>0.57810863715005401</v>
      </c>
      <c r="P226" s="1">
        <f>I226-'Passo 2'!I226</f>
        <v>9.4824973747820174E-3</v>
      </c>
      <c r="Q226" s="1">
        <f>J226-'Passo 2'!J226</f>
        <v>8.0447943168439062E-3</v>
      </c>
      <c r="R226" s="1">
        <f t="shared" si="13"/>
        <v>130.03749999999994</v>
      </c>
      <c r="S226">
        <f t="shared" si="12"/>
        <v>128.88849999999988</v>
      </c>
      <c r="T226" s="1">
        <f t="shared" si="14"/>
        <v>105.94993114886722</v>
      </c>
      <c r="U226" s="1">
        <f t="shared" si="15"/>
        <v>82.029568851132609</v>
      </c>
    </row>
    <row r="227" spans="1:21" x14ac:dyDescent="0.3">
      <c r="A227" t="s">
        <v>57</v>
      </c>
      <c r="B227" t="s">
        <v>656</v>
      </c>
      <c r="C227" t="s">
        <v>580</v>
      </c>
      <c r="D227" t="s">
        <v>581</v>
      </c>
      <c r="E227" s="2">
        <v>62.942</v>
      </c>
      <c r="F227" s="2">
        <v>0</v>
      </c>
      <c r="G227" s="2">
        <v>12.667249999999999</v>
      </c>
      <c r="H227" s="2">
        <v>-12.731</v>
      </c>
      <c r="I227" s="1">
        <v>0.90250548123669405</v>
      </c>
      <c r="J227" s="1">
        <v>0.90453115566712206</v>
      </c>
      <c r="K227" s="1">
        <v>0.72951984279151905</v>
      </c>
      <c r="L227" s="1">
        <v>0.57751679411229595</v>
      </c>
      <c r="P227" s="1">
        <f>I227-'Passo 2'!I227</f>
        <v>-7.4433605541609493E-3</v>
      </c>
      <c r="Q227" s="1">
        <f>J227-'Passo 2'!J227</f>
        <v>6.3510851259890089E-2</v>
      </c>
      <c r="R227" s="1">
        <f t="shared" si="13"/>
        <v>56.805499999999995</v>
      </c>
      <c r="S227">
        <f t="shared" si="12"/>
        <v>56.933</v>
      </c>
      <c r="T227" s="1">
        <f t="shared" si="14"/>
        <v>45.917437944983789</v>
      </c>
      <c r="U227" s="1">
        <f t="shared" si="15"/>
        <v>36.350062055016132</v>
      </c>
    </row>
    <row r="228" spans="1:21" x14ac:dyDescent="0.3">
      <c r="A228" t="s">
        <v>57</v>
      </c>
      <c r="B228" t="s">
        <v>657</v>
      </c>
      <c r="C228" t="s">
        <v>580</v>
      </c>
      <c r="D228" t="s">
        <v>581</v>
      </c>
      <c r="E228" s="2">
        <v>121.328</v>
      </c>
      <c r="F228" s="2">
        <v>0</v>
      </c>
      <c r="G228" s="2">
        <v>26.494999999999902</v>
      </c>
      <c r="H228" s="2">
        <v>-27.030999999999999</v>
      </c>
      <c r="I228" s="1">
        <v>0.93674996703151703</v>
      </c>
      <c r="J228" s="1">
        <v>0.94558552024264797</v>
      </c>
      <c r="K228" s="1">
        <v>0.788124408981275</v>
      </c>
      <c r="L228" s="1">
        <v>0.59421107829288899</v>
      </c>
      <c r="P228" s="1">
        <f>I228-'Passo 2'!I228</f>
        <v>1.977696821838304E-2</v>
      </c>
      <c r="Q228" s="1">
        <f>J228-'Passo 2'!J228</f>
        <v>5.6639852301200944E-2</v>
      </c>
      <c r="R228" s="1">
        <f t="shared" si="13"/>
        <v>113.6539999999999</v>
      </c>
      <c r="S228">
        <f t="shared" si="12"/>
        <v>114.726</v>
      </c>
      <c r="T228" s="1">
        <f t="shared" si="14"/>
        <v>95.621558292880138</v>
      </c>
      <c r="U228" s="1">
        <f t="shared" si="15"/>
        <v>72.094441707119643</v>
      </c>
    </row>
    <row r="229" spans="1:21" x14ac:dyDescent="0.3">
      <c r="A229" t="s">
        <v>57</v>
      </c>
      <c r="B229" t="s">
        <v>658</v>
      </c>
      <c r="C229" t="s">
        <v>34</v>
      </c>
      <c r="D229" t="s">
        <v>35</v>
      </c>
      <c r="E229" s="2">
        <v>220.27</v>
      </c>
      <c r="F229" s="2">
        <v>0</v>
      </c>
      <c r="G229" s="2">
        <v>54.815249999999999</v>
      </c>
      <c r="H229" s="2">
        <v>-54.070250000000001</v>
      </c>
      <c r="I229" s="1">
        <v>0.99770962909156902</v>
      </c>
      <c r="J229" s="1">
        <v>0.99094520361374605</v>
      </c>
      <c r="K229" s="1">
        <v>0.90314523597153895</v>
      </c>
      <c r="L229" s="1">
        <v>0.58550959673377601</v>
      </c>
      <c r="P229" s="1">
        <f>I229-'Passo 2'!I229</f>
        <v>8.8164525355249879E-3</v>
      </c>
      <c r="Q229" s="1">
        <f>J229-'Passo 2'!J229</f>
        <v>2.6873836655014083E-2</v>
      </c>
      <c r="R229" s="1">
        <f t="shared" si="13"/>
        <v>219.76549999999992</v>
      </c>
      <c r="S229">
        <f t="shared" si="12"/>
        <v>218.27549999999985</v>
      </c>
      <c r="T229" s="1">
        <f t="shared" si="14"/>
        <v>198.9358011274509</v>
      </c>
      <c r="U229" s="1">
        <f t="shared" si="15"/>
        <v>128.97019887254885</v>
      </c>
    </row>
    <row r="230" spans="1:21" x14ac:dyDescent="0.3">
      <c r="A230" t="s">
        <v>57</v>
      </c>
      <c r="B230" t="s">
        <v>170</v>
      </c>
      <c r="C230" t="s">
        <v>34</v>
      </c>
      <c r="D230" t="s">
        <v>35</v>
      </c>
      <c r="E230" s="2">
        <v>262.267</v>
      </c>
      <c r="F230" s="2">
        <v>0</v>
      </c>
      <c r="G230" s="2">
        <v>56.697749999999999</v>
      </c>
      <c r="H230" s="2">
        <v>-62.902999999999999</v>
      </c>
      <c r="I230" s="1">
        <v>0.93236663400275199</v>
      </c>
      <c r="J230" s="1">
        <v>0.97968673146068697</v>
      </c>
      <c r="K230" s="1">
        <v>0.83223067205049295</v>
      </c>
      <c r="L230" s="1">
        <v>0.57982269341294601</v>
      </c>
      <c r="P230" s="1">
        <f>I230-'Passo 2'!I230</f>
        <v>7.2084936343496997E-2</v>
      </c>
      <c r="Q230" s="1">
        <f>J230-'Passo 2'!J230</f>
        <v>8.7189772254992914E-2</v>
      </c>
      <c r="R230" s="1">
        <f t="shared" si="13"/>
        <v>244.52899999999974</v>
      </c>
      <c r="S230">
        <f t="shared" si="12"/>
        <v>256.93950000000001</v>
      </c>
      <c r="T230" s="1">
        <f t="shared" si="14"/>
        <v>218.26664166666663</v>
      </c>
      <c r="U230" s="1">
        <f t="shared" si="15"/>
        <v>152.06835833333312</v>
      </c>
    </row>
    <row r="231" spans="1:21" x14ac:dyDescent="0.3">
      <c r="A231" t="s">
        <v>57</v>
      </c>
      <c r="B231" t="s">
        <v>171</v>
      </c>
      <c r="C231" t="s">
        <v>580</v>
      </c>
      <c r="D231" t="s">
        <v>581</v>
      </c>
      <c r="E231" s="2">
        <v>492.46</v>
      </c>
      <c r="F231" s="2">
        <v>0</v>
      </c>
      <c r="G231" s="2">
        <v>106.816</v>
      </c>
      <c r="H231" s="2">
        <v>-115.68325</v>
      </c>
      <c r="I231" s="1">
        <v>0.93380579133330599</v>
      </c>
      <c r="J231" s="1">
        <v>0.96981785322665803</v>
      </c>
      <c r="K231" s="1">
        <v>0.68966524559286002</v>
      </c>
      <c r="L231" s="1">
        <v>0.713958398967103</v>
      </c>
      <c r="P231" s="1">
        <f>I231-'Passo 2'!I231</f>
        <v>6.7099865978963003E-2</v>
      </c>
      <c r="Q231" s="1">
        <f>J231-'Passo 2'!J231</f>
        <v>3.8490435771434073E-2</v>
      </c>
      <c r="R231" s="1">
        <f t="shared" si="13"/>
        <v>459.86199999999985</v>
      </c>
      <c r="S231">
        <f t="shared" si="12"/>
        <v>477.59649999999999</v>
      </c>
      <c r="T231" s="1">
        <f t="shared" si="14"/>
        <v>339.63254684465983</v>
      </c>
      <c r="U231" s="1">
        <f t="shared" si="15"/>
        <v>351.59595315533954</v>
      </c>
    </row>
    <row r="232" spans="1:21" x14ac:dyDescent="0.3">
      <c r="A232" t="s">
        <v>57</v>
      </c>
      <c r="B232" t="s">
        <v>659</v>
      </c>
      <c r="C232" t="s">
        <v>580</v>
      </c>
      <c r="D232" t="s">
        <v>581</v>
      </c>
      <c r="E232" s="2">
        <v>518.95600000000002</v>
      </c>
      <c r="F232" s="2">
        <v>0</v>
      </c>
      <c r="G232" s="2">
        <v>97.713750000000005</v>
      </c>
      <c r="H232" s="2">
        <v>-107.842249999999</v>
      </c>
      <c r="I232" s="1">
        <v>0.87657816847671099</v>
      </c>
      <c r="J232" s="1">
        <v>0.91561230624561596</v>
      </c>
      <c r="K232" s="1">
        <v>0.63720380569393598</v>
      </c>
      <c r="L232" s="1">
        <v>0.65498666902839098</v>
      </c>
      <c r="P232" s="1">
        <f>I232-'Passo 2'!I232</f>
        <v>6.1259528746175018E-2</v>
      </c>
      <c r="Q232" s="1">
        <f>J232-'Passo 2'!J232</f>
        <v>6.8776543676149937E-2</v>
      </c>
      <c r="R232" s="1">
        <f t="shared" si="13"/>
        <v>454.90550000000007</v>
      </c>
      <c r="S232">
        <f t="shared" si="12"/>
        <v>475.16249999999991</v>
      </c>
      <c r="T232" s="1">
        <f t="shared" si="14"/>
        <v>330.68073818770227</v>
      </c>
      <c r="U232" s="1">
        <f t="shared" si="15"/>
        <v>339.9092618122977</v>
      </c>
    </row>
    <row r="233" spans="1:21" x14ac:dyDescent="0.3">
      <c r="A233" t="s">
        <v>57</v>
      </c>
      <c r="B233" t="s">
        <v>172</v>
      </c>
      <c r="C233" t="s">
        <v>580</v>
      </c>
      <c r="D233" t="s">
        <v>581</v>
      </c>
      <c r="E233" s="2">
        <v>170.59299999999999</v>
      </c>
      <c r="F233" s="2">
        <v>0</v>
      </c>
      <c r="G233" s="2">
        <v>31.489000000000001</v>
      </c>
      <c r="H233" s="2">
        <v>-36.40625</v>
      </c>
      <c r="I233" s="1">
        <v>0.86917106798051502</v>
      </c>
      <c r="J233" s="1">
        <v>0.92681997502828295</v>
      </c>
      <c r="K233" s="1">
        <v>0.75406519879437495</v>
      </c>
      <c r="L233" s="1">
        <v>0.54192584421442302</v>
      </c>
      <c r="P233" s="1">
        <f>I233-'Passo 2'!I233</f>
        <v>5.3293511457094045E-2</v>
      </c>
      <c r="Q233" s="1">
        <f>J233-'Passo 2'!J233</f>
        <v>0.10985503508350292</v>
      </c>
      <c r="R233" s="1">
        <f t="shared" si="13"/>
        <v>148.27449999999999</v>
      </c>
      <c r="S233">
        <f t="shared" si="12"/>
        <v>158.10899999999987</v>
      </c>
      <c r="T233" s="1">
        <f t="shared" si="14"/>
        <v>128.63824445792881</v>
      </c>
      <c r="U233" s="1">
        <f t="shared" si="15"/>
        <v>92.448755542071055</v>
      </c>
    </row>
    <row r="234" spans="1:21" x14ac:dyDescent="0.3">
      <c r="A234" t="s">
        <v>57</v>
      </c>
      <c r="B234" t="s">
        <v>660</v>
      </c>
      <c r="C234" t="s">
        <v>580</v>
      </c>
      <c r="D234" t="s">
        <v>581</v>
      </c>
      <c r="E234" s="2">
        <v>486.43</v>
      </c>
      <c r="F234" s="2">
        <v>0</v>
      </c>
      <c r="G234" s="2">
        <v>115.63424999999999</v>
      </c>
      <c r="H234" s="2">
        <v>-115.59699999999999</v>
      </c>
      <c r="I234" s="1">
        <v>0.97544045391937095</v>
      </c>
      <c r="J234" s="1">
        <v>0.97528729724729102</v>
      </c>
      <c r="K234" s="1">
        <v>0.80734799389076395</v>
      </c>
      <c r="L234" s="1">
        <v>0.64337975727589802</v>
      </c>
      <c r="P234" s="1">
        <f>I234-'Passo 2'!I234</f>
        <v>1.5387620006989122E-3</v>
      </c>
      <c r="Q234" s="1">
        <f>J234-'Passo 2'!J234</f>
        <v>3.6722652796908006E-2</v>
      </c>
      <c r="R234" s="1">
        <f t="shared" si="13"/>
        <v>474.48349999999959</v>
      </c>
      <c r="S234">
        <f t="shared" si="12"/>
        <v>474.40899999999976</v>
      </c>
      <c r="T234" s="1">
        <f t="shared" si="14"/>
        <v>392.7182846682843</v>
      </c>
      <c r="U234" s="1">
        <f t="shared" si="15"/>
        <v>312.95921533171509</v>
      </c>
    </row>
    <row r="235" spans="1:21" x14ac:dyDescent="0.3">
      <c r="A235" t="s">
        <v>57</v>
      </c>
      <c r="B235" t="s">
        <v>173</v>
      </c>
      <c r="C235" t="s">
        <v>34</v>
      </c>
      <c r="D235" t="s">
        <v>35</v>
      </c>
      <c r="E235" s="2">
        <v>236.86199999999999</v>
      </c>
      <c r="F235" s="2">
        <v>0</v>
      </c>
      <c r="G235" s="2">
        <v>58.131250000000001</v>
      </c>
      <c r="H235" s="2">
        <v>-57.4375</v>
      </c>
      <c r="I235" s="1">
        <v>0.990844880141179</v>
      </c>
      <c r="J235" s="1">
        <v>0.98498703886651295</v>
      </c>
      <c r="K235" s="1">
        <v>0.87309507679791798</v>
      </c>
      <c r="L235" s="1">
        <v>0.60273684220977397</v>
      </c>
      <c r="P235" s="1">
        <f>I235-'Passo 2'!I235</f>
        <v>5.3396070285651964E-2</v>
      </c>
      <c r="Q235" s="1">
        <f>J235-'Passo 2'!J235</f>
        <v>6.0227052038739903E-2</v>
      </c>
      <c r="R235" s="1">
        <f t="shared" si="13"/>
        <v>234.69349999999994</v>
      </c>
      <c r="S235">
        <f t="shared" si="12"/>
        <v>233.30599999999998</v>
      </c>
      <c r="T235" s="1">
        <f t="shared" si="14"/>
        <v>206.80304608050844</v>
      </c>
      <c r="U235" s="1">
        <f t="shared" si="15"/>
        <v>142.76545391949148</v>
      </c>
    </row>
    <row r="236" spans="1:21" x14ac:dyDescent="0.3">
      <c r="A236" t="s">
        <v>57</v>
      </c>
      <c r="B236" t="s">
        <v>174</v>
      </c>
      <c r="C236" t="s">
        <v>580</v>
      </c>
      <c r="D236" t="s">
        <v>581</v>
      </c>
      <c r="E236" s="2">
        <v>151.864</v>
      </c>
      <c r="F236" s="2">
        <v>0</v>
      </c>
      <c r="G236" s="2">
        <v>30.381249999999898</v>
      </c>
      <c r="H236" s="2">
        <v>-31.285249999999898</v>
      </c>
      <c r="I236" s="1">
        <v>0.90011128378022398</v>
      </c>
      <c r="J236" s="1">
        <v>0.91201667281251597</v>
      </c>
      <c r="K236" s="1">
        <v>0.65181142875962705</v>
      </c>
      <c r="L236" s="1">
        <v>0.66031652783311301</v>
      </c>
      <c r="P236" s="1">
        <f>I236-'Passo 2'!I236</f>
        <v>-3.3332455354791013E-2</v>
      </c>
      <c r="Q236" s="1">
        <f>J236-'Passo 2'!J236</f>
        <v>6.1337775904759528E-3</v>
      </c>
      <c r="R236" s="1">
        <f t="shared" si="13"/>
        <v>136.69449999999995</v>
      </c>
      <c r="S236">
        <f t="shared" si="12"/>
        <v>138.50249999999994</v>
      </c>
      <c r="T236" s="1">
        <f t="shared" si="14"/>
        <v>98.986690817152009</v>
      </c>
      <c r="U236" s="1">
        <f t="shared" si="15"/>
        <v>100.27830918284788</v>
      </c>
    </row>
    <row r="237" spans="1:21" x14ac:dyDescent="0.3">
      <c r="A237" t="s">
        <v>57</v>
      </c>
      <c r="B237" t="s">
        <v>661</v>
      </c>
      <c r="C237" t="s">
        <v>580</v>
      </c>
      <c r="D237" t="s">
        <v>581</v>
      </c>
      <c r="E237" s="2">
        <v>138.91800000000001</v>
      </c>
      <c r="F237" s="2">
        <v>0</v>
      </c>
      <c r="G237" s="2">
        <v>33.365749999999998</v>
      </c>
      <c r="H237" s="2">
        <v>-33.364249999999998</v>
      </c>
      <c r="I237" s="1">
        <v>0.98036611526224005</v>
      </c>
      <c r="J237" s="1">
        <v>0.980344519788652</v>
      </c>
      <c r="K237" s="1">
        <v>0.76172587973133599</v>
      </c>
      <c r="L237" s="1">
        <v>0.69898475531955595</v>
      </c>
      <c r="P237" s="1">
        <f>I237-'Passo 2'!I237</f>
        <v>3.2565974171813061E-2</v>
      </c>
      <c r="Q237" s="1">
        <f>J237-'Passo 2'!J237</f>
        <v>1.4864884320250349E-3</v>
      </c>
      <c r="R237" s="1">
        <f t="shared" si="13"/>
        <v>136.19049999999987</v>
      </c>
      <c r="S237">
        <f t="shared" si="12"/>
        <v>136.18749999999997</v>
      </c>
      <c r="T237" s="1">
        <f t="shared" si="14"/>
        <v>105.81743576051774</v>
      </c>
      <c r="U237" s="1">
        <f t="shared" si="15"/>
        <v>97.101564239482073</v>
      </c>
    </row>
    <row r="238" spans="1:21" x14ac:dyDescent="0.3">
      <c r="A238" t="s">
        <v>57</v>
      </c>
      <c r="B238" t="s">
        <v>175</v>
      </c>
      <c r="C238" t="s">
        <v>580</v>
      </c>
      <c r="D238" t="s">
        <v>581</v>
      </c>
      <c r="E238" s="2">
        <v>337.05200000000002</v>
      </c>
      <c r="F238" s="2">
        <v>0</v>
      </c>
      <c r="G238" s="2">
        <v>69.753</v>
      </c>
      <c r="H238" s="2">
        <v>-66.073750000000004</v>
      </c>
      <c r="I238" s="1">
        <v>0.91390052573490099</v>
      </c>
      <c r="J238" s="1">
        <v>0.89206858288928703</v>
      </c>
      <c r="K238" s="1">
        <v>0.74738880560601795</v>
      </c>
      <c r="L238" s="1">
        <v>0.55858030301816997</v>
      </c>
      <c r="P238" s="1">
        <f>I238-'Passo 2'!I238</f>
        <v>5.8876671848854034E-2</v>
      </c>
      <c r="Q238" s="1">
        <f>J238-'Passo 2'!J238</f>
        <v>5.0481824762950156E-3</v>
      </c>
      <c r="R238" s="1">
        <f t="shared" si="13"/>
        <v>308.03199999999987</v>
      </c>
      <c r="S238">
        <f t="shared" si="12"/>
        <v>300.67349999999999</v>
      </c>
      <c r="T238" s="1">
        <f t="shared" si="14"/>
        <v>251.90889170711958</v>
      </c>
      <c r="U238" s="1">
        <f t="shared" si="15"/>
        <v>188.27060829288024</v>
      </c>
    </row>
    <row r="239" spans="1:21" x14ac:dyDescent="0.3">
      <c r="A239" t="s">
        <v>57</v>
      </c>
      <c r="B239" t="s">
        <v>662</v>
      </c>
      <c r="C239" t="s">
        <v>580</v>
      </c>
      <c r="D239" t="s">
        <v>581</v>
      </c>
      <c r="E239" s="2">
        <v>166.38</v>
      </c>
      <c r="F239" s="2">
        <v>0</v>
      </c>
      <c r="G239" s="2">
        <v>37.974499999999999</v>
      </c>
      <c r="H239" s="2">
        <v>-39.652999999999999</v>
      </c>
      <c r="I239" s="1">
        <v>0.95647914412790003</v>
      </c>
      <c r="J239" s="1">
        <v>0.97665584805866101</v>
      </c>
      <c r="K239" s="1">
        <v>0.78203579136697599</v>
      </c>
      <c r="L239" s="1">
        <v>0.65109920081958395</v>
      </c>
      <c r="P239" s="1">
        <f>I239-'Passo 2'!I239</f>
        <v>-3.2627118644066977E-2</v>
      </c>
      <c r="Q239" s="1">
        <f>J239-'Passo 2'!J239</f>
        <v>-1.2450414713305991E-2</v>
      </c>
      <c r="R239" s="1">
        <f t="shared" si="13"/>
        <v>159.13900000000001</v>
      </c>
      <c r="S239">
        <f t="shared" si="12"/>
        <v>162.49600000000001</v>
      </c>
      <c r="T239" s="1">
        <f t="shared" si="14"/>
        <v>130.11511496763745</v>
      </c>
      <c r="U239" s="1">
        <f t="shared" si="15"/>
        <v>108.32988503236237</v>
      </c>
    </row>
    <row r="240" spans="1:21" x14ac:dyDescent="0.3">
      <c r="A240" t="s">
        <v>57</v>
      </c>
      <c r="B240" t="s">
        <v>176</v>
      </c>
      <c r="C240" t="s">
        <v>580</v>
      </c>
      <c r="D240" t="s">
        <v>581</v>
      </c>
      <c r="E240" s="2">
        <v>113.23</v>
      </c>
      <c r="F240" s="2">
        <v>0</v>
      </c>
      <c r="G240" s="2">
        <v>24.405249999999999</v>
      </c>
      <c r="H240" s="2">
        <v>-27.312750000000001</v>
      </c>
      <c r="I240" s="1">
        <v>0.93107392033913206</v>
      </c>
      <c r="J240" s="1">
        <v>0.98242956813565296</v>
      </c>
      <c r="K240" s="1">
        <v>0.70461745174855295</v>
      </c>
      <c r="L240" s="1">
        <v>0.70888603672623196</v>
      </c>
      <c r="P240" s="1">
        <f>I240-'Passo 2'!I240</f>
        <v>3.0813388677912057E-2</v>
      </c>
      <c r="Q240" s="1">
        <f>J240-'Passo 2'!J240</f>
        <v>8.8050869910799578E-3</v>
      </c>
      <c r="R240" s="1">
        <f t="shared" si="13"/>
        <v>105.42549999999993</v>
      </c>
      <c r="S240">
        <f t="shared" si="12"/>
        <v>111.24049999999998</v>
      </c>
      <c r="T240" s="1">
        <f t="shared" si="14"/>
        <v>79.783834061488648</v>
      </c>
      <c r="U240" s="1">
        <f t="shared" si="15"/>
        <v>80.267165938511255</v>
      </c>
    </row>
    <row r="241" spans="1:21" x14ac:dyDescent="0.3">
      <c r="A241" t="s">
        <v>57</v>
      </c>
      <c r="B241" t="s">
        <v>663</v>
      </c>
      <c r="C241" t="s">
        <v>580</v>
      </c>
      <c r="D241" t="s">
        <v>581</v>
      </c>
      <c r="E241" s="2">
        <v>361.27100000000002</v>
      </c>
      <c r="F241" s="2">
        <v>0</v>
      </c>
      <c r="G241" s="2">
        <v>83.1965</v>
      </c>
      <c r="H241" s="2">
        <v>-86.641249999999999</v>
      </c>
      <c r="I241" s="1">
        <v>0.96057668619955605</v>
      </c>
      <c r="J241" s="1">
        <v>0.97964685789891703</v>
      </c>
      <c r="K241" s="1">
        <v>0.76907175109713999</v>
      </c>
      <c r="L241" s="1">
        <v>0.67115179300133398</v>
      </c>
      <c r="P241" s="1">
        <f>I241-'Passo 2'!I241</f>
        <v>-1.2694071763301951E-2</v>
      </c>
      <c r="Q241" s="1">
        <f>J241-'Passo 2'!J241</f>
        <v>5.0336174229310693E-3</v>
      </c>
      <c r="R241" s="1">
        <f t="shared" si="13"/>
        <v>347.02849999999984</v>
      </c>
      <c r="S241">
        <f t="shared" si="12"/>
        <v>353.91799999999967</v>
      </c>
      <c r="T241" s="1">
        <f t="shared" si="14"/>
        <v>277.84332059061489</v>
      </c>
      <c r="U241" s="1">
        <f t="shared" si="15"/>
        <v>242.46767940938494</v>
      </c>
    </row>
    <row r="242" spans="1:21" x14ac:dyDescent="0.3">
      <c r="A242" t="s">
        <v>57</v>
      </c>
      <c r="B242" t="s">
        <v>177</v>
      </c>
      <c r="C242" t="s">
        <v>580</v>
      </c>
      <c r="D242" t="s">
        <v>581</v>
      </c>
      <c r="E242" s="2">
        <v>88.072999999999993</v>
      </c>
      <c r="F242" s="2">
        <v>0</v>
      </c>
      <c r="G242" s="2">
        <v>19.168749999999999</v>
      </c>
      <c r="H242" s="2">
        <v>-20.81325</v>
      </c>
      <c r="I242" s="1">
        <v>0.93529231433015703</v>
      </c>
      <c r="J242" s="1">
        <v>0.97263633576691999</v>
      </c>
      <c r="K242" s="1">
        <v>0.72186071364306903</v>
      </c>
      <c r="L242" s="1">
        <v>0.68606793645400799</v>
      </c>
      <c r="P242" s="1">
        <f>I242-'Passo 2'!I242</f>
        <v>2.7426112429462024E-2</v>
      </c>
      <c r="Q242" s="1">
        <f>J242-'Passo 2'!J242</f>
        <v>0</v>
      </c>
      <c r="R242" s="1">
        <f t="shared" si="13"/>
        <v>82.37399999999991</v>
      </c>
      <c r="S242">
        <f t="shared" si="12"/>
        <v>85.66299999999994</v>
      </c>
      <c r="T242" s="1">
        <f t="shared" si="14"/>
        <v>63.576438632686013</v>
      </c>
      <c r="U242" s="1">
        <f t="shared" si="15"/>
        <v>60.42406136731384</v>
      </c>
    </row>
    <row r="243" spans="1:21" x14ac:dyDescent="0.3">
      <c r="A243" t="s">
        <v>57</v>
      </c>
      <c r="B243" t="s">
        <v>178</v>
      </c>
      <c r="C243" t="s">
        <v>580</v>
      </c>
      <c r="D243" t="s">
        <v>581</v>
      </c>
      <c r="E243" s="2">
        <v>101.38200000000001</v>
      </c>
      <c r="F243" s="2">
        <v>0</v>
      </c>
      <c r="G243" s="2">
        <v>20.113250000000001</v>
      </c>
      <c r="H243" s="2">
        <v>-22.111499999999999</v>
      </c>
      <c r="I243" s="1">
        <v>0.89678147994712998</v>
      </c>
      <c r="J243" s="1">
        <v>0.936201692608155</v>
      </c>
      <c r="K243" s="1">
        <v>0.666748393592142</v>
      </c>
      <c r="L243" s="1">
        <v>0.66623477896314298</v>
      </c>
      <c r="P243" s="1">
        <f>I243-'Passo 2'!I243</f>
        <v>-5.0797972026606075E-4</v>
      </c>
      <c r="Q243" s="1">
        <f>J243-'Passo 2'!J243</f>
        <v>1.5614211595747052E-2</v>
      </c>
      <c r="R243" s="1">
        <f t="shared" si="13"/>
        <v>90.917499999999933</v>
      </c>
      <c r="S243">
        <f t="shared" si="12"/>
        <v>94.913999999999973</v>
      </c>
      <c r="T243" s="1">
        <f t="shared" si="14"/>
        <v>67.596285639158538</v>
      </c>
      <c r="U243" s="1">
        <f t="shared" si="15"/>
        <v>67.544214360841366</v>
      </c>
    </row>
    <row r="244" spans="1:21" x14ac:dyDescent="0.3">
      <c r="A244" t="s">
        <v>57</v>
      </c>
      <c r="B244" t="s">
        <v>664</v>
      </c>
      <c r="C244" t="s">
        <v>580</v>
      </c>
      <c r="D244" t="s">
        <v>581</v>
      </c>
      <c r="E244" s="2">
        <v>747.36099999999999</v>
      </c>
      <c r="F244" s="2">
        <v>0</v>
      </c>
      <c r="G244" s="2">
        <v>178.24975000000001</v>
      </c>
      <c r="H244" s="2">
        <v>-181.12774999999999</v>
      </c>
      <c r="I244" s="1">
        <v>0.97701110975820205</v>
      </c>
      <c r="J244" s="1">
        <v>0.98471287637433502</v>
      </c>
      <c r="K244" s="1">
        <v>0.79373404843862705</v>
      </c>
      <c r="L244" s="1">
        <v>0.66798993769391002</v>
      </c>
      <c r="P244" s="1">
        <f>I244-'Passo 2'!I244</f>
        <v>2.5375956197875027E-2</v>
      </c>
      <c r="Q244" s="1">
        <f>J244-'Passo 2'!J244</f>
        <v>1.7542392498404058E-2</v>
      </c>
      <c r="R244" s="1">
        <f t="shared" si="13"/>
        <v>730.17999999999961</v>
      </c>
      <c r="S244">
        <f t="shared" si="12"/>
        <v>735.93599999999935</v>
      </c>
      <c r="T244" s="1">
        <f t="shared" si="14"/>
        <v>593.20587217514071</v>
      </c>
      <c r="U244" s="1">
        <f t="shared" si="15"/>
        <v>499.22962782485826</v>
      </c>
    </row>
    <row r="245" spans="1:21" x14ac:dyDescent="0.3">
      <c r="A245" t="s">
        <v>57</v>
      </c>
      <c r="B245" t="s">
        <v>179</v>
      </c>
      <c r="C245" t="s">
        <v>580</v>
      </c>
      <c r="D245" t="s">
        <v>581</v>
      </c>
      <c r="E245" s="2">
        <v>115.074</v>
      </c>
      <c r="F245" s="2">
        <v>0</v>
      </c>
      <c r="G245" s="2">
        <v>27.25075</v>
      </c>
      <c r="H245" s="2">
        <v>-22.783750000000001</v>
      </c>
      <c r="I245" s="1">
        <v>0.97362132193197404</v>
      </c>
      <c r="J245" s="1">
        <v>0.89598432313120202</v>
      </c>
      <c r="K245" s="1">
        <v>0.85369539471238198</v>
      </c>
      <c r="L245" s="1">
        <v>0.51591025035079396</v>
      </c>
      <c r="P245" s="1">
        <f>I245-'Passo 2'!I245</f>
        <v>5.0897683229922053E-2</v>
      </c>
      <c r="Q245" s="1">
        <f>J245-'Passo 2'!J245</f>
        <v>8.5605784104141991E-2</v>
      </c>
      <c r="R245" s="1">
        <f t="shared" si="13"/>
        <v>112.03849999999998</v>
      </c>
      <c r="S245">
        <f t="shared" si="12"/>
        <v>103.10449999999994</v>
      </c>
      <c r="T245" s="1">
        <f t="shared" si="14"/>
        <v>98.238143851132648</v>
      </c>
      <c r="U245" s="1">
        <f t="shared" si="15"/>
        <v>59.367856148867261</v>
      </c>
    </row>
    <row r="246" spans="1:21" x14ac:dyDescent="0.3">
      <c r="A246" t="s">
        <v>57</v>
      </c>
      <c r="B246" t="s">
        <v>180</v>
      </c>
      <c r="C246" t="s">
        <v>580</v>
      </c>
      <c r="D246" t="s">
        <v>581</v>
      </c>
      <c r="E246" s="2">
        <v>327.334</v>
      </c>
      <c r="F246" s="2">
        <v>0</v>
      </c>
      <c r="G246" s="2">
        <v>64.064999999999998</v>
      </c>
      <c r="H246" s="2">
        <v>-68.0745</v>
      </c>
      <c r="I246" s="1">
        <v>0.89143504799379203</v>
      </c>
      <c r="J246" s="1">
        <v>0.91593296143999703</v>
      </c>
      <c r="K246" s="1">
        <v>0.74005317671035498</v>
      </c>
      <c r="L246" s="1">
        <v>0.56731483272343397</v>
      </c>
      <c r="P246" s="1">
        <f>I246-'Passo 2'!I246</f>
        <v>1.1350791546250072E-2</v>
      </c>
      <c r="Q246" s="1">
        <f>J246-'Passo 2'!J246</f>
        <v>3.8089535459195023E-2</v>
      </c>
      <c r="R246" s="1">
        <f t="shared" si="13"/>
        <v>291.79699999999991</v>
      </c>
      <c r="S246">
        <f t="shared" si="12"/>
        <v>299.81599999999997</v>
      </c>
      <c r="T246" s="1">
        <f t="shared" si="14"/>
        <v>242.24456654530735</v>
      </c>
      <c r="U246" s="1">
        <f t="shared" si="15"/>
        <v>185.70143345469253</v>
      </c>
    </row>
    <row r="247" spans="1:21" x14ac:dyDescent="0.3">
      <c r="A247" t="s">
        <v>57</v>
      </c>
      <c r="B247" t="s">
        <v>181</v>
      </c>
      <c r="C247" t="s">
        <v>580</v>
      </c>
      <c r="D247" t="s">
        <v>581</v>
      </c>
      <c r="E247" s="2">
        <v>265.05799999999999</v>
      </c>
      <c r="F247" s="2">
        <v>0</v>
      </c>
      <c r="G247" s="2">
        <v>65.478750000000005</v>
      </c>
      <c r="H247" s="2">
        <v>-63.023499999999899</v>
      </c>
      <c r="I247" s="1">
        <v>0.99407110896482997</v>
      </c>
      <c r="J247" s="1">
        <v>0.97554497506206095</v>
      </c>
      <c r="K247" s="1">
        <v>0.81794168054834404</v>
      </c>
      <c r="L247" s="1">
        <v>0.65167440347854699</v>
      </c>
      <c r="P247" s="1">
        <f>I247-'Passo 2'!I247</f>
        <v>1.2808517381102003E-2</v>
      </c>
      <c r="Q247" s="1">
        <f>J247-'Passo 2'!J247</f>
        <v>2.7991986659522961E-2</v>
      </c>
      <c r="R247" s="1">
        <f t="shared" si="13"/>
        <v>263.48649999999992</v>
      </c>
      <c r="S247">
        <f t="shared" si="12"/>
        <v>258.57599999999974</v>
      </c>
      <c r="T247" s="1">
        <f t="shared" si="14"/>
        <v>216.80198596278296</v>
      </c>
      <c r="U247" s="1">
        <f t="shared" si="15"/>
        <v>172.7315140372167</v>
      </c>
    </row>
    <row r="248" spans="1:21" x14ac:dyDescent="0.3">
      <c r="A248" t="s">
        <v>57</v>
      </c>
      <c r="B248" t="s">
        <v>182</v>
      </c>
      <c r="C248" t="s">
        <v>34</v>
      </c>
      <c r="D248" t="s">
        <v>35</v>
      </c>
      <c r="E248" s="2">
        <v>428.94900000000001</v>
      </c>
      <c r="F248" s="2">
        <v>0</v>
      </c>
      <c r="G248" s="2">
        <v>107.18899999999999</v>
      </c>
      <c r="H248" s="2">
        <v>-107.199</v>
      </c>
      <c r="I248" s="1">
        <v>0.99977503153055403</v>
      </c>
      <c r="J248" s="1">
        <v>0.99982165712007698</v>
      </c>
      <c r="K248" s="1">
        <v>0.86892631682641797</v>
      </c>
      <c r="L248" s="1">
        <v>0.63067037182421304</v>
      </c>
      <c r="P248" s="1">
        <f>I248-'Passo 2'!I248</f>
        <v>1.5220923699554079E-2</v>
      </c>
      <c r="Q248" s="1">
        <f>J248-'Passo 2'!J248</f>
        <v>2.1966480863693016E-2</v>
      </c>
      <c r="R248" s="1">
        <f t="shared" si="13"/>
        <v>428.85249999999962</v>
      </c>
      <c r="S248">
        <f t="shared" si="12"/>
        <v>428.87249999999989</v>
      </c>
      <c r="T248" s="1">
        <f t="shared" si="14"/>
        <v>372.72507467637519</v>
      </c>
      <c r="U248" s="1">
        <f t="shared" si="15"/>
        <v>270.52542532362435</v>
      </c>
    </row>
    <row r="249" spans="1:21" x14ac:dyDescent="0.3">
      <c r="A249" t="s">
        <v>57</v>
      </c>
      <c r="B249" t="s">
        <v>183</v>
      </c>
      <c r="C249" t="s">
        <v>580</v>
      </c>
      <c r="D249" t="s">
        <v>581</v>
      </c>
      <c r="E249" s="2">
        <v>208.72399999999999</v>
      </c>
      <c r="F249" s="2">
        <v>0</v>
      </c>
      <c r="G249" s="2">
        <v>48.64575</v>
      </c>
      <c r="H249" s="2">
        <v>-45.280250000000002</v>
      </c>
      <c r="I249" s="1">
        <v>0.96612512217090496</v>
      </c>
      <c r="J249" s="1">
        <v>0.933876794235449</v>
      </c>
      <c r="K249" s="1">
        <v>0.810146320028449</v>
      </c>
      <c r="L249" s="1">
        <v>0.58985559637790497</v>
      </c>
      <c r="P249" s="1">
        <f>I249-'Passo 2'!I249</f>
        <v>-3.0422950882502686E-4</v>
      </c>
      <c r="Q249" s="1">
        <f>J249-'Passo 2'!J249</f>
        <v>1.0842068952299999E-2</v>
      </c>
      <c r="R249" s="1">
        <f t="shared" si="13"/>
        <v>201.65349999999995</v>
      </c>
      <c r="S249">
        <f t="shared" si="12"/>
        <v>194.92249999999984</v>
      </c>
      <c r="T249" s="1">
        <f t="shared" si="14"/>
        <v>169.09698050161799</v>
      </c>
      <c r="U249" s="1">
        <f t="shared" si="15"/>
        <v>123.11701949838184</v>
      </c>
    </row>
    <row r="250" spans="1:21" x14ac:dyDescent="0.3">
      <c r="A250" t="s">
        <v>57</v>
      </c>
      <c r="B250" t="s">
        <v>184</v>
      </c>
      <c r="C250" t="s">
        <v>580</v>
      </c>
      <c r="D250" t="s">
        <v>581</v>
      </c>
      <c r="E250" s="2">
        <v>202.363</v>
      </c>
      <c r="F250" s="2">
        <v>0</v>
      </c>
      <c r="G250" s="2">
        <v>49.905000000000001</v>
      </c>
      <c r="H250" s="2">
        <v>-49.628</v>
      </c>
      <c r="I250" s="1">
        <v>0.99322257527314695</v>
      </c>
      <c r="J250" s="1">
        <v>0.99048492066237404</v>
      </c>
      <c r="K250" s="1">
        <v>0.82080133877620998</v>
      </c>
      <c r="L250" s="1">
        <v>0.662906157159311</v>
      </c>
      <c r="P250" s="1">
        <f>I250-'Passo 2'!I250</f>
        <v>1.6364157479380914E-2</v>
      </c>
      <c r="Q250" s="1">
        <f>J250-'Passo 2'!J250</f>
        <v>2.4969979689963062E-2</v>
      </c>
      <c r="R250" s="1">
        <f t="shared" si="13"/>
        <v>200.99149999999983</v>
      </c>
      <c r="S250">
        <f t="shared" si="12"/>
        <v>200.4375</v>
      </c>
      <c r="T250" s="1">
        <f t="shared" si="14"/>
        <v>166.09982131877018</v>
      </c>
      <c r="U250" s="1">
        <f t="shared" si="15"/>
        <v>134.14767868122965</v>
      </c>
    </row>
    <row r="251" spans="1:21" x14ac:dyDescent="0.3">
      <c r="A251" t="s">
        <v>57</v>
      </c>
      <c r="B251" t="s">
        <v>665</v>
      </c>
      <c r="C251" t="s">
        <v>580</v>
      </c>
      <c r="D251" t="s">
        <v>581</v>
      </c>
      <c r="E251" s="2">
        <v>458.762</v>
      </c>
      <c r="F251" s="2">
        <v>0</v>
      </c>
      <c r="G251" s="2">
        <v>106.5445</v>
      </c>
      <c r="H251" s="2">
        <v>-96.605249999999998</v>
      </c>
      <c r="I251" s="1">
        <v>0.96448703249179302</v>
      </c>
      <c r="J251" s="1">
        <v>0.92115628583012499</v>
      </c>
      <c r="K251" s="1">
        <v>0.75597397431110802</v>
      </c>
      <c r="L251" s="1">
        <v>0.62966934401080998</v>
      </c>
      <c r="P251" s="1">
        <f>I251-'Passo 2'!I251</f>
        <v>9.0689725827339807E-3</v>
      </c>
      <c r="Q251" s="1">
        <f>J251-'Passo 2'!J251</f>
        <v>4.2320418866428011E-2</v>
      </c>
      <c r="R251" s="1">
        <f t="shared" si="13"/>
        <v>442.46999999999997</v>
      </c>
      <c r="S251">
        <f t="shared" si="12"/>
        <v>422.59149999999983</v>
      </c>
      <c r="T251" s="1">
        <f t="shared" si="14"/>
        <v>346.81213240291254</v>
      </c>
      <c r="U251" s="1">
        <f t="shared" si="15"/>
        <v>288.86836759708723</v>
      </c>
    </row>
    <row r="252" spans="1:21" x14ac:dyDescent="0.3">
      <c r="A252" t="s">
        <v>57</v>
      </c>
      <c r="B252" t="s">
        <v>185</v>
      </c>
      <c r="C252" t="s">
        <v>580</v>
      </c>
      <c r="D252" t="s">
        <v>581</v>
      </c>
      <c r="E252" s="2">
        <v>0</v>
      </c>
      <c r="F252" s="2">
        <v>0</v>
      </c>
      <c r="G252" s="2">
        <v>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P252" s="1">
        <f>I252-'Passo 2'!I252</f>
        <v>0</v>
      </c>
      <c r="Q252" s="1">
        <f>J252-'Passo 2'!J252</f>
        <v>0</v>
      </c>
      <c r="R252" s="1">
        <f t="shared" si="13"/>
        <v>0</v>
      </c>
      <c r="S252">
        <f t="shared" si="12"/>
        <v>0</v>
      </c>
      <c r="T252" s="1">
        <f t="shared" si="14"/>
        <v>0</v>
      </c>
      <c r="U252" s="1">
        <f t="shared" si="15"/>
        <v>0</v>
      </c>
    </row>
    <row r="253" spans="1:21" x14ac:dyDescent="0.3">
      <c r="A253" t="s">
        <v>57</v>
      </c>
      <c r="B253" t="s">
        <v>186</v>
      </c>
      <c r="C253" t="s">
        <v>580</v>
      </c>
      <c r="D253" t="s">
        <v>581</v>
      </c>
      <c r="E253" s="2">
        <v>192.79599999999999</v>
      </c>
      <c r="F253" s="2">
        <v>0</v>
      </c>
      <c r="G253" s="2">
        <v>47.823250000000002</v>
      </c>
      <c r="H253" s="2">
        <v>-46.190249999999999</v>
      </c>
      <c r="I253" s="1">
        <v>0.99610209755389101</v>
      </c>
      <c r="J253" s="1">
        <v>0.97916191207286396</v>
      </c>
      <c r="K253" s="1">
        <v>0.85121328568130805</v>
      </c>
      <c r="L253" s="1">
        <v>0.62405072394544703</v>
      </c>
      <c r="P253" s="1">
        <f>I253-'Passo 2'!I253</f>
        <v>-2.4637440610797423E-4</v>
      </c>
      <c r="Q253" s="1">
        <f>J253-'Passo 2'!J253</f>
        <v>6.9563165210896005E-2</v>
      </c>
      <c r="R253" s="1">
        <f t="shared" si="13"/>
        <v>192.04449999999997</v>
      </c>
      <c r="S253">
        <f t="shared" si="12"/>
        <v>188.77849999999987</v>
      </c>
      <c r="T253" s="1">
        <f t="shared" si="14"/>
        <v>164.11051662621347</v>
      </c>
      <c r="U253" s="1">
        <f t="shared" si="15"/>
        <v>120.3144833737864</v>
      </c>
    </row>
    <row r="254" spans="1:21" x14ac:dyDescent="0.3">
      <c r="A254" t="s">
        <v>57</v>
      </c>
      <c r="B254" t="s">
        <v>666</v>
      </c>
      <c r="C254" t="s">
        <v>34</v>
      </c>
      <c r="D254" t="s">
        <v>35</v>
      </c>
      <c r="E254" s="2">
        <v>92.438000000000002</v>
      </c>
      <c r="F254" s="2">
        <v>0</v>
      </c>
      <c r="G254" s="2">
        <v>23.056750000000001</v>
      </c>
      <c r="H254" s="2">
        <v>-22.715499999999999</v>
      </c>
      <c r="I254" s="1">
        <v>0.99885869447629705</v>
      </c>
      <c r="J254" s="1">
        <v>0.99147536727319896</v>
      </c>
      <c r="K254" s="1">
        <v>0.89368582771231697</v>
      </c>
      <c r="L254" s="1">
        <v>0.59664823403717904</v>
      </c>
      <c r="P254" s="1">
        <f>I254-'Passo 2'!I254</f>
        <v>2.8256777515740072E-2</v>
      </c>
      <c r="Q254" s="1">
        <f>J254-'Passo 2'!J254</f>
        <v>4.9882083125986965E-2</v>
      </c>
      <c r="R254" s="1">
        <f t="shared" si="13"/>
        <v>92.332499999999953</v>
      </c>
      <c r="S254">
        <f t="shared" si="12"/>
        <v>91.649999999999963</v>
      </c>
      <c r="T254" s="1">
        <f t="shared" si="14"/>
        <v>82.61053054207116</v>
      </c>
      <c r="U254" s="1">
        <f t="shared" si="15"/>
        <v>55.152969457928755</v>
      </c>
    </row>
    <row r="255" spans="1:21" x14ac:dyDescent="0.3">
      <c r="A255" t="s">
        <v>57</v>
      </c>
      <c r="B255" t="s">
        <v>187</v>
      </c>
      <c r="C255" t="s">
        <v>34</v>
      </c>
      <c r="D255" t="s">
        <v>35</v>
      </c>
      <c r="E255" s="2">
        <v>120.995</v>
      </c>
      <c r="F255" s="2">
        <v>0</v>
      </c>
      <c r="G255" s="2">
        <v>27.823499999999999</v>
      </c>
      <c r="H255" s="2">
        <v>-30.236750000000001</v>
      </c>
      <c r="I255" s="1">
        <v>0.95991156659365995</v>
      </c>
      <c r="J255" s="1">
        <v>0.99980164469606103</v>
      </c>
      <c r="K255" s="1">
        <v>0.85234905467214706</v>
      </c>
      <c r="L255" s="1">
        <v>0.60736415661757504</v>
      </c>
      <c r="P255" s="1">
        <f>I255-'Passo 2'!I255</f>
        <v>3.8352824496879934E-2</v>
      </c>
      <c r="Q255" s="1">
        <f>J255-'Passo 2'!J255</f>
        <v>2.1587668911938085E-2</v>
      </c>
      <c r="R255" s="1">
        <f t="shared" si="13"/>
        <v>116.14449999999989</v>
      </c>
      <c r="S255">
        <f t="shared" si="12"/>
        <v>120.9709999999999</v>
      </c>
      <c r="T255" s="1">
        <f t="shared" si="14"/>
        <v>103.12997387005643</v>
      </c>
      <c r="U255" s="1">
        <f t="shared" si="15"/>
        <v>73.488026129943492</v>
      </c>
    </row>
    <row r="256" spans="1:21" x14ac:dyDescent="0.3">
      <c r="A256" t="s">
        <v>57</v>
      </c>
      <c r="B256" t="s">
        <v>188</v>
      </c>
      <c r="C256" t="s">
        <v>34</v>
      </c>
      <c r="D256" t="s">
        <v>35</v>
      </c>
      <c r="E256" s="2">
        <v>69.325999999999993</v>
      </c>
      <c r="F256" s="2">
        <v>0</v>
      </c>
      <c r="G256" s="2">
        <v>16.333749999999998</v>
      </c>
      <c r="H256" s="2">
        <v>-17.218499999999999</v>
      </c>
      <c r="I256" s="1">
        <v>0.97121570550731295</v>
      </c>
      <c r="J256" s="1">
        <v>0.99674003981190296</v>
      </c>
      <c r="K256" s="1">
        <v>0.86305019939095495</v>
      </c>
      <c r="L256" s="1">
        <v>0.60490554592826096</v>
      </c>
      <c r="P256" s="1">
        <f>I256-'Passo 2'!I256</f>
        <v>1.5109771225802926E-2</v>
      </c>
      <c r="Q256" s="1">
        <f>J256-'Passo 2'!J256</f>
        <v>3.1041744799930937E-2</v>
      </c>
      <c r="R256" s="1">
        <f t="shared" si="13"/>
        <v>67.330499999999972</v>
      </c>
      <c r="S256">
        <f t="shared" si="12"/>
        <v>69.09999999999998</v>
      </c>
      <c r="T256" s="1">
        <f t="shared" si="14"/>
        <v>59.831818122977339</v>
      </c>
      <c r="U256" s="1">
        <f t="shared" si="15"/>
        <v>41.935681877022617</v>
      </c>
    </row>
    <row r="257" spans="1:21" x14ac:dyDescent="0.3">
      <c r="A257" t="s">
        <v>57</v>
      </c>
      <c r="B257" t="s">
        <v>667</v>
      </c>
      <c r="C257" t="s">
        <v>34</v>
      </c>
      <c r="D257" t="s">
        <v>35</v>
      </c>
      <c r="E257" s="2">
        <v>406.47500000000002</v>
      </c>
      <c r="F257" s="2">
        <v>0</v>
      </c>
      <c r="G257" s="2">
        <v>101.18825</v>
      </c>
      <c r="H257" s="2">
        <v>-101.5215</v>
      </c>
      <c r="I257" s="1">
        <v>0.99788178854788101</v>
      </c>
      <c r="J257" s="1">
        <v>0.99952149578694804</v>
      </c>
      <c r="K257" s="1">
        <v>0.88065143457514405</v>
      </c>
      <c r="L257" s="1">
        <v>0.616751849759684</v>
      </c>
      <c r="P257" s="1">
        <f>I257-'Passo 2'!I257</f>
        <v>4.6780244787509861E-3</v>
      </c>
      <c r="Q257" s="1">
        <f>J257-'Passo 2'!J257</f>
        <v>6.972138507903014E-3</v>
      </c>
      <c r="R257" s="1">
        <f t="shared" si="13"/>
        <v>405.61399999999998</v>
      </c>
      <c r="S257">
        <f t="shared" si="12"/>
        <v>406.28049999999973</v>
      </c>
      <c r="T257" s="1">
        <f t="shared" si="14"/>
        <v>357.96279186893167</v>
      </c>
      <c r="U257" s="1">
        <f t="shared" si="15"/>
        <v>250.69420813106757</v>
      </c>
    </row>
    <row r="258" spans="1:21" x14ac:dyDescent="0.3">
      <c r="A258" t="s">
        <v>57</v>
      </c>
      <c r="B258" t="s">
        <v>668</v>
      </c>
      <c r="C258" t="s">
        <v>580</v>
      </c>
      <c r="D258" t="s">
        <v>581</v>
      </c>
      <c r="E258" s="2">
        <v>178.10599999999999</v>
      </c>
      <c r="F258" s="2">
        <v>0</v>
      </c>
      <c r="G258" s="2">
        <v>42.053249999999998</v>
      </c>
      <c r="H258" s="2">
        <v>-44.088250000000002</v>
      </c>
      <c r="I258" s="1">
        <v>0.97222721300798398</v>
      </c>
      <c r="J258" s="1">
        <v>0.99507877331476702</v>
      </c>
      <c r="K258" s="1">
        <v>0.75396866087563497</v>
      </c>
      <c r="L258" s="1">
        <v>0.71333732544711603</v>
      </c>
      <c r="P258" s="1">
        <f>I258-'Passo 2'!I258</f>
        <v>3.5276745308973956E-2</v>
      </c>
      <c r="Q258" s="1">
        <f>J258-'Passo 2'!J258</f>
        <v>1.834862385321101E-2</v>
      </c>
      <c r="R258" s="1">
        <f t="shared" si="13"/>
        <v>173.15949999999998</v>
      </c>
      <c r="S258">
        <f t="shared" ref="S258:S321" si="16">J258*E258</f>
        <v>177.22949999999989</v>
      </c>
      <c r="T258" s="1">
        <f t="shared" si="14"/>
        <v>134.28634231391584</v>
      </c>
      <c r="U258" s="1">
        <f t="shared" si="15"/>
        <v>127.04965768608405</v>
      </c>
    </row>
    <row r="259" spans="1:21" x14ac:dyDescent="0.3">
      <c r="A259" t="s">
        <v>57</v>
      </c>
      <c r="B259" t="s">
        <v>669</v>
      </c>
      <c r="C259" t="s">
        <v>34</v>
      </c>
      <c r="D259" t="s">
        <v>35</v>
      </c>
      <c r="E259" s="2">
        <v>201.982</v>
      </c>
      <c r="F259" s="2">
        <v>0</v>
      </c>
      <c r="G259" s="2">
        <v>50.195249999999902</v>
      </c>
      <c r="H259" s="2">
        <v>-48.649749999999997</v>
      </c>
      <c r="I259" s="1">
        <v>0.99702696279866498</v>
      </c>
      <c r="J259" s="1">
        <v>0.98172361893633997</v>
      </c>
      <c r="K259" s="1">
        <v>0.87530659994406901</v>
      </c>
      <c r="L259" s="1">
        <v>0.60344398179093695</v>
      </c>
      <c r="P259" s="1">
        <f>I259-'Passo 2'!I259</f>
        <v>1.278579279341796E-2</v>
      </c>
      <c r="Q259" s="1">
        <f>J259-'Passo 2'!J259</f>
        <v>5.1477359368655939E-2</v>
      </c>
      <c r="R259" s="1">
        <f t="shared" ref="R259:R322" si="17">I259*E259</f>
        <v>201.38149999999996</v>
      </c>
      <c r="S259">
        <f t="shared" si="16"/>
        <v>198.29049999999981</v>
      </c>
      <c r="T259" s="1">
        <f t="shared" ref="T259:T322" si="18">K259*E259</f>
        <v>176.79617766990296</v>
      </c>
      <c r="U259" s="1">
        <f t="shared" ref="U259:U322" si="19">L259*E259</f>
        <v>121.88482233009702</v>
      </c>
    </row>
    <row r="260" spans="1:21" x14ac:dyDescent="0.3">
      <c r="A260" t="s">
        <v>57</v>
      </c>
      <c r="B260" t="s">
        <v>670</v>
      </c>
      <c r="C260" t="s">
        <v>580</v>
      </c>
      <c r="D260" t="s">
        <v>581</v>
      </c>
      <c r="E260" s="2">
        <v>224.316</v>
      </c>
      <c r="F260" s="2">
        <v>0</v>
      </c>
      <c r="G260" s="2">
        <v>52.238250000000001</v>
      </c>
      <c r="H260" s="2">
        <v>-51.689250000000001</v>
      </c>
      <c r="I260" s="1">
        <v>0.96575589792970595</v>
      </c>
      <c r="J260" s="1">
        <v>0.96086101749317898</v>
      </c>
      <c r="K260" s="1">
        <v>0.75161958949957897</v>
      </c>
      <c r="L260" s="1">
        <v>0.67499732592330497</v>
      </c>
      <c r="P260" s="1">
        <f>I260-'Passo 2'!I260</f>
        <v>2.0092191372884982E-2</v>
      </c>
      <c r="Q260" s="1">
        <f>J260-'Passo 2'!J260</f>
        <v>4.484076035592699E-2</v>
      </c>
      <c r="R260" s="1">
        <f t="shared" si="17"/>
        <v>216.63449999999992</v>
      </c>
      <c r="S260">
        <f t="shared" si="16"/>
        <v>215.53649999999993</v>
      </c>
      <c r="T260" s="1">
        <f t="shared" si="18"/>
        <v>168.60029983818757</v>
      </c>
      <c r="U260" s="1">
        <f t="shared" si="19"/>
        <v>151.41270016181207</v>
      </c>
    </row>
    <row r="261" spans="1:21" x14ac:dyDescent="0.3">
      <c r="A261" t="s">
        <v>57</v>
      </c>
      <c r="B261" t="s">
        <v>671</v>
      </c>
      <c r="C261" t="s">
        <v>34</v>
      </c>
      <c r="D261" t="s">
        <v>35</v>
      </c>
      <c r="E261" s="2">
        <v>447.43400000000003</v>
      </c>
      <c r="F261" s="2">
        <v>0</v>
      </c>
      <c r="G261" s="2">
        <v>104.36499999999999</v>
      </c>
      <c r="H261" s="2">
        <v>-110.6785</v>
      </c>
      <c r="I261" s="1">
        <v>0.96650455709668903</v>
      </c>
      <c r="J261" s="1">
        <v>0.99472547906506803</v>
      </c>
      <c r="K261" s="1">
        <v>0.85825714183544299</v>
      </c>
      <c r="L261" s="1">
        <v>0.60297289432631396</v>
      </c>
      <c r="P261" s="1">
        <f>I261-'Passo 2'!I261</f>
        <v>2.9623363445781981E-2</v>
      </c>
      <c r="Q261" s="1">
        <f>J261-'Passo 2'!J261</f>
        <v>8.8455504051993983E-2</v>
      </c>
      <c r="R261" s="1">
        <f t="shared" si="17"/>
        <v>432.447</v>
      </c>
      <c r="S261">
        <f t="shared" si="16"/>
        <v>445.07399999999967</v>
      </c>
      <c r="T261" s="1">
        <f t="shared" si="18"/>
        <v>384.01342599999964</v>
      </c>
      <c r="U261" s="1">
        <f t="shared" si="19"/>
        <v>269.79057399999999</v>
      </c>
    </row>
    <row r="262" spans="1:21" x14ac:dyDescent="0.3">
      <c r="A262" t="s">
        <v>57</v>
      </c>
      <c r="B262" t="s">
        <v>672</v>
      </c>
      <c r="C262" t="s">
        <v>34</v>
      </c>
      <c r="D262" t="s">
        <v>35</v>
      </c>
      <c r="E262" s="2">
        <v>162.64500000000001</v>
      </c>
      <c r="F262" s="2">
        <v>0</v>
      </c>
      <c r="G262" s="2">
        <v>39.308500000000002</v>
      </c>
      <c r="H262" s="2">
        <v>-39.557249999999897</v>
      </c>
      <c r="I262" s="1">
        <v>0.98336561222293895</v>
      </c>
      <c r="J262" s="1">
        <v>0.98642442128562202</v>
      </c>
      <c r="K262" s="1">
        <v>0.97237671616096399</v>
      </c>
      <c r="L262" s="1">
        <v>0.49741331734759697</v>
      </c>
      <c r="P262" s="1">
        <f>I262-'Passo 2'!I262</f>
        <v>2.4049309846597922E-2</v>
      </c>
      <c r="Q262" s="1">
        <f>J262-'Passo 2'!J262</f>
        <v>8.4539948968613055E-2</v>
      </c>
      <c r="R262" s="1">
        <f t="shared" si="17"/>
        <v>159.93949999999992</v>
      </c>
      <c r="S262">
        <f t="shared" si="16"/>
        <v>160.43700000000001</v>
      </c>
      <c r="T262" s="1">
        <f t="shared" si="18"/>
        <v>158.15221099999999</v>
      </c>
      <c r="U262" s="1">
        <f t="shared" si="19"/>
        <v>80.901788999999908</v>
      </c>
    </row>
    <row r="263" spans="1:21" x14ac:dyDescent="0.3">
      <c r="A263" t="s">
        <v>57</v>
      </c>
      <c r="B263" t="s">
        <v>673</v>
      </c>
      <c r="C263" t="s">
        <v>580</v>
      </c>
      <c r="D263" t="s">
        <v>581</v>
      </c>
      <c r="E263" s="2">
        <v>57.652999999999999</v>
      </c>
      <c r="F263" s="2">
        <v>0</v>
      </c>
      <c r="G263" s="2">
        <v>11.54575</v>
      </c>
      <c r="H263" s="2">
        <v>-12.531750000000001</v>
      </c>
      <c r="I263" s="1">
        <v>0.90052555808023804</v>
      </c>
      <c r="J263" s="1">
        <v>0.93473019617365904</v>
      </c>
      <c r="K263" s="1">
        <v>0.69950045192819399</v>
      </c>
      <c r="L263" s="1">
        <v>0.63575530232570399</v>
      </c>
      <c r="P263" s="1">
        <f>I263-'Passo 2'!I263</f>
        <v>9.6005411687160036E-3</v>
      </c>
      <c r="Q263" s="1">
        <f>J263-'Passo 2'!J263</f>
        <v>7.5017778779939981E-3</v>
      </c>
      <c r="R263" s="1">
        <f t="shared" si="17"/>
        <v>51.917999999999964</v>
      </c>
      <c r="S263">
        <f t="shared" si="16"/>
        <v>53.889999999999965</v>
      </c>
      <c r="T263" s="1">
        <f t="shared" si="18"/>
        <v>40.328299555016166</v>
      </c>
      <c r="U263" s="1">
        <f t="shared" si="19"/>
        <v>36.65320044498381</v>
      </c>
    </row>
    <row r="264" spans="1:21" x14ac:dyDescent="0.3">
      <c r="A264" t="s">
        <v>57</v>
      </c>
      <c r="B264" t="s">
        <v>674</v>
      </c>
      <c r="C264" t="s">
        <v>34</v>
      </c>
      <c r="D264" t="s">
        <v>35</v>
      </c>
      <c r="E264" s="2">
        <v>52.744</v>
      </c>
      <c r="F264" s="2">
        <v>0</v>
      </c>
      <c r="G264" s="2">
        <v>13.1275</v>
      </c>
      <c r="H264" s="2">
        <v>-12.804749999999901</v>
      </c>
      <c r="I264" s="1">
        <v>0.99778173820718896</v>
      </c>
      <c r="J264" s="1">
        <v>0.98554337934172598</v>
      </c>
      <c r="K264" s="1">
        <v>0.89926981985895604</v>
      </c>
      <c r="L264" s="1">
        <v>0.58405529768995901</v>
      </c>
      <c r="P264" s="1">
        <f>I264-'Passo 2'!I264</f>
        <v>4.2639921128469926E-2</v>
      </c>
      <c r="Q264" s="1">
        <f>J264-'Passo 2'!J264</f>
        <v>3.0742833308053941E-2</v>
      </c>
      <c r="R264" s="1">
        <f t="shared" si="17"/>
        <v>52.626999999999974</v>
      </c>
      <c r="S264">
        <f t="shared" si="16"/>
        <v>51.981499999999997</v>
      </c>
      <c r="T264" s="1">
        <f t="shared" si="18"/>
        <v>47.431087378640775</v>
      </c>
      <c r="U264" s="1">
        <f t="shared" si="19"/>
        <v>30.805412621359199</v>
      </c>
    </row>
    <row r="265" spans="1:21" x14ac:dyDescent="0.3">
      <c r="A265" t="s">
        <v>57</v>
      </c>
      <c r="B265" t="s">
        <v>675</v>
      </c>
      <c r="C265" t="s">
        <v>580</v>
      </c>
      <c r="D265" t="s">
        <v>581</v>
      </c>
      <c r="E265" s="2">
        <v>744.97699999999998</v>
      </c>
      <c r="F265" s="2">
        <v>0</v>
      </c>
      <c r="G265" s="2">
        <v>178.99424999999999</v>
      </c>
      <c r="H265" s="2">
        <v>-184.25024999999999</v>
      </c>
      <c r="I265" s="1">
        <v>0.98053631185929202</v>
      </c>
      <c r="J265" s="1">
        <v>0.99464681459964499</v>
      </c>
      <c r="K265" s="1">
        <v>0.78145805134497903</v>
      </c>
      <c r="L265" s="1">
        <v>0.69372507511395798</v>
      </c>
      <c r="P265" s="1">
        <f>I265-'Passo 2'!I265</f>
        <v>1.4099764153792993E-2</v>
      </c>
      <c r="Q265" s="1">
        <f>J265-'Passo 2'!J265</f>
        <v>-5.2760018094519801E-3</v>
      </c>
      <c r="R265" s="1">
        <f t="shared" si="17"/>
        <v>730.47699999999975</v>
      </c>
      <c r="S265">
        <f t="shared" si="16"/>
        <v>740.98899999999969</v>
      </c>
      <c r="T265" s="1">
        <f t="shared" si="18"/>
        <v>582.16827471682848</v>
      </c>
      <c r="U265" s="1">
        <f t="shared" si="19"/>
        <v>516.80922528317103</v>
      </c>
    </row>
    <row r="266" spans="1:21" x14ac:dyDescent="0.3">
      <c r="A266" t="s">
        <v>57</v>
      </c>
      <c r="B266" t="s">
        <v>189</v>
      </c>
      <c r="C266" t="s">
        <v>580</v>
      </c>
      <c r="D266" t="s">
        <v>581</v>
      </c>
      <c r="E266" s="2">
        <v>0</v>
      </c>
      <c r="F266" s="2">
        <v>0</v>
      </c>
      <c r="G266" s="2">
        <v>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P266" s="1">
        <f>I266-'Passo 2'!I266</f>
        <v>0</v>
      </c>
      <c r="Q266" s="1">
        <f>J266-'Passo 2'!J266</f>
        <v>0</v>
      </c>
      <c r="R266" s="1">
        <f t="shared" si="17"/>
        <v>0</v>
      </c>
      <c r="S266">
        <f t="shared" si="16"/>
        <v>0</v>
      </c>
      <c r="T266" s="1">
        <f t="shared" si="18"/>
        <v>0</v>
      </c>
      <c r="U266" s="1">
        <f t="shared" si="19"/>
        <v>0</v>
      </c>
    </row>
    <row r="267" spans="1:21" x14ac:dyDescent="0.3">
      <c r="A267" t="s">
        <v>57</v>
      </c>
      <c r="B267" t="s">
        <v>676</v>
      </c>
      <c r="C267" t="s">
        <v>580</v>
      </c>
      <c r="D267" t="s">
        <v>581</v>
      </c>
      <c r="E267" s="2">
        <v>75.55</v>
      </c>
      <c r="F267" s="2">
        <v>0</v>
      </c>
      <c r="G267" s="2">
        <v>18.324750000000002</v>
      </c>
      <c r="H267" s="2">
        <v>-18.824750000000002</v>
      </c>
      <c r="I267" s="1">
        <v>0.985102581072137</v>
      </c>
      <c r="J267" s="1">
        <v>0.99833884844473797</v>
      </c>
      <c r="K267" s="1">
        <v>0.75564166661312104</v>
      </c>
      <c r="L267" s="1">
        <v>0.72779976290375403</v>
      </c>
      <c r="P267" s="1">
        <f>I267-'Passo 2'!I267</f>
        <v>0</v>
      </c>
      <c r="Q267" s="1">
        <f>J267-'Passo 2'!J267</f>
        <v>2.5585704831237011E-2</v>
      </c>
      <c r="R267" s="1">
        <f t="shared" si="17"/>
        <v>74.424499999999952</v>
      </c>
      <c r="S267">
        <f t="shared" si="16"/>
        <v>75.424499999999952</v>
      </c>
      <c r="T267" s="1">
        <f t="shared" si="18"/>
        <v>57.088727912621295</v>
      </c>
      <c r="U267" s="1">
        <f t="shared" si="19"/>
        <v>54.985272087378618</v>
      </c>
    </row>
    <row r="268" spans="1:21" x14ac:dyDescent="0.3">
      <c r="A268" t="s">
        <v>57</v>
      </c>
      <c r="B268" t="s">
        <v>190</v>
      </c>
      <c r="C268" t="s">
        <v>34</v>
      </c>
      <c r="D268" t="s">
        <v>35</v>
      </c>
      <c r="E268" s="2">
        <v>8.4489999999999998</v>
      </c>
      <c r="F268" s="2">
        <v>0</v>
      </c>
      <c r="G268" s="2">
        <v>1.98325</v>
      </c>
      <c r="H268" s="2">
        <v>-1.8779999999999999</v>
      </c>
      <c r="I268" s="1">
        <v>0.96946384187477797</v>
      </c>
      <c r="J268" s="1">
        <v>0.94454965084625397</v>
      </c>
      <c r="K268" s="1">
        <v>0.89709148666987604</v>
      </c>
      <c r="L268" s="1">
        <v>0.51692200605115501</v>
      </c>
      <c r="P268" s="1">
        <f>I268-'Passo 2'!I268</f>
        <v>3.0891229731329961E-2</v>
      </c>
      <c r="Q268" s="1">
        <f>J268-'Passo 2'!J268</f>
        <v>4.9059060243816011E-2</v>
      </c>
      <c r="R268" s="1">
        <f t="shared" si="17"/>
        <v>8.1909999999999989</v>
      </c>
      <c r="S268">
        <f t="shared" si="16"/>
        <v>7.9804999999999993</v>
      </c>
      <c r="T268" s="1">
        <f t="shared" si="18"/>
        <v>7.5795259708737825</v>
      </c>
      <c r="U268" s="1">
        <f t="shared" si="19"/>
        <v>4.3674740291262086</v>
      </c>
    </row>
    <row r="269" spans="1:21" x14ac:dyDescent="0.3">
      <c r="A269" t="s">
        <v>57</v>
      </c>
      <c r="B269" t="s">
        <v>191</v>
      </c>
      <c r="C269" t="s">
        <v>580</v>
      </c>
      <c r="D269" t="s">
        <v>581</v>
      </c>
      <c r="E269" s="2">
        <v>92.025999999999996</v>
      </c>
      <c r="F269" s="2">
        <v>0</v>
      </c>
      <c r="G269" s="2">
        <v>19.78425</v>
      </c>
      <c r="H269" s="2">
        <v>-19.805499999999999</v>
      </c>
      <c r="I269" s="1">
        <v>0.92997087779540499</v>
      </c>
      <c r="J269" s="1">
        <v>0.93043270380109899</v>
      </c>
      <c r="K269" s="1">
        <v>0.76066796050039898</v>
      </c>
      <c r="L269" s="1">
        <v>0.59973562109610601</v>
      </c>
      <c r="P269" s="1">
        <f>I269-'Passo 2'!I269</f>
        <v>1.5598852498207028E-2</v>
      </c>
      <c r="Q269" s="1">
        <f>J269-'Passo 2'!J269</f>
        <v>3.1550866059592009E-2</v>
      </c>
      <c r="R269" s="1">
        <f t="shared" si="17"/>
        <v>85.581499999999934</v>
      </c>
      <c r="S269">
        <f t="shared" si="16"/>
        <v>85.623999999999938</v>
      </c>
      <c r="T269" s="1">
        <f t="shared" si="18"/>
        <v>70.001229733009708</v>
      </c>
      <c r="U269" s="1">
        <f t="shared" si="19"/>
        <v>55.191270266990252</v>
      </c>
    </row>
    <row r="270" spans="1:21" x14ac:dyDescent="0.3">
      <c r="A270" t="s">
        <v>57</v>
      </c>
      <c r="B270" t="s">
        <v>192</v>
      </c>
      <c r="C270" t="s">
        <v>580</v>
      </c>
      <c r="D270" t="s">
        <v>581</v>
      </c>
      <c r="E270" s="2">
        <v>44.215000000000003</v>
      </c>
      <c r="F270" s="2">
        <v>0</v>
      </c>
      <c r="G270" s="2">
        <v>10.6615</v>
      </c>
      <c r="H270" s="2">
        <v>-9.4045000000000005</v>
      </c>
      <c r="I270" s="1">
        <v>0.98225715255003898</v>
      </c>
      <c r="J270" s="1">
        <v>0.92539862037769904</v>
      </c>
      <c r="K270" s="1">
        <v>0.85140093400766903</v>
      </c>
      <c r="L270" s="1">
        <v>0.55625483892006899</v>
      </c>
      <c r="P270" s="1">
        <f>I270-'Passo 2'!I270</f>
        <v>5.2470880922763974E-2</v>
      </c>
      <c r="Q270" s="1">
        <f>J270-'Passo 2'!J270</f>
        <v>3.234196539635803E-2</v>
      </c>
      <c r="R270" s="1">
        <f t="shared" si="17"/>
        <v>43.430499999999974</v>
      </c>
      <c r="S270">
        <f t="shared" si="16"/>
        <v>40.916499999999964</v>
      </c>
      <c r="T270" s="1">
        <f t="shared" si="18"/>
        <v>37.644692297149092</v>
      </c>
      <c r="U270" s="1">
        <f t="shared" si="19"/>
        <v>24.594807702850854</v>
      </c>
    </row>
    <row r="271" spans="1:21" x14ac:dyDescent="0.3">
      <c r="A271" t="s">
        <v>57</v>
      </c>
      <c r="B271" t="s">
        <v>193</v>
      </c>
      <c r="C271" t="s">
        <v>580</v>
      </c>
      <c r="D271" t="s">
        <v>581</v>
      </c>
      <c r="E271" s="2">
        <v>54.32</v>
      </c>
      <c r="F271" s="2">
        <v>0</v>
      </c>
      <c r="G271" s="2">
        <v>12.545999999999999</v>
      </c>
      <c r="H271" s="2">
        <v>-12.69575</v>
      </c>
      <c r="I271" s="1">
        <v>0.96192930780559605</v>
      </c>
      <c r="J271" s="1">
        <v>0.96744293078055899</v>
      </c>
      <c r="K271" s="1">
        <v>0.80978117657081805</v>
      </c>
      <c r="L271" s="1">
        <v>0.61959106201533698</v>
      </c>
      <c r="P271" s="1">
        <f>I271-'Passo 2'!I271</f>
        <v>2.0011045655375037E-2</v>
      </c>
      <c r="Q271" s="1">
        <f>J271-'Passo 2'!J271</f>
        <v>2.2183357879229648E-3</v>
      </c>
      <c r="R271" s="1">
        <f t="shared" si="17"/>
        <v>52.251999999999974</v>
      </c>
      <c r="S271">
        <f t="shared" si="16"/>
        <v>52.551499999999962</v>
      </c>
      <c r="T271" s="1">
        <f t="shared" si="18"/>
        <v>43.987313511326839</v>
      </c>
      <c r="U271" s="1">
        <f t="shared" si="19"/>
        <v>33.656186488673107</v>
      </c>
    </row>
    <row r="272" spans="1:21" x14ac:dyDescent="0.3">
      <c r="A272" t="s">
        <v>57</v>
      </c>
      <c r="B272" t="s">
        <v>194</v>
      </c>
      <c r="C272" t="s">
        <v>580</v>
      </c>
      <c r="D272" t="s">
        <v>581</v>
      </c>
      <c r="E272" s="2">
        <v>176.02</v>
      </c>
      <c r="F272" s="2">
        <v>0</v>
      </c>
      <c r="G272" s="2">
        <v>43.883249999999997</v>
      </c>
      <c r="H272" s="2">
        <v>-43.481749999999998</v>
      </c>
      <c r="I272" s="1">
        <v>0.99861663447335502</v>
      </c>
      <c r="J272" s="1">
        <v>0.99405465288035399</v>
      </c>
      <c r="K272" s="1">
        <v>0.83409310191655905</v>
      </c>
      <c r="L272" s="1">
        <v>0.65857818543714997</v>
      </c>
      <c r="P272" s="1">
        <f>I272-'Passo 2'!I272</f>
        <v>2.580672650835103E-2</v>
      </c>
      <c r="Q272" s="1">
        <f>J272-'Passo 2'!J272</f>
        <v>-9.0898761504032421E-5</v>
      </c>
      <c r="R272" s="1">
        <f t="shared" si="17"/>
        <v>175.77649999999997</v>
      </c>
      <c r="S272">
        <f t="shared" si="16"/>
        <v>174.97349999999992</v>
      </c>
      <c r="T272" s="1">
        <f t="shared" si="18"/>
        <v>146.81706779935274</v>
      </c>
      <c r="U272" s="1">
        <f t="shared" si="19"/>
        <v>115.92293220064714</v>
      </c>
    </row>
    <row r="273" spans="1:21" x14ac:dyDescent="0.3">
      <c r="A273" t="s">
        <v>57</v>
      </c>
      <c r="B273" t="s">
        <v>677</v>
      </c>
      <c r="C273" t="s">
        <v>580</v>
      </c>
      <c r="D273" t="s">
        <v>581</v>
      </c>
      <c r="E273" s="2">
        <v>54.759</v>
      </c>
      <c r="F273" s="2">
        <v>0</v>
      </c>
      <c r="G273" s="2">
        <v>12.861000000000001</v>
      </c>
      <c r="H273" s="2">
        <v>-12.855499999999999</v>
      </c>
      <c r="I273" s="1">
        <v>0.96973100312277405</v>
      </c>
      <c r="J273" s="1">
        <v>0.969530122902171</v>
      </c>
      <c r="K273" s="1">
        <v>0.80994875323357096</v>
      </c>
      <c r="L273" s="1">
        <v>0.62931237279137398</v>
      </c>
      <c r="P273" s="1">
        <f>I273-'Passo 2'!I273</f>
        <v>3.2962618017130074E-2</v>
      </c>
      <c r="Q273" s="1">
        <f>J273-'Passo 2'!J273</f>
        <v>8.4095765079712947E-2</v>
      </c>
      <c r="R273" s="1">
        <f t="shared" si="17"/>
        <v>53.101499999999987</v>
      </c>
      <c r="S273">
        <f t="shared" si="16"/>
        <v>53.090499999999984</v>
      </c>
      <c r="T273" s="1">
        <f t="shared" si="18"/>
        <v>44.351983778317113</v>
      </c>
      <c r="U273" s="1">
        <f t="shared" si="19"/>
        <v>34.460516221682845</v>
      </c>
    </row>
    <row r="274" spans="1:21" x14ac:dyDescent="0.3">
      <c r="A274" t="s">
        <v>57</v>
      </c>
      <c r="B274" t="s">
        <v>195</v>
      </c>
      <c r="C274" t="s">
        <v>580</v>
      </c>
      <c r="D274" t="s">
        <v>581</v>
      </c>
      <c r="E274" s="2">
        <v>91.158000000000001</v>
      </c>
      <c r="F274" s="2">
        <v>0</v>
      </c>
      <c r="G274" s="2">
        <v>17.208749999999998</v>
      </c>
      <c r="H274" s="2">
        <v>-21.214749999999999</v>
      </c>
      <c r="I274" s="1">
        <v>0.877558744158494</v>
      </c>
      <c r="J274" s="1">
        <v>0.96545009763268097</v>
      </c>
      <c r="K274" s="1">
        <v>0.71418698524152802</v>
      </c>
      <c r="L274" s="1">
        <v>0.62882185654964695</v>
      </c>
      <c r="P274" s="1">
        <f>I274-'Passo 2'!I274</f>
        <v>7.0125496390881947E-2</v>
      </c>
      <c r="Q274" s="1">
        <f>J274-'Passo 2'!J274</f>
        <v>8.6607867658350934E-2</v>
      </c>
      <c r="R274" s="1">
        <f t="shared" si="17"/>
        <v>79.996499999999997</v>
      </c>
      <c r="S274">
        <f t="shared" si="16"/>
        <v>88.008499999999927</v>
      </c>
      <c r="T274" s="1">
        <f t="shared" si="18"/>
        <v>65.103857200647212</v>
      </c>
      <c r="U274" s="1">
        <f t="shared" si="19"/>
        <v>57.322142799352719</v>
      </c>
    </row>
    <row r="275" spans="1:21" x14ac:dyDescent="0.3">
      <c r="A275" t="s">
        <v>57</v>
      </c>
      <c r="B275" t="s">
        <v>678</v>
      </c>
      <c r="C275" t="s">
        <v>580</v>
      </c>
      <c r="D275" t="s">
        <v>581</v>
      </c>
      <c r="E275" s="2">
        <v>195.477</v>
      </c>
      <c r="F275" s="2">
        <v>0</v>
      </c>
      <c r="G275" s="2">
        <v>48.238500000000002</v>
      </c>
      <c r="H275" s="2">
        <v>-39.6265</v>
      </c>
      <c r="I275" s="1">
        <v>0.99354655534922198</v>
      </c>
      <c r="J275" s="1">
        <v>0.90543388736270702</v>
      </c>
      <c r="K275" s="1">
        <v>0.83523177301932405</v>
      </c>
      <c r="L275" s="1">
        <v>0.56374866969260595</v>
      </c>
      <c r="P275" s="1">
        <f>I275-'Passo 2'!I275</f>
        <v>-2.0462765440987241E-5</v>
      </c>
      <c r="Q275" s="1">
        <f>J275-'Passo 2'!J275</f>
        <v>5.4351662855475991E-2</v>
      </c>
      <c r="R275" s="1">
        <f t="shared" si="17"/>
        <v>194.21549999999988</v>
      </c>
      <c r="S275">
        <f t="shared" si="16"/>
        <v>176.99149999999989</v>
      </c>
      <c r="T275" s="1">
        <f t="shared" si="18"/>
        <v>163.26860129449841</v>
      </c>
      <c r="U275" s="1">
        <f t="shared" si="19"/>
        <v>110.19989870550154</v>
      </c>
    </row>
    <row r="276" spans="1:21" x14ac:dyDescent="0.3">
      <c r="A276" t="s">
        <v>57</v>
      </c>
      <c r="B276" t="s">
        <v>196</v>
      </c>
      <c r="C276" t="s">
        <v>580</v>
      </c>
      <c r="D276" t="s">
        <v>581</v>
      </c>
      <c r="E276" s="2">
        <v>305.57100000000003</v>
      </c>
      <c r="F276" s="2">
        <v>0</v>
      </c>
      <c r="G276" s="2">
        <v>71.372249999999994</v>
      </c>
      <c r="H276" s="2">
        <v>-66.251750000000001</v>
      </c>
      <c r="I276" s="1">
        <v>0.96714020636775</v>
      </c>
      <c r="J276" s="1">
        <v>0.93362590036358095</v>
      </c>
      <c r="K276" s="1">
        <v>0.78144068702977498</v>
      </c>
      <c r="L276" s="1">
        <v>0.61932541970155697</v>
      </c>
      <c r="P276" s="1">
        <f>I276-'Passo 2'!I276</f>
        <v>2.7638421185255946E-2</v>
      </c>
      <c r="Q276" s="1">
        <f>J276-'Passo 2'!J276</f>
        <v>-6.5287609099107247E-4</v>
      </c>
      <c r="R276" s="1">
        <f t="shared" si="17"/>
        <v>295.52999999999975</v>
      </c>
      <c r="S276">
        <f t="shared" si="16"/>
        <v>285.28899999999982</v>
      </c>
      <c r="T276" s="1">
        <f t="shared" si="18"/>
        <v>238.78561217637539</v>
      </c>
      <c r="U276" s="1">
        <f t="shared" si="19"/>
        <v>189.24788782362447</v>
      </c>
    </row>
    <row r="277" spans="1:21" x14ac:dyDescent="0.3">
      <c r="A277" t="s">
        <v>57</v>
      </c>
      <c r="B277" t="s">
        <v>197</v>
      </c>
      <c r="C277" t="s">
        <v>580</v>
      </c>
      <c r="D277" t="s">
        <v>581</v>
      </c>
      <c r="E277" s="2">
        <v>197.376</v>
      </c>
      <c r="F277" s="2">
        <v>0</v>
      </c>
      <c r="G277" s="2">
        <v>45.947499999999998</v>
      </c>
      <c r="H277" s="2">
        <v>-47.939749999999997</v>
      </c>
      <c r="I277" s="1">
        <v>0.96558345492866404</v>
      </c>
      <c r="J277" s="1">
        <v>0.98577081306744396</v>
      </c>
      <c r="K277" s="1">
        <v>0.71121775533988896</v>
      </c>
      <c r="L277" s="1">
        <v>0.74013651265621905</v>
      </c>
      <c r="P277" s="1">
        <f>I277-'Passo 2'!I277</f>
        <v>4.4630552853437089E-2</v>
      </c>
      <c r="Q277" s="1">
        <f>J277-'Passo 2'!J277</f>
        <v>6.3837548638101538E-4</v>
      </c>
      <c r="R277" s="1">
        <f t="shared" si="17"/>
        <v>190.583</v>
      </c>
      <c r="S277">
        <f t="shared" si="16"/>
        <v>194.56749999999982</v>
      </c>
      <c r="T277" s="1">
        <f t="shared" si="18"/>
        <v>140.37731567796592</v>
      </c>
      <c r="U277" s="1">
        <f t="shared" si="19"/>
        <v>146.08518432203388</v>
      </c>
    </row>
    <row r="278" spans="1:21" x14ac:dyDescent="0.3">
      <c r="A278" t="s">
        <v>57</v>
      </c>
      <c r="B278" t="s">
        <v>198</v>
      </c>
      <c r="C278" t="s">
        <v>580</v>
      </c>
      <c r="D278" t="s">
        <v>581</v>
      </c>
      <c r="E278" s="2">
        <v>340.28300000000002</v>
      </c>
      <c r="F278" s="2">
        <v>0</v>
      </c>
      <c r="G278" s="2">
        <v>81.135999999999996</v>
      </c>
      <c r="H278" s="2">
        <v>-83.152749999999997</v>
      </c>
      <c r="I278" s="1">
        <v>0.97687366104095696</v>
      </c>
      <c r="J278" s="1">
        <v>0.98872703014843499</v>
      </c>
      <c r="K278" s="1">
        <v>0.71821228467391995</v>
      </c>
      <c r="L278" s="1">
        <v>0.747388406515471</v>
      </c>
      <c r="P278" s="1">
        <f>I278-'Passo 2'!I278</f>
        <v>5.0230249527598914E-2</v>
      </c>
      <c r="Q278" s="1">
        <f>J278-'Passo 2'!J278</f>
        <v>1.0979096810595945E-2</v>
      </c>
      <c r="R278" s="1">
        <f t="shared" si="17"/>
        <v>332.4135</v>
      </c>
      <c r="S278">
        <f t="shared" si="16"/>
        <v>336.44699999999995</v>
      </c>
      <c r="T278" s="1">
        <f t="shared" si="18"/>
        <v>244.39543086569552</v>
      </c>
      <c r="U278" s="1">
        <f t="shared" si="19"/>
        <v>254.32356913430402</v>
      </c>
    </row>
    <row r="279" spans="1:21" x14ac:dyDescent="0.3">
      <c r="A279" t="s">
        <v>57</v>
      </c>
      <c r="B279" t="s">
        <v>679</v>
      </c>
      <c r="C279" t="s">
        <v>580</v>
      </c>
      <c r="D279" t="s">
        <v>581</v>
      </c>
      <c r="E279" s="2">
        <v>229.24299999999999</v>
      </c>
      <c r="F279" s="2">
        <v>0</v>
      </c>
      <c r="G279" s="2">
        <v>51.121250000000003</v>
      </c>
      <c r="H279" s="2">
        <v>-55.439250000000001</v>
      </c>
      <c r="I279" s="1">
        <v>0.94600053218636904</v>
      </c>
      <c r="J279" s="1">
        <v>0.98367234768346201</v>
      </c>
      <c r="K279" s="1">
        <v>0.79031140211768003</v>
      </c>
      <c r="L279" s="1">
        <v>0.63936147775215102</v>
      </c>
      <c r="P279" s="1">
        <f>I279-'Passo 2'!I279</f>
        <v>1.5468302194614036E-2</v>
      </c>
      <c r="Q279" s="1">
        <f>J279-'Passo 2'!J279</f>
        <v>0</v>
      </c>
      <c r="R279" s="1">
        <f t="shared" si="17"/>
        <v>216.86399999999981</v>
      </c>
      <c r="S279">
        <f t="shared" si="16"/>
        <v>225.49999999999989</v>
      </c>
      <c r="T279" s="1">
        <f t="shared" si="18"/>
        <v>181.17335675566332</v>
      </c>
      <c r="U279" s="1">
        <f t="shared" si="19"/>
        <v>146.56914324433635</v>
      </c>
    </row>
    <row r="280" spans="1:21" x14ac:dyDescent="0.3">
      <c r="A280" t="s">
        <v>57</v>
      </c>
      <c r="B280" t="s">
        <v>199</v>
      </c>
      <c r="C280" t="s">
        <v>580</v>
      </c>
      <c r="D280" t="s">
        <v>581</v>
      </c>
      <c r="E280" s="2">
        <v>279.64</v>
      </c>
      <c r="F280" s="2">
        <v>0</v>
      </c>
      <c r="G280" s="2">
        <v>64.040999999999997</v>
      </c>
      <c r="H280" s="2">
        <v>-64.073250000000002</v>
      </c>
      <c r="I280" s="1">
        <v>0.95802460306107795</v>
      </c>
      <c r="J280" s="1">
        <v>0.95825525675868894</v>
      </c>
      <c r="K280" s="1">
        <v>0.73896613027317404</v>
      </c>
      <c r="L280" s="1">
        <v>0.67731372954659297</v>
      </c>
      <c r="P280" s="1">
        <f>I280-'Passo 2'!I280</f>
        <v>4.6309540838196384E-4</v>
      </c>
      <c r="Q280" s="1">
        <f>J280-'Passo 2'!J280</f>
        <v>6.9374910599295792E-4</v>
      </c>
      <c r="R280" s="1">
        <f t="shared" si="17"/>
        <v>267.90199999999982</v>
      </c>
      <c r="S280">
        <f t="shared" si="16"/>
        <v>267.96649999999977</v>
      </c>
      <c r="T280" s="1">
        <f t="shared" si="18"/>
        <v>206.64448866959037</v>
      </c>
      <c r="U280" s="1">
        <f t="shared" si="19"/>
        <v>189.40401133040925</v>
      </c>
    </row>
    <row r="281" spans="1:21" x14ac:dyDescent="0.3">
      <c r="A281" t="s">
        <v>57</v>
      </c>
      <c r="B281" t="s">
        <v>200</v>
      </c>
      <c r="C281" t="s">
        <v>580</v>
      </c>
      <c r="D281" t="s">
        <v>581</v>
      </c>
      <c r="E281" s="2">
        <v>81.787000000000006</v>
      </c>
      <c r="F281" s="2">
        <v>0</v>
      </c>
      <c r="G281" s="2">
        <v>18.7925</v>
      </c>
      <c r="H281" s="2">
        <v>-17.786999999999999</v>
      </c>
      <c r="I281" s="1">
        <v>0.95954736082751502</v>
      </c>
      <c r="J281" s="1">
        <v>0.93495910107963298</v>
      </c>
      <c r="K281" s="1">
        <v>0.867753959132326</v>
      </c>
      <c r="L281" s="1">
        <v>0.52675250277482299</v>
      </c>
      <c r="P281" s="1">
        <f>I281-'Passo 2'!I281</f>
        <v>0.18539621211194901</v>
      </c>
      <c r="Q281" s="1">
        <f>J281-'Passo 2'!J281</f>
        <v>4.3766124200666945E-2</v>
      </c>
      <c r="R281" s="1">
        <f t="shared" si="17"/>
        <v>78.478499999999983</v>
      </c>
      <c r="S281">
        <f t="shared" si="16"/>
        <v>76.467499999999944</v>
      </c>
      <c r="T281" s="1">
        <f t="shared" si="18"/>
        <v>70.970993055555553</v>
      </c>
      <c r="U281" s="1">
        <f t="shared" si="19"/>
        <v>43.081506944444449</v>
      </c>
    </row>
    <row r="282" spans="1:21" x14ac:dyDescent="0.3">
      <c r="A282" t="s">
        <v>57</v>
      </c>
      <c r="B282" t="s">
        <v>201</v>
      </c>
      <c r="C282" t="s">
        <v>580</v>
      </c>
      <c r="D282" t="s">
        <v>581</v>
      </c>
      <c r="E282" s="2">
        <v>134.25700000000001</v>
      </c>
      <c r="F282" s="2">
        <v>0</v>
      </c>
      <c r="G282" s="2">
        <v>24.294499999999999</v>
      </c>
      <c r="H282" s="2">
        <v>-31.366</v>
      </c>
      <c r="I282" s="1">
        <v>0.86191036593995096</v>
      </c>
      <c r="J282" s="1">
        <v>0.96725310412120002</v>
      </c>
      <c r="K282" s="1">
        <v>0.78576706739065105</v>
      </c>
      <c r="L282" s="1">
        <v>0.54339640267050004</v>
      </c>
      <c r="P282" s="1">
        <f>I282-'Passo 2'!I282</f>
        <v>0.12218729749659296</v>
      </c>
      <c r="Q282" s="1">
        <f>J282-'Passo 2'!J282</f>
        <v>2.0065992834638058E-2</v>
      </c>
      <c r="R282" s="1">
        <f t="shared" si="17"/>
        <v>115.7175</v>
      </c>
      <c r="S282">
        <f t="shared" si="16"/>
        <v>129.86049999999994</v>
      </c>
      <c r="T282" s="1">
        <f t="shared" si="18"/>
        <v>105.49472916666664</v>
      </c>
      <c r="U282" s="1">
        <f t="shared" si="19"/>
        <v>72.954770833333328</v>
      </c>
    </row>
    <row r="283" spans="1:21" x14ac:dyDescent="0.3">
      <c r="A283" t="s">
        <v>57</v>
      </c>
      <c r="B283" t="s">
        <v>680</v>
      </c>
      <c r="C283" t="s">
        <v>580</v>
      </c>
      <c r="D283" t="s">
        <v>581</v>
      </c>
      <c r="E283" s="2">
        <v>421.27499999999998</v>
      </c>
      <c r="F283" s="2">
        <v>0</v>
      </c>
      <c r="G283" s="2">
        <v>97.437250000000006</v>
      </c>
      <c r="H283" s="2">
        <v>-102.9905</v>
      </c>
      <c r="I283" s="1">
        <v>0.962582636045338</v>
      </c>
      <c r="J283" s="1">
        <v>0.98894665005044202</v>
      </c>
      <c r="K283" s="1">
        <v>0.80812348906530596</v>
      </c>
      <c r="L283" s="1">
        <v>0.64340579703047396</v>
      </c>
      <c r="P283" s="1">
        <f>I283-'Passo 2'!I283</f>
        <v>3.2045575929950942E-5</v>
      </c>
      <c r="Q283" s="1">
        <f>J283-'Passo 2'!J283</f>
        <v>7.4535635867301053E-4</v>
      </c>
      <c r="R283" s="1">
        <f t="shared" si="17"/>
        <v>405.51199999999977</v>
      </c>
      <c r="S283">
        <f t="shared" si="16"/>
        <v>416.61849999999993</v>
      </c>
      <c r="T283" s="1">
        <f t="shared" si="18"/>
        <v>340.44222285598676</v>
      </c>
      <c r="U283" s="1">
        <f t="shared" si="19"/>
        <v>271.0507771440129</v>
      </c>
    </row>
    <row r="284" spans="1:21" x14ac:dyDescent="0.3">
      <c r="A284" t="s">
        <v>57</v>
      </c>
      <c r="B284" t="s">
        <v>681</v>
      </c>
      <c r="C284" t="s">
        <v>580</v>
      </c>
      <c r="D284" t="s">
        <v>581</v>
      </c>
      <c r="E284" s="2">
        <v>206.589</v>
      </c>
      <c r="F284" s="2">
        <v>0</v>
      </c>
      <c r="G284" s="2">
        <v>45.870750000000001</v>
      </c>
      <c r="H284" s="2">
        <v>-44.500250000000001</v>
      </c>
      <c r="I284" s="1">
        <v>0.94407737101200895</v>
      </c>
      <c r="J284" s="1">
        <v>0.93080948162777299</v>
      </c>
      <c r="K284" s="1">
        <v>0.67827517572464002</v>
      </c>
      <c r="L284" s="1">
        <v>0.69661167691514103</v>
      </c>
      <c r="P284" s="1">
        <f>I284-'Passo 2'!I284</f>
        <v>3.1916026506735973E-2</v>
      </c>
      <c r="Q284" s="1">
        <f>J284-'Passo 2'!J284</f>
        <v>1.9170914230670966E-2</v>
      </c>
      <c r="R284" s="1">
        <f t="shared" si="17"/>
        <v>195.03599999999992</v>
      </c>
      <c r="S284">
        <f t="shared" si="16"/>
        <v>192.29499999999999</v>
      </c>
      <c r="T284" s="1">
        <f t="shared" si="18"/>
        <v>140.12419027777764</v>
      </c>
      <c r="U284" s="1">
        <f t="shared" si="19"/>
        <v>143.91230972222206</v>
      </c>
    </row>
    <row r="285" spans="1:21" x14ac:dyDescent="0.3">
      <c r="A285" t="s">
        <v>57</v>
      </c>
      <c r="B285" t="s">
        <v>682</v>
      </c>
      <c r="C285" t="s">
        <v>580</v>
      </c>
      <c r="D285" t="s">
        <v>581</v>
      </c>
      <c r="E285" s="2">
        <v>201.52799999999999</v>
      </c>
      <c r="F285" s="2">
        <v>0</v>
      </c>
      <c r="G285" s="2">
        <v>46.610750000000003</v>
      </c>
      <c r="H285" s="2">
        <v>-45.993000000000002</v>
      </c>
      <c r="I285" s="1">
        <v>0.96257343892659997</v>
      </c>
      <c r="J285" s="1">
        <v>0.95644277718232695</v>
      </c>
      <c r="K285" s="1">
        <v>0.71601134002884603</v>
      </c>
      <c r="L285" s="1">
        <v>0.703004876080081</v>
      </c>
      <c r="P285" s="1">
        <f>I285-'Passo 2'!I285</f>
        <v>3.1685423365486964E-2</v>
      </c>
      <c r="Q285" s="1">
        <f>J285-'Passo 2'!J285</f>
        <v>0</v>
      </c>
      <c r="R285" s="1">
        <f t="shared" si="17"/>
        <v>193.98549999999983</v>
      </c>
      <c r="S285">
        <f t="shared" si="16"/>
        <v>192.74999999999997</v>
      </c>
      <c r="T285" s="1">
        <f t="shared" si="18"/>
        <v>144.29633333333328</v>
      </c>
      <c r="U285" s="1">
        <f t="shared" si="19"/>
        <v>141.67516666666657</v>
      </c>
    </row>
    <row r="286" spans="1:21" x14ac:dyDescent="0.3">
      <c r="A286" t="s">
        <v>57</v>
      </c>
      <c r="B286" t="s">
        <v>683</v>
      </c>
      <c r="C286" t="s">
        <v>580</v>
      </c>
      <c r="D286" t="s">
        <v>581</v>
      </c>
      <c r="E286" s="2">
        <v>126.01300000000001</v>
      </c>
      <c r="F286" s="2">
        <v>0</v>
      </c>
      <c r="G286" s="2">
        <v>25.9895</v>
      </c>
      <c r="H286" s="2">
        <v>-29.567</v>
      </c>
      <c r="I286" s="1">
        <v>0.91248918762349895</v>
      </c>
      <c r="J286" s="1">
        <v>0.96926904367009703</v>
      </c>
      <c r="K286" s="1">
        <v>0.81406194396687603</v>
      </c>
      <c r="L286" s="1">
        <v>0.56769628732671995</v>
      </c>
      <c r="P286" s="1">
        <f>I286-'Passo 2'!I286</f>
        <v>7.4666899446882984E-2</v>
      </c>
      <c r="Q286" s="1">
        <f>J286-'Passo 2'!J286</f>
        <v>4.3535190813645985E-2</v>
      </c>
      <c r="R286" s="1">
        <f t="shared" si="17"/>
        <v>114.98549999999997</v>
      </c>
      <c r="S286">
        <f t="shared" si="16"/>
        <v>122.14049999999995</v>
      </c>
      <c r="T286" s="1">
        <f t="shared" si="18"/>
        <v>102.58238774509796</v>
      </c>
      <c r="U286" s="1">
        <f t="shared" si="19"/>
        <v>71.53711225490197</v>
      </c>
    </row>
    <row r="287" spans="1:21" x14ac:dyDescent="0.3">
      <c r="A287" t="s">
        <v>57</v>
      </c>
      <c r="B287" t="s">
        <v>684</v>
      </c>
      <c r="C287" t="s">
        <v>580</v>
      </c>
      <c r="D287" t="s">
        <v>581</v>
      </c>
      <c r="E287" s="2">
        <v>928.697</v>
      </c>
      <c r="F287" s="2">
        <v>0</v>
      </c>
      <c r="G287" s="2">
        <v>196.49224999999899</v>
      </c>
      <c r="H287" s="2">
        <v>-230.02974999999901</v>
      </c>
      <c r="I287" s="1">
        <v>0.923156853096327</v>
      </c>
      <c r="J287" s="1">
        <v>0.99538170145914096</v>
      </c>
      <c r="K287" s="1">
        <v>0.73261939090022599</v>
      </c>
      <c r="L287" s="1">
        <v>0.68591916365524197</v>
      </c>
      <c r="P287" s="1">
        <f>I287-'Passo 2'!I287</f>
        <v>9.8945081119029998E-2</v>
      </c>
      <c r="Q287" s="1">
        <f>J287-'Passo 2'!J287</f>
        <v>2.1433255410537977E-2</v>
      </c>
      <c r="R287" s="1">
        <f t="shared" si="17"/>
        <v>857.33299999999963</v>
      </c>
      <c r="S287">
        <f t="shared" si="16"/>
        <v>924.40799999999979</v>
      </c>
      <c r="T287" s="1">
        <f t="shared" si="18"/>
        <v>680.38143047086714</v>
      </c>
      <c r="U287" s="1">
        <f t="shared" si="19"/>
        <v>637.01106952913221</v>
      </c>
    </row>
    <row r="288" spans="1:21" x14ac:dyDescent="0.3">
      <c r="A288" t="s">
        <v>57</v>
      </c>
      <c r="B288" t="s">
        <v>685</v>
      </c>
      <c r="C288" t="s">
        <v>580</v>
      </c>
      <c r="D288" t="s">
        <v>581</v>
      </c>
      <c r="E288" s="2">
        <v>441.81099999999998</v>
      </c>
      <c r="F288" s="2">
        <v>0</v>
      </c>
      <c r="G288" s="2">
        <v>85.281499999999994</v>
      </c>
      <c r="H288" s="2">
        <v>-104.48125</v>
      </c>
      <c r="I288" s="1">
        <v>0.88605421775374504</v>
      </c>
      <c r="J288" s="1">
        <v>0.97296807911075101</v>
      </c>
      <c r="K288" s="1">
        <v>0.71057914615964601</v>
      </c>
      <c r="L288" s="1">
        <v>0.64844315070485004</v>
      </c>
      <c r="P288" s="1">
        <f>I288-'Passo 2'!I288</f>
        <v>5.1625016126805034E-2</v>
      </c>
      <c r="Q288" s="1">
        <f>J288-'Passo 2'!J288</f>
        <v>1.7359232794113999E-2</v>
      </c>
      <c r="R288" s="1">
        <f t="shared" si="17"/>
        <v>391.46849999999984</v>
      </c>
      <c r="S288">
        <f t="shared" si="16"/>
        <v>429.86799999999999</v>
      </c>
      <c r="T288" s="1">
        <f t="shared" si="18"/>
        <v>313.94168314393937</v>
      </c>
      <c r="U288" s="1">
        <f t="shared" si="19"/>
        <v>286.4893168560605</v>
      </c>
    </row>
    <row r="289" spans="1:21" x14ac:dyDescent="0.3">
      <c r="A289" t="s">
        <v>57</v>
      </c>
      <c r="B289" t="s">
        <v>686</v>
      </c>
      <c r="C289" t="s">
        <v>580</v>
      </c>
      <c r="D289" t="s">
        <v>581</v>
      </c>
      <c r="E289" s="2">
        <v>93.929000000000002</v>
      </c>
      <c r="F289" s="2">
        <v>0</v>
      </c>
      <c r="G289" s="2">
        <v>16.392749999999999</v>
      </c>
      <c r="H289" s="2">
        <v>-19.608250000000002</v>
      </c>
      <c r="I289" s="1">
        <v>0.84904555568567697</v>
      </c>
      <c r="J289" s="1">
        <v>0.9175121634426</v>
      </c>
      <c r="K289" s="1">
        <v>0.70918430984270697</v>
      </c>
      <c r="L289" s="1">
        <v>0.55737340928557</v>
      </c>
      <c r="P289" s="1">
        <f>I289-'Passo 2'!I289</f>
        <v>-3.5617327981773084E-2</v>
      </c>
      <c r="Q289" s="1">
        <f>J289-'Passo 2'!J289</f>
        <v>-4.0030235603489839E-3</v>
      </c>
      <c r="R289" s="1">
        <f t="shared" si="17"/>
        <v>79.749999999999957</v>
      </c>
      <c r="S289">
        <f t="shared" si="16"/>
        <v>86.180999999999983</v>
      </c>
      <c r="T289" s="1">
        <f t="shared" si="18"/>
        <v>66.612973039215618</v>
      </c>
      <c r="U289" s="1">
        <f t="shared" si="19"/>
        <v>52.353526960784308</v>
      </c>
    </row>
    <row r="290" spans="1:21" x14ac:dyDescent="0.3">
      <c r="A290" t="s">
        <v>57</v>
      </c>
      <c r="B290" t="s">
        <v>687</v>
      </c>
      <c r="C290" t="s">
        <v>580</v>
      </c>
      <c r="D290" t="s">
        <v>581</v>
      </c>
      <c r="E290" s="2">
        <v>521.41399999999999</v>
      </c>
      <c r="F290" s="2">
        <v>0</v>
      </c>
      <c r="G290" s="2">
        <v>114.6575</v>
      </c>
      <c r="H290" s="2">
        <v>-119.517</v>
      </c>
      <c r="I290" s="1">
        <v>0.93979448192798798</v>
      </c>
      <c r="J290" s="1">
        <v>0.958434180900397</v>
      </c>
      <c r="K290" s="1">
        <v>0.72578126798247</v>
      </c>
      <c r="L290" s="1">
        <v>0.67244739484591498</v>
      </c>
      <c r="P290" s="1">
        <f>I290-'Passo 2'!I290</f>
        <v>8.0038127092866951E-2</v>
      </c>
      <c r="Q290" s="1">
        <f>J290-'Passo 2'!J290</f>
        <v>-9.4780730858780027E-3</v>
      </c>
      <c r="R290" s="1">
        <f t="shared" si="17"/>
        <v>490.02199999999993</v>
      </c>
      <c r="S290">
        <f t="shared" si="16"/>
        <v>499.74099999999959</v>
      </c>
      <c r="T290" s="1">
        <f t="shared" si="18"/>
        <v>378.4325140638116</v>
      </c>
      <c r="U290" s="1">
        <f t="shared" si="19"/>
        <v>350.62348593618793</v>
      </c>
    </row>
    <row r="291" spans="1:21" x14ac:dyDescent="0.3">
      <c r="A291" t="s">
        <v>57</v>
      </c>
      <c r="B291" t="s">
        <v>202</v>
      </c>
      <c r="C291" t="s">
        <v>34</v>
      </c>
      <c r="D291" t="s">
        <v>35</v>
      </c>
      <c r="E291" s="2">
        <v>235.80699999999999</v>
      </c>
      <c r="F291" s="2">
        <v>0</v>
      </c>
      <c r="G291" s="2">
        <v>57.536499999999997</v>
      </c>
      <c r="H291" s="2">
        <v>-56.721499999999999</v>
      </c>
      <c r="I291" s="1">
        <v>0.98799653954293098</v>
      </c>
      <c r="J291" s="1">
        <v>0.98108410691794501</v>
      </c>
      <c r="K291" s="1">
        <v>0.88402200269240905</v>
      </c>
      <c r="L291" s="1">
        <v>0.58505864376846795</v>
      </c>
      <c r="P291" s="1">
        <f>I291-'Passo 2'!I291</f>
        <v>5.8976196635384004E-2</v>
      </c>
      <c r="Q291" s="1">
        <f>J291-'Passo 2'!J291</f>
        <v>0.105138948377275</v>
      </c>
      <c r="R291" s="1">
        <f t="shared" si="17"/>
        <v>232.9764999999999</v>
      </c>
      <c r="S291">
        <f t="shared" si="16"/>
        <v>231.34649999999985</v>
      </c>
      <c r="T291" s="1">
        <f t="shared" si="18"/>
        <v>208.4585763888889</v>
      </c>
      <c r="U291" s="1">
        <f t="shared" si="19"/>
        <v>137.96092361111113</v>
      </c>
    </row>
    <row r="292" spans="1:21" x14ac:dyDescent="0.3">
      <c r="A292" t="s">
        <v>57</v>
      </c>
      <c r="B292" t="s">
        <v>203</v>
      </c>
      <c r="C292" t="s">
        <v>576</v>
      </c>
      <c r="D292" t="s">
        <v>589</v>
      </c>
      <c r="E292" s="2">
        <v>0</v>
      </c>
      <c r="F292" s="2">
        <v>0</v>
      </c>
      <c r="G292" s="2">
        <v>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P292" s="1">
        <f>I292-'Passo 2'!I292</f>
        <v>0</v>
      </c>
      <c r="Q292" s="1">
        <f>J292-'Passo 2'!J292</f>
        <v>0</v>
      </c>
      <c r="R292" s="1">
        <f t="shared" si="17"/>
        <v>0</v>
      </c>
      <c r="S292">
        <f t="shared" si="16"/>
        <v>0</v>
      </c>
      <c r="T292" s="1">
        <f t="shared" si="18"/>
        <v>0</v>
      </c>
      <c r="U292" s="1">
        <f t="shared" si="19"/>
        <v>0</v>
      </c>
    </row>
    <row r="293" spans="1:21" x14ac:dyDescent="0.3">
      <c r="A293" t="s">
        <v>57</v>
      </c>
      <c r="B293" t="s">
        <v>204</v>
      </c>
      <c r="C293" t="s">
        <v>576</v>
      </c>
      <c r="D293" t="s">
        <v>583</v>
      </c>
      <c r="E293" s="2">
        <v>0</v>
      </c>
      <c r="F293" s="2">
        <v>0</v>
      </c>
      <c r="G293" s="2">
        <v>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P293" s="1">
        <f>I293-'Passo 2'!I293</f>
        <v>0</v>
      </c>
      <c r="Q293" s="1">
        <f>J293-'Passo 2'!J293</f>
        <v>0</v>
      </c>
      <c r="R293" s="1">
        <f t="shared" si="17"/>
        <v>0</v>
      </c>
      <c r="S293">
        <f t="shared" si="16"/>
        <v>0</v>
      </c>
      <c r="T293" s="1">
        <f t="shared" si="18"/>
        <v>0</v>
      </c>
      <c r="U293" s="1">
        <f t="shared" si="19"/>
        <v>0</v>
      </c>
    </row>
    <row r="294" spans="1:21" x14ac:dyDescent="0.3">
      <c r="A294" t="s">
        <v>57</v>
      </c>
      <c r="B294" t="s">
        <v>205</v>
      </c>
      <c r="C294" t="s">
        <v>576</v>
      </c>
      <c r="D294" t="s">
        <v>14</v>
      </c>
      <c r="E294" s="2">
        <v>12.102</v>
      </c>
      <c r="F294" s="2">
        <v>0</v>
      </c>
      <c r="G294" s="2">
        <v>2.8817499999999998</v>
      </c>
      <c r="H294" s="2">
        <v>-2.33175</v>
      </c>
      <c r="I294" s="1">
        <v>0.97624359609981803</v>
      </c>
      <c r="J294" s="1">
        <v>0.88534952900346997</v>
      </c>
      <c r="K294" s="1">
        <v>0.86646860972456796</v>
      </c>
      <c r="L294" s="1">
        <v>0.49512451537871899</v>
      </c>
      <c r="P294" s="1">
        <f>I294-'Passo 2'!I294</f>
        <v>0.11923648983639101</v>
      </c>
      <c r="Q294" s="1">
        <f>J294-'Passo 2'!J294</f>
        <v>-5.0818046603869904E-3</v>
      </c>
      <c r="R294" s="1">
        <f t="shared" si="17"/>
        <v>11.814499999999999</v>
      </c>
      <c r="S294">
        <f t="shared" si="16"/>
        <v>10.714499999999994</v>
      </c>
      <c r="T294" s="1">
        <f t="shared" si="18"/>
        <v>10.486003114886723</v>
      </c>
      <c r="U294" s="1">
        <f t="shared" si="19"/>
        <v>5.9919968851132577</v>
      </c>
    </row>
    <row r="295" spans="1:21" x14ac:dyDescent="0.3">
      <c r="A295" t="s">
        <v>57</v>
      </c>
      <c r="B295" t="s">
        <v>206</v>
      </c>
      <c r="C295" t="s">
        <v>34</v>
      </c>
      <c r="D295" t="s">
        <v>35</v>
      </c>
      <c r="E295" s="2">
        <v>20.954000000000001</v>
      </c>
      <c r="F295" s="2">
        <v>0</v>
      </c>
      <c r="G295" s="2">
        <v>5.2350000000000003</v>
      </c>
      <c r="H295" s="2">
        <v>-5.0065</v>
      </c>
      <c r="I295" s="1">
        <v>0.99966593490502997</v>
      </c>
      <c r="J295" s="1">
        <v>0.97785625656199304</v>
      </c>
      <c r="K295" s="1">
        <v>0.99559027317659599</v>
      </c>
      <c r="L295" s="1">
        <v>0.48193191829042598</v>
      </c>
      <c r="P295" s="1">
        <f>I295-'Passo 2'!I295</f>
        <v>1.4627278801183974E-2</v>
      </c>
      <c r="Q295" s="1">
        <f>J295-'Passo 2'!J295</f>
        <v>6.2756514269360908E-3</v>
      </c>
      <c r="R295" s="1">
        <f t="shared" si="17"/>
        <v>20.946999999999999</v>
      </c>
      <c r="S295">
        <f t="shared" si="16"/>
        <v>20.490000000000002</v>
      </c>
      <c r="T295" s="1">
        <f t="shared" si="18"/>
        <v>20.861598584142392</v>
      </c>
      <c r="U295" s="1">
        <f t="shared" si="19"/>
        <v>10.098401415857586</v>
      </c>
    </row>
    <row r="296" spans="1:21" x14ac:dyDescent="0.3">
      <c r="A296" t="s">
        <v>57</v>
      </c>
      <c r="B296" t="s">
        <v>207</v>
      </c>
      <c r="C296" t="s">
        <v>576</v>
      </c>
      <c r="D296" t="s">
        <v>577</v>
      </c>
      <c r="E296" s="2">
        <v>0</v>
      </c>
      <c r="F296" s="2">
        <v>0</v>
      </c>
      <c r="G296" s="2">
        <v>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P296" s="1">
        <f>I296-'Passo 2'!I296</f>
        <v>0</v>
      </c>
      <c r="Q296" s="1">
        <f>J296-'Passo 2'!J296</f>
        <v>0</v>
      </c>
      <c r="R296" s="1">
        <f t="shared" si="17"/>
        <v>0</v>
      </c>
      <c r="S296">
        <f t="shared" si="16"/>
        <v>0</v>
      </c>
      <c r="T296" s="1">
        <f t="shared" si="18"/>
        <v>0</v>
      </c>
      <c r="U296" s="1">
        <f t="shared" si="19"/>
        <v>0</v>
      </c>
    </row>
    <row r="297" spans="1:21" x14ac:dyDescent="0.3">
      <c r="A297" t="s">
        <v>57</v>
      </c>
      <c r="B297" t="s">
        <v>208</v>
      </c>
      <c r="C297" t="s">
        <v>580</v>
      </c>
      <c r="D297" t="s">
        <v>581</v>
      </c>
      <c r="E297" s="2">
        <v>6.3579999999999997</v>
      </c>
      <c r="F297" s="2">
        <v>0.13</v>
      </c>
      <c r="G297" s="2">
        <v>0.92949999999999999</v>
      </c>
      <c r="H297" s="2">
        <v>-1.355</v>
      </c>
      <c r="I297" s="1">
        <v>0.78216420257942698</v>
      </c>
      <c r="J297" s="1">
        <v>0.916011324315822</v>
      </c>
      <c r="K297" s="1">
        <v>0.56759528677781201</v>
      </c>
      <c r="L297" s="1">
        <v>0.64080358079060495</v>
      </c>
      <c r="P297" s="1">
        <f>I297-'Passo 2'!I297</f>
        <v>1.5885498584459978E-2</v>
      </c>
      <c r="Q297" s="1">
        <f>J297-'Passo 2'!J297</f>
        <v>5.6464296948726012E-2</v>
      </c>
      <c r="R297" s="1">
        <f t="shared" si="17"/>
        <v>4.9729999999999963</v>
      </c>
      <c r="S297">
        <f t="shared" si="16"/>
        <v>5.8239999999999963</v>
      </c>
      <c r="T297" s="1">
        <f t="shared" si="18"/>
        <v>3.6087708333333284</v>
      </c>
      <c r="U297" s="1">
        <f t="shared" si="19"/>
        <v>4.0742291666666661</v>
      </c>
    </row>
    <row r="298" spans="1:21" x14ac:dyDescent="0.3">
      <c r="A298" t="s">
        <v>57</v>
      </c>
      <c r="B298" t="s">
        <v>209</v>
      </c>
      <c r="C298" t="s">
        <v>576</v>
      </c>
      <c r="D298" t="s">
        <v>583</v>
      </c>
      <c r="E298" s="2">
        <v>141.65700000000001</v>
      </c>
      <c r="F298" s="2">
        <v>0</v>
      </c>
      <c r="G298" s="2">
        <v>35.217750000000002</v>
      </c>
      <c r="H298" s="2">
        <v>-35.362000000000002</v>
      </c>
      <c r="I298" s="1">
        <v>0.99722569304729003</v>
      </c>
      <c r="J298" s="1">
        <v>0.99926230260417703</v>
      </c>
      <c r="K298" s="1">
        <v>0.98708308977016901</v>
      </c>
      <c r="L298" s="1">
        <v>0.50940490588129905</v>
      </c>
      <c r="P298" s="1">
        <f>I298-'Passo 2'!I298</f>
        <v>6.3406679514601993E-2</v>
      </c>
      <c r="Q298" s="1">
        <f>J298-'Passo 2'!J298</f>
        <v>9.7806673867160132E-3</v>
      </c>
      <c r="R298" s="1">
        <f t="shared" si="17"/>
        <v>141.26399999999998</v>
      </c>
      <c r="S298">
        <f t="shared" si="16"/>
        <v>141.55249999999992</v>
      </c>
      <c r="T298" s="1">
        <f t="shared" si="18"/>
        <v>139.82722924757283</v>
      </c>
      <c r="U298" s="1">
        <f t="shared" si="19"/>
        <v>72.160770752427183</v>
      </c>
    </row>
    <row r="299" spans="1:21" x14ac:dyDescent="0.3">
      <c r="A299" t="s">
        <v>57</v>
      </c>
      <c r="B299" t="s">
        <v>210</v>
      </c>
      <c r="C299" t="s">
        <v>576</v>
      </c>
      <c r="D299" t="s">
        <v>583</v>
      </c>
      <c r="E299" s="2">
        <v>140.23400000000001</v>
      </c>
      <c r="F299" s="2">
        <v>0</v>
      </c>
      <c r="G299" s="2">
        <v>34.914250000000003</v>
      </c>
      <c r="H299" s="2">
        <v>-35.058500000000002</v>
      </c>
      <c r="I299" s="1">
        <v>0.99794272430366304</v>
      </c>
      <c r="J299" s="1">
        <v>1</v>
      </c>
      <c r="K299" s="1">
        <v>0.98786950433701803</v>
      </c>
      <c r="L299" s="1">
        <v>0.51007321996664501</v>
      </c>
      <c r="P299" s="1">
        <f>I299-'Passo 2'!I299</f>
        <v>9.1037123664731046E-2</v>
      </c>
      <c r="Q299" s="1">
        <f>J299-'Passo 2'!J299</f>
        <v>1.1930059757263023E-2</v>
      </c>
      <c r="R299" s="1">
        <f t="shared" si="17"/>
        <v>139.9454999999999</v>
      </c>
      <c r="S299">
        <f t="shared" si="16"/>
        <v>140.23400000000001</v>
      </c>
      <c r="T299" s="1">
        <f t="shared" si="18"/>
        <v>138.53289207119741</v>
      </c>
      <c r="U299" s="1">
        <f t="shared" si="19"/>
        <v>71.529607928802506</v>
      </c>
    </row>
    <row r="300" spans="1:21" x14ac:dyDescent="0.3">
      <c r="A300" t="s">
        <v>57</v>
      </c>
      <c r="B300" t="s">
        <v>211</v>
      </c>
      <c r="C300" t="s">
        <v>580</v>
      </c>
      <c r="D300" t="s">
        <v>581</v>
      </c>
      <c r="E300" s="2">
        <v>15.388999999999999</v>
      </c>
      <c r="F300" s="2">
        <v>8.9999999999999993E-3</v>
      </c>
      <c r="G300" s="2">
        <v>3.2894999999999999</v>
      </c>
      <c r="H300" s="2">
        <v>-3.1952500000000001</v>
      </c>
      <c r="I300" s="1">
        <v>0.92722074208850402</v>
      </c>
      <c r="J300" s="1">
        <v>0.91497173305607904</v>
      </c>
      <c r="K300" s="1">
        <v>0.70198951632118101</v>
      </c>
      <c r="L300" s="1">
        <v>0.64049537548465296</v>
      </c>
      <c r="P300" s="1">
        <f>I300-'Passo 2'!I300</f>
        <v>-5.5234258236402933E-4</v>
      </c>
      <c r="Q300" s="1">
        <f>J300-'Passo 2'!J300</f>
        <v>9.8089544479823987E-2</v>
      </c>
      <c r="R300" s="1">
        <f t="shared" si="17"/>
        <v>14.268999999999988</v>
      </c>
      <c r="S300">
        <f t="shared" si="16"/>
        <v>14.080499999999999</v>
      </c>
      <c r="T300" s="1">
        <f t="shared" si="18"/>
        <v>10.802916666666654</v>
      </c>
      <c r="U300" s="1">
        <f t="shared" si="19"/>
        <v>9.8565833333333241</v>
      </c>
    </row>
    <row r="301" spans="1:21" x14ac:dyDescent="0.3">
      <c r="A301" t="s">
        <v>57</v>
      </c>
      <c r="B301" t="s">
        <v>212</v>
      </c>
      <c r="C301" t="s">
        <v>576</v>
      </c>
      <c r="D301" t="s">
        <v>583</v>
      </c>
      <c r="E301" s="2">
        <v>0</v>
      </c>
      <c r="F301" s="2">
        <v>0</v>
      </c>
      <c r="G301" s="2">
        <v>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P301" s="1">
        <f>I301-'Passo 2'!I301</f>
        <v>0</v>
      </c>
      <c r="Q301" s="1">
        <f>J301-'Passo 2'!J301</f>
        <v>0</v>
      </c>
      <c r="R301" s="1">
        <f t="shared" si="17"/>
        <v>0</v>
      </c>
      <c r="S301">
        <f t="shared" si="16"/>
        <v>0</v>
      </c>
      <c r="T301" s="1">
        <f t="shared" si="18"/>
        <v>0</v>
      </c>
      <c r="U301" s="1">
        <f t="shared" si="19"/>
        <v>0</v>
      </c>
    </row>
    <row r="302" spans="1:21" x14ac:dyDescent="0.3">
      <c r="A302" t="s">
        <v>57</v>
      </c>
      <c r="B302" t="s">
        <v>213</v>
      </c>
      <c r="C302" t="s">
        <v>580</v>
      </c>
      <c r="D302" t="s">
        <v>581</v>
      </c>
      <c r="E302" s="2">
        <v>72.585999999999999</v>
      </c>
      <c r="F302" s="2">
        <v>0</v>
      </c>
      <c r="G302" s="2">
        <v>13.393000000000001</v>
      </c>
      <c r="H302" s="2">
        <v>-16.5395</v>
      </c>
      <c r="I302" s="1">
        <v>0.86902432976055899</v>
      </c>
      <c r="J302" s="1">
        <v>0.95572148899236697</v>
      </c>
      <c r="K302" s="1">
        <v>0.770382120991709</v>
      </c>
      <c r="L302" s="1">
        <v>0.55436369776121797</v>
      </c>
      <c r="P302" s="1">
        <f>I302-'Passo 2'!I302</f>
        <v>-1.3391012040889994E-2</v>
      </c>
      <c r="Q302" s="1">
        <f>J302-'Passo 2'!J302</f>
        <v>5.8220593502879003E-2</v>
      </c>
      <c r="R302" s="1">
        <f t="shared" si="17"/>
        <v>63.078999999999937</v>
      </c>
      <c r="S302">
        <f t="shared" si="16"/>
        <v>69.371999999999943</v>
      </c>
      <c r="T302" s="1">
        <f t="shared" si="18"/>
        <v>55.918956634304188</v>
      </c>
      <c r="U302" s="1">
        <f t="shared" si="19"/>
        <v>40.239043365695764</v>
      </c>
    </row>
    <row r="303" spans="1:21" x14ac:dyDescent="0.3">
      <c r="A303" t="s">
        <v>57</v>
      </c>
      <c r="B303" t="s">
        <v>214</v>
      </c>
      <c r="C303" t="s">
        <v>576</v>
      </c>
      <c r="D303" t="s">
        <v>589</v>
      </c>
      <c r="E303" s="2">
        <v>0</v>
      </c>
      <c r="F303" s="2">
        <v>0</v>
      </c>
      <c r="G303" s="2">
        <v>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P303" s="1">
        <f>I303-'Passo 2'!I303</f>
        <v>0</v>
      </c>
      <c r="Q303" s="1">
        <f>J303-'Passo 2'!J303</f>
        <v>0</v>
      </c>
      <c r="R303" s="1">
        <f t="shared" si="17"/>
        <v>0</v>
      </c>
      <c r="S303">
        <f t="shared" si="16"/>
        <v>0</v>
      </c>
      <c r="T303" s="1">
        <f t="shared" si="18"/>
        <v>0</v>
      </c>
      <c r="U303" s="1">
        <f t="shared" si="19"/>
        <v>0</v>
      </c>
    </row>
    <row r="304" spans="1:21" x14ac:dyDescent="0.3">
      <c r="A304" t="s">
        <v>57</v>
      </c>
      <c r="B304" t="s">
        <v>215</v>
      </c>
      <c r="C304" t="s">
        <v>574</v>
      </c>
      <c r="D304" t="s">
        <v>575</v>
      </c>
      <c r="E304" s="2">
        <v>447.077</v>
      </c>
      <c r="F304" s="2">
        <v>0</v>
      </c>
      <c r="G304" s="2">
        <v>111.54725000000001</v>
      </c>
      <c r="H304" s="2">
        <v>-108.32275</v>
      </c>
      <c r="I304" s="1">
        <v>0.99900688248333003</v>
      </c>
      <c r="J304" s="1">
        <v>0.98458207422882404</v>
      </c>
      <c r="K304" s="1">
        <v>0.85712800260227495</v>
      </c>
      <c r="L304" s="1">
        <v>0.62646095410987901</v>
      </c>
      <c r="P304" s="1">
        <f>I304-'Passo 2'!I304</f>
        <v>0.116751700490072</v>
      </c>
      <c r="Q304" s="1">
        <f>J304-'Passo 2'!J304</f>
        <v>0.15017547312879009</v>
      </c>
      <c r="R304" s="1">
        <f t="shared" si="17"/>
        <v>446.63299999999975</v>
      </c>
      <c r="S304">
        <f t="shared" si="16"/>
        <v>440.18399999999997</v>
      </c>
      <c r="T304" s="1">
        <f t="shared" si="18"/>
        <v>383.20221601941728</v>
      </c>
      <c r="U304" s="1">
        <f t="shared" si="19"/>
        <v>280.07628398058239</v>
      </c>
    </row>
    <row r="305" spans="1:21" x14ac:dyDescent="0.3">
      <c r="A305" t="s">
        <v>57</v>
      </c>
      <c r="B305" t="s">
        <v>216</v>
      </c>
      <c r="C305" t="s">
        <v>576</v>
      </c>
      <c r="D305" t="s">
        <v>589</v>
      </c>
      <c r="E305" s="2">
        <v>0</v>
      </c>
      <c r="F305" s="2">
        <v>0</v>
      </c>
      <c r="G305" s="2">
        <v>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P305" s="1">
        <f>I305-'Passo 2'!I305</f>
        <v>0</v>
      </c>
      <c r="Q305" s="1">
        <f>J305-'Passo 2'!J305</f>
        <v>0</v>
      </c>
      <c r="R305" s="1">
        <f t="shared" si="17"/>
        <v>0</v>
      </c>
      <c r="S305">
        <f t="shared" si="16"/>
        <v>0</v>
      </c>
      <c r="T305" s="1">
        <f t="shared" si="18"/>
        <v>0</v>
      </c>
      <c r="U305" s="1">
        <f t="shared" si="19"/>
        <v>0</v>
      </c>
    </row>
    <row r="306" spans="1:21" x14ac:dyDescent="0.3">
      <c r="A306" t="s">
        <v>57</v>
      </c>
      <c r="B306" t="s">
        <v>217</v>
      </c>
      <c r="C306" t="s">
        <v>574</v>
      </c>
      <c r="D306" t="s">
        <v>575</v>
      </c>
      <c r="E306" s="2">
        <v>1471.1690000000001</v>
      </c>
      <c r="F306" s="2">
        <v>129.047</v>
      </c>
      <c r="G306" s="2">
        <v>321.84100000000001</v>
      </c>
      <c r="H306" s="2">
        <v>-318.53275000000002</v>
      </c>
      <c r="I306" s="1">
        <v>0.893672310930967</v>
      </c>
      <c r="J306" s="1">
        <v>0.88917486706149995</v>
      </c>
      <c r="K306" s="1">
        <v>0.76316280563961802</v>
      </c>
      <c r="L306" s="1">
        <v>0.56354303169110198</v>
      </c>
      <c r="P306" s="1">
        <f>I306-'Passo 2'!I306</f>
        <v>6.1818186761684046E-2</v>
      </c>
      <c r="Q306" s="1">
        <f>J306-'Passo 2'!J306</f>
        <v>2.7728969275453985E-2</v>
      </c>
      <c r="R306" s="1">
        <f t="shared" si="17"/>
        <v>1314.7429999999999</v>
      </c>
      <c r="S306">
        <f t="shared" si="16"/>
        <v>1308.1264999999999</v>
      </c>
      <c r="T306" s="1">
        <f t="shared" si="18"/>
        <v>1122.7414616100314</v>
      </c>
      <c r="U306" s="1">
        <f t="shared" si="19"/>
        <v>829.06703838996691</v>
      </c>
    </row>
    <row r="307" spans="1:21" x14ac:dyDescent="0.3">
      <c r="A307" t="s">
        <v>57</v>
      </c>
      <c r="B307" t="s">
        <v>218</v>
      </c>
      <c r="C307" t="s">
        <v>580</v>
      </c>
      <c r="D307" t="s">
        <v>581</v>
      </c>
      <c r="E307" s="2">
        <v>23.498000000000001</v>
      </c>
      <c r="F307" s="2">
        <v>0</v>
      </c>
      <c r="G307" s="2">
        <v>5.6405000000000003</v>
      </c>
      <c r="H307" s="2">
        <v>-5.617</v>
      </c>
      <c r="I307" s="1">
        <v>0.980083411354157</v>
      </c>
      <c r="J307" s="1">
        <v>0.97808324112690403</v>
      </c>
      <c r="K307" s="1">
        <v>0.77535790589903497</v>
      </c>
      <c r="L307" s="1">
        <v>0.68280874658202595</v>
      </c>
      <c r="P307" s="1">
        <f>I307-'Passo 2'!I307</f>
        <v>3.1385649842538998E-2</v>
      </c>
      <c r="Q307" s="1">
        <f>J307-'Passo 2'!J307</f>
        <v>2.2257213379862084E-2</v>
      </c>
      <c r="R307" s="1">
        <f t="shared" si="17"/>
        <v>23.029999999999983</v>
      </c>
      <c r="S307">
        <f t="shared" si="16"/>
        <v>22.982999999999993</v>
      </c>
      <c r="T307" s="1">
        <f t="shared" si="18"/>
        <v>18.219360072815526</v>
      </c>
      <c r="U307" s="1">
        <f t="shared" si="19"/>
        <v>16.044639927184445</v>
      </c>
    </row>
    <row r="308" spans="1:21" x14ac:dyDescent="0.3">
      <c r="A308" t="s">
        <v>57</v>
      </c>
      <c r="B308" t="s">
        <v>688</v>
      </c>
      <c r="C308" t="s">
        <v>576</v>
      </c>
      <c r="D308" t="s">
        <v>583</v>
      </c>
      <c r="E308" s="2">
        <v>142.18700000000001</v>
      </c>
      <c r="F308" s="2">
        <v>0</v>
      </c>
      <c r="G308" s="2">
        <v>35.546750000000003</v>
      </c>
      <c r="H308" s="2">
        <v>-35.531500000000001</v>
      </c>
      <c r="I308" s="1">
        <v>1</v>
      </c>
      <c r="J308" s="1">
        <v>0.99978549375118597</v>
      </c>
      <c r="K308" s="1">
        <v>0.98321602547745601</v>
      </c>
      <c r="L308" s="1">
        <v>0.51656946827372996</v>
      </c>
      <c r="P308" s="1">
        <f>I308-'Passo 2'!I308</f>
        <v>6.1183511854107975E-2</v>
      </c>
      <c r="Q308" s="1">
        <f>J308-'Passo 2'!J308</f>
        <v>5.5982614444359813E-3</v>
      </c>
      <c r="R308" s="1">
        <f t="shared" si="17"/>
        <v>142.18700000000001</v>
      </c>
      <c r="S308">
        <f t="shared" si="16"/>
        <v>142.15649999999988</v>
      </c>
      <c r="T308" s="1">
        <f t="shared" si="18"/>
        <v>139.80053701456305</v>
      </c>
      <c r="U308" s="1">
        <f t="shared" si="19"/>
        <v>73.449462985436853</v>
      </c>
    </row>
    <row r="309" spans="1:21" x14ac:dyDescent="0.3">
      <c r="A309" t="s">
        <v>57</v>
      </c>
      <c r="B309" t="s">
        <v>219</v>
      </c>
      <c r="C309" t="s">
        <v>576</v>
      </c>
      <c r="D309" t="s">
        <v>589</v>
      </c>
      <c r="E309" s="2">
        <v>0</v>
      </c>
      <c r="F309" s="2">
        <v>0</v>
      </c>
      <c r="G309" s="2">
        <v>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P309" s="1">
        <f>I309-'Passo 2'!I309</f>
        <v>0</v>
      </c>
      <c r="Q309" s="1">
        <f>J309-'Passo 2'!J309</f>
        <v>0</v>
      </c>
      <c r="R309" s="1">
        <f t="shared" si="17"/>
        <v>0</v>
      </c>
      <c r="S309">
        <f t="shared" si="16"/>
        <v>0</v>
      </c>
      <c r="T309" s="1">
        <f t="shared" si="18"/>
        <v>0</v>
      </c>
      <c r="U309" s="1">
        <f t="shared" si="19"/>
        <v>0</v>
      </c>
    </row>
    <row r="310" spans="1:21" x14ac:dyDescent="0.3">
      <c r="A310" t="s">
        <v>57</v>
      </c>
      <c r="B310" t="s">
        <v>220</v>
      </c>
      <c r="C310" t="s">
        <v>580</v>
      </c>
      <c r="D310" t="s">
        <v>581</v>
      </c>
      <c r="E310" s="2">
        <v>92.676000000000002</v>
      </c>
      <c r="F310" s="2">
        <v>0</v>
      </c>
      <c r="G310" s="2">
        <v>20.984999999999999</v>
      </c>
      <c r="H310" s="2">
        <v>-14.282249999999999</v>
      </c>
      <c r="I310" s="1">
        <v>0.95286805645474504</v>
      </c>
      <c r="J310" s="1">
        <v>0.80821895636410701</v>
      </c>
      <c r="K310" s="1">
        <v>0.87707420611823494</v>
      </c>
      <c r="L310" s="1">
        <v>0.38401280670061699</v>
      </c>
      <c r="P310" s="1">
        <f>I310-'Passo 2'!I310</f>
        <v>-5.6972679010749427E-3</v>
      </c>
      <c r="Q310" s="1">
        <f>J310-'Passo 2'!J310</f>
        <v>-2.4137856618758002E-2</v>
      </c>
      <c r="R310" s="1">
        <f t="shared" si="17"/>
        <v>88.30799999999995</v>
      </c>
      <c r="S310">
        <f t="shared" si="16"/>
        <v>74.902499999999989</v>
      </c>
      <c r="T310" s="1">
        <f t="shared" si="18"/>
        <v>81.283729126213544</v>
      </c>
      <c r="U310" s="1">
        <f t="shared" si="19"/>
        <v>35.58877087378638</v>
      </c>
    </row>
    <row r="311" spans="1:21" x14ac:dyDescent="0.3">
      <c r="A311" t="s">
        <v>57</v>
      </c>
      <c r="B311" t="s">
        <v>221</v>
      </c>
      <c r="C311" t="s">
        <v>580</v>
      </c>
      <c r="D311" t="s">
        <v>581</v>
      </c>
      <c r="E311" s="2">
        <v>55.051000000000002</v>
      </c>
      <c r="F311" s="2">
        <v>7.6989999999999998</v>
      </c>
      <c r="G311" s="2">
        <v>10.321</v>
      </c>
      <c r="H311" s="2">
        <v>-6.101</v>
      </c>
      <c r="I311" s="1">
        <v>0.80503533087500601</v>
      </c>
      <c r="J311" s="1">
        <v>0.651722947812028</v>
      </c>
      <c r="K311" s="1">
        <v>0.57582098115081104</v>
      </c>
      <c r="L311" s="1">
        <v>0.45086336609083699</v>
      </c>
      <c r="P311" s="1">
        <f>I311-'Passo 2'!I311</f>
        <v>8.8581497157180999E-2</v>
      </c>
      <c r="Q311" s="1">
        <f>J311-'Passo 2'!J311</f>
        <v>3.1007611124230006E-2</v>
      </c>
      <c r="R311" s="1">
        <f t="shared" si="17"/>
        <v>44.317999999999955</v>
      </c>
      <c r="S311">
        <f t="shared" si="16"/>
        <v>35.877999999999957</v>
      </c>
      <c r="T311" s="1">
        <f t="shared" si="18"/>
        <v>31.699520833333299</v>
      </c>
      <c r="U311" s="1">
        <f t="shared" si="19"/>
        <v>24.820479166666669</v>
      </c>
    </row>
    <row r="312" spans="1:21" x14ac:dyDescent="0.3">
      <c r="A312" t="s">
        <v>57</v>
      </c>
      <c r="B312" t="s">
        <v>689</v>
      </c>
      <c r="C312" t="s">
        <v>576</v>
      </c>
      <c r="D312" t="s">
        <v>589</v>
      </c>
      <c r="E312" s="2">
        <v>0</v>
      </c>
      <c r="F312" s="2">
        <v>0</v>
      </c>
      <c r="G312" s="2">
        <v>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P312" s="1">
        <f>I312-'Passo 2'!I312</f>
        <v>0</v>
      </c>
      <c r="Q312" s="1">
        <f>J312-'Passo 2'!J312</f>
        <v>0</v>
      </c>
      <c r="R312" s="1">
        <f t="shared" si="17"/>
        <v>0</v>
      </c>
      <c r="S312">
        <f t="shared" si="16"/>
        <v>0</v>
      </c>
      <c r="T312" s="1">
        <f t="shared" si="18"/>
        <v>0</v>
      </c>
      <c r="U312" s="1">
        <f t="shared" si="19"/>
        <v>0</v>
      </c>
    </row>
    <row r="313" spans="1:21" x14ac:dyDescent="0.3">
      <c r="A313" t="s">
        <v>57</v>
      </c>
      <c r="B313" t="s">
        <v>690</v>
      </c>
      <c r="C313" t="s">
        <v>576</v>
      </c>
      <c r="D313" t="s">
        <v>583</v>
      </c>
      <c r="E313" s="2">
        <v>144.58699999999999</v>
      </c>
      <c r="F313" s="2">
        <v>0</v>
      </c>
      <c r="G313" s="2">
        <v>36.146749999999997</v>
      </c>
      <c r="H313" s="2">
        <v>-36.123249999999999</v>
      </c>
      <c r="I313" s="1">
        <v>1</v>
      </c>
      <c r="J313" s="1">
        <v>0.99967493619758296</v>
      </c>
      <c r="K313" s="1">
        <v>0.99873041353317604</v>
      </c>
      <c r="L313" s="1">
        <v>0.50094452266440603</v>
      </c>
      <c r="P313" s="1">
        <f>I313-'Passo 2'!I313</f>
        <v>4.177415673608964E-3</v>
      </c>
      <c r="Q313" s="1">
        <f>J313-'Passo 2'!J313</f>
        <v>0</v>
      </c>
      <c r="R313" s="1">
        <f t="shared" si="17"/>
        <v>144.58699999999999</v>
      </c>
      <c r="S313">
        <f t="shared" si="16"/>
        <v>144.53999999999991</v>
      </c>
      <c r="T313" s="1">
        <f t="shared" si="18"/>
        <v>144.40343430152132</v>
      </c>
      <c r="U313" s="1">
        <f t="shared" si="19"/>
        <v>72.430065698478472</v>
      </c>
    </row>
    <row r="314" spans="1:21" x14ac:dyDescent="0.3">
      <c r="A314" t="s">
        <v>57</v>
      </c>
      <c r="B314" t="s">
        <v>222</v>
      </c>
      <c r="C314" t="s">
        <v>34</v>
      </c>
      <c r="D314" t="s">
        <v>35</v>
      </c>
      <c r="E314" s="2">
        <v>867.17499999999995</v>
      </c>
      <c r="F314" s="2">
        <v>0</v>
      </c>
      <c r="G314" s="2">
        <v>182.887</v>
      </c>
      <c r="H314" s="2">
        <v>-175.56874999999999</v>
      </c>
      <c r="I314" s="1">
        <v>0.92179952143454302</v>
      </c>
      <c r="J314" s="1">
        <v>0.90492115201660495</v>
      </c>
      <c r="K314" s="1">
        <v>0.86063584563870899</v>
      </c>
      <c r="L314" s="1">
        <v>0.46608482781243898</v>
      </c>
      <c r="P314" s="1">
        <f>I314-'Passo 2'!I314</f>
        <v>0.18445815435177504</v>
      </c>
      <c r="Q314" s="1">
        <f>J314-'Passo 2'!J314</f>
        <v>0.16739412459999392</v>
      </c>
      <c r="R314" s="1">
        <f t="shared" si="17"/>
        <v>799.36149999999975</v>
      </c>
      <c r="S314">
        <f t="shared" si="16"/>
        <v>784.72499999999934</v>
      </c>
      <c r="T314" s="1">
        <f t="shared" si="18"/>
        <v>746.32188944174743</v>
      </c>
      <c r="U314" s="1">
        <f t="shared" si="19"/>
        <v>404.17711055825174</v>
      </c>
    </row>
    <row r="315" spans="1:21" x14ac:dyDescent="0.3">
      <c r="A315" t="s">
        <v>57</v>
      </c>
      <c r="B315" t="s">
        <v>223</v>
      </c>
      <c r="C315" t="s">
        <v>574</v>
      </c>
      <c r="D315" t="s">
        <v>575</v>
      </c>
      <c r="E315" s="2">
        <v>153.07499999999999</v>
      </c>
      <c r="F315" s="2">
        <v>0</v>
      </c>
      <c r="G315" s="2">
        <v>38.018749999999997</v>
      </c>
      <c r="H315" s="2">
        <v>-38.018749999999997</v>
      </c>
      <c r="I315" s="1">
        <v>0.99673362730687498</v>
      </c>
      <c r="J315" s="1">
        <v>0.99673362730687498</v>
      </c>
      <c r="K315" s="1">
        <v>0.99363685731606599</v>
      </c>
      <c r="L315" s="1">
        <v>0.49983039729768403</v>
      </c>
      <c r="P315" s="1">
        <f>I315-'Passo 2'!I315</f>
        <v>0</v>
      </c>
      <c r="Q315" s="1">
        <f>J315-'Passo 2'!J315</f>
        <v>0</v>
      </c>
      <c r="R315" s="1">
        <f t="shared" si="17"/>
        <v>152.57499999999987</v>
      </c>
      <c r="S315">
        <f t="shared" si="16"/>
        <v>152.57499999999987</v>
      </c>
      <c r="T315" s="1">
        <f t="shared" si="18"/>
        <v>152.10096193365678</v>
      </c>
      <c r="U315" s="1">
        <f t="shared" si="19"/>
        <v>76.511538066342979</v>
      </c>
    </row>
    <row r="316" spans="1:21" x14ac:dyDescent="0.3">
      <c r="A316" t="s">
        <v>57</v>
      </c>
      <c r="B316" t="s">
        <v>224</v>
      </c>
      <c r="C316" t="s">
        <v>576</v>
      </c>
      <c r="D316" t="s">
        <v>591</v>
      </c>
      <c r="E316" s="2">
        <v>73</v>
      </c>
      <c r="F316" s="2">
        <v>0</v>
      </c>
      <c r="G316" s="2">
        <v>7</v>
      </c>
      <c r="H316" s="2">
        <v>-10.75</v>
      </c>
      <c r="I316" s="1">
        <v>0.69178082191780799</v>
      </c>
      <c r="J316" s="1">
        <v>0.79452054794520499</v>
      </c>
      <c r="K316" s="1">
        <v>0.477036723633461</v>
      </c>
      <c r="L316" s="1">
        <v>0.50926464622955103</v>
      </c>
      <c r="P316" s="1">
        <f>I316-'Passo 2'!I316</f>
        <v>0</v>
      </c>
      <c r="Q316" s="1">
        <f>J316-'Passo 2'!J316</f>
        <v>0</v>
      </c>
      <c r="R316" s="1">
        <f t="shared" si="17"/>
        <v>50.499999999999986</v>
      </c>
      <c r="S316">
        <f t="shared" si="16"/>
        <v>57.999999999999964</v>
      </c>
      <c r="T316" s="1">
        <f t="shared" si="18"/>
        <v>34.823680825242654</v>
      </c>
      <c r="U316" s="1">
        <f t="shared" si="19"/>
        <v>37.176319174757225</v>
      </c>
    </row>
    <row r="317" spans="1:21" x14ac:dyDescent="0.3">
      <c r="A317" t="s">
        <v>57</v>
      </c>
      <c r="B317" t="s">
        <v>225</v>
      </c>
      <c r="C317" t="s">
        <v>576</v>
      </c>
      <c r="D317" t="s">
        <v>591</v>
      </c>
      <c r="E317" s="2">
        <v>10</v>
      </c>
      <c r="F317" s="2">
        <v>0</v>
      </c>
      <c r="G317" s="2">
        <v>2.4982500000000001</v>
      </c>
      <c r="H317" s="2">
        <v>-1.9982500000000001</v>
      </c>
      <c r="I317" s="1">
        <v>0.99965000000000004</v>
      </c>
      <c r="J317" s="1">
        <v>0.89964999999999995</v>
      </c>
      <c r="K317" s="1">
        <v>0.84836332928802605</v>
      </c>
      <c r="L317" s="1">
        <v>0.55093667071197405</v>
      </c>
      <c r="P317" s="1">
        <f>I317-'Passo 2'!I317</f>
        <v>0</v>
      </c>
      <c r="Q317" s="1">
        <f>J317-'Passo 2'!J317</f>
        <v>0</v>
      </c>
      <c r="R317" s="1">
        <f t="shared" si="17"/>
        <v>9.9965000000000011</v>
      </c>
      <c r="S317">
        <f t="shared" si="16"/>
        <v>8.9964999999999993</v>
      </c>
      <c r="T317" s="1">
        <f t="shared" si="18"/>
        <v>8.4836332928802598</v>
      </c>
      <c r="U317" s="1">
        <f t="shared" si="19"/>
        <v>5.5093667071197405</v>
      </c>
    </row>
    <row r="318" spans="1:21" x14ac:dyDescent="0.3">
      <c r="A318" t="s">
        <v>57</v>
      </c>
      <c r="B318" t="s">
        <v>226</v>
      </c>
      <c r="C318" t="s">
        <v>580</v>
      </c>
      <c r="D318" t="s">
        <v>581</v>
      </c>
      <c r="E318" s="2">
        <v>141</v>
      </c>
      <c r="F318" s="2">
        <v>7.9000000000000001E-2</v>
      </c>
      <c r="G318" s="2">
        <v>25.024999999999999</v>
      </c>
      <c r="H318" s="2">
        <v>-23.730250000000002</v>
      </c>
      <c r="I318" s="1">
        <v>0.85468439716311995</v>
      </c>
      <c r="J318" s="1">
        <v>0.83631914893616999</v>
      </c>
      <c r="K318" s="1">
        <v>0.59923017569831705</v>
      </c>
      <c r="L318" s="1">
        <v>0.59205351224494396</v>
      </c>
      <c r="P318" s="1">
        <f>I318-'Passo 2'!I318</f>
        <v>-1.7730496453901012E-2</v>
      </c>
      <c r="Q318" s="1">
        <f>J318-'Passo 2'!J318</f>
        <v>0</v>
      </c>
      <c r="R318" s="1">
        <f t="shared" si="17"/>
        <v>120.51049999999991</v>
      </c>
      <c r="S318">
        <f t="shared" si="16"/>
        <v>117.92099999999996</v>
      </c>
      <c r="T318" s="1">
        <f t="shared" si="18"/>
        <v>84.491454773462706</v>
      </c>
      <c r="U318" s="1">
        <f t="shared" si="19"/>
        <v>83.479545226537098</v>
      </c>
    </row>
    <row r="319" spans="1:21" x14ac:dyDescent="0.3">
      <c r="A319" t="s">
        <v>57</v>
      </c>
      <c r="B319" t="s">
        <v>227</v>
      </c>
      <c r="C319" t="s">
        <v>34</v>
      </c>
      <c r="D319" t="s">
        <v>35</v>
      </c>
      <c r="E319" s="2">
        <v>25</v>
      </c>
      <c r="F319" s="2">
        <v>0</v>
      </c>
      <c r="G319" s="2">
        <v>5.875</v>
      </c>
      <c r="H319" s="2">
        <v>-5.75</v>
      </c>
      <c r="I319" s="1">
        <v>0.97</v>
      </c>
      <c r="J319" s="1">
        <v>0.96</v>
      </c>
      <c r="K319" s="1">
        <v>0.83395774110032295</v>
      </c>
      <c r="L319" s="1">
        <v>0.59604225889967599</v>
      </c>
      <c r="P319" s="1">
        <f>I319-'Passo 2'!I319</f>
        <v>3.4619999999999984E-2</v>
      </c>
      <c r="Q319" s="1">
        <f>J319-'Passo 2'!J319</f>
        <v>1.0000000000000009E-2</v>
      </c>
      <c r="R319" s="1">
        <f t="shared" si="17"/>
        <v>24.25</v>
      </c>
      <c r="S319">
        <f t="shared" si="16"/>
        <v>24</v>
      </c>
      <c r="T319" s="1">
        <f t="shared" si="18"/>
        <v>20.848943527508073</v>
      </c>
      <c r="U319" s="1">
        <f t="shared" si="19"/>
        <v>14.9010564724919</v>
      </c>
    </row>
    <row r="320" spans="1:21" x14ac:dyDescent="0.3">
      <c r="A320" t="s">
        <v>57</v>
      </c>
      <c r="B320" t="s">
        <v>228</v>
      </c>
      <c r="C320" t="s">
        <v>574</v>
      </c>
      <c r="D320" t="s">
        <v>575</v>
      </c>
      <c r="E320" s="2">
        <v>16</v>
      </c>
      <c r="F320" s="2">
        <v>0.01</v>
      </c>
      <c r="G320" s="2">
        <v>2.9975000000000001</v>
      </c>
      <c r="H320" s="2">
        <v>-2.9975000000000001</v>
      </c>
      <c r="I320" s="1">
        <v>0.87437500000000001</v>
      </c>
      <c r="J320" s="1">
        <v>0.87437500000000001</v>
      </c>
      <c r="K320" s="1">
        <v>0.67566926324838195</v>
      </c>
      <c r="L320" s="1">
        <v>0.57339323675161802</v>
      </c>
      <c r="P320" s="1">
        <f>I320-'Passo 2'!I320</f>
        <v>0</v>
      </c>
      <c r="Q320" s="1">
        <f>J320-'Passo 2'!J320</f>
        <v>0</v>
      </c>
      <c r="R320" s="1">
        <f t="shared" si="17"/>
        <v>13.99</v>
      </c>
      <c r="S320">
        <f t="shared" si="16"/>
        <v>13.99</v>
      </c>
      <c r="T320" s="1">
        <f t="shared" si="18"/>
        <v>10.810708211974111</v>
      </c>
      <c r="U320" s="1">
        <f t="shared" si="19"/>
        <v>9.1742917880258883</v>
      </c>
    </row>
    <row r="321" spans="1:21" x14ac:dyDescent="0.3">
      <c r="A321" t="s">
        <v>57</v>
      </c>
      <c r="B321" t="s">
        <v>229</v>
      </c>
      <c r="C321" t="s">
        <v>576</v>
      </c>
      <c r="D321" t="s">
        <v>591</v>
      </c>
      <c r="E321" s="2">
        <v>46.5</v>
      </c>
      <c r="F321" s="2">
        <v>1.6E-2</v>
      </c>
      <c r="G321" s="2">
        <v>7.35175</v>
      </c>
      <c r="H321" s="2">
        <v>-7.35175</v>
      </c>
      <c r="I321" s="1">
        <v>0.81603225806451596</v>
      </c>
      <c r="J321" s="1">
        <v>0.81603225806451596</v>
      </c>
      <c r="K321" s="1">
        <v>0.53421461704422801</v>
      </c>
      <c r="L321" s="1">
        <v>0.59802194209555604</v>
      </c>
      <c r="P321" s="1">
        <f>I321-'Passo 2'!I321</f>
        <v>-1.0752688172043001E-2</v>
      </c>
      <c r="Q321" s="1">
        <f>J321-'Passo 2'!J321</f>
        <v>0</v>
      </c>
      <c r="R321" s="1">
        <f t="shared" si="17"/>
        <v>37.945499999999996</v>
      </c>
      <c r="S321">
        <f t="shared" si="16"/>
        <v>37.945499999999996</v>
      </c>
      <c r="T321" s="1">
        <f t="shared" si="18"/>
        <v>24.840979692556601</v>
      </c>
      <c r="U321" s="1">
        <f t="shared" si="19"/>
        <v>27.808020307443357</v>
      </c>
    </row>
    <row r="322" spans="1:21" x14ac:dyDescent="0.3">
      <c r="A322" t="s">
        <v>57</v>
      </c>
      <c r="B322" t="s">
        <v>230</v>
      </c>
      <c r="C322" t="s">
        <v>34</v>
      </c>
      <c r="D322" t="s">
        <v>35</v>
      </c>
      <c r="E322" s="2">
        <v>829.83</v>
      </c>
      <c r="F322" s="2">
        <v>0</v>
      </c>
      <c r="G322" s="2">
        <v>166.78274999999999</v>
      </c>
      <c r="H322" s="2">
        <v>-199.5</v>
      </c>
      <c r="I322" s="1">
        <v>0.90196847547087899</v>
      </c>
      <c r="J322" s="1">
        <v>0.98082137305231099</v>
      </c>
      <c r="K322" s="1">
        <v>0.81268076737322104</v>
      </c>
      <c r="L322" s="1">
        <v>0.57010908114996905</v>
      </c>
      <c r="P322" s="1">
        <f>I322-'Passo 2'!I322</f>
        <v>0.17066748611161298</v>
      </c>
      <c r="Q322" s="1">
        <f>J322-'Passo 2'!J322</f>
        <v>4.9824060349709987E-2</v>
      </c>
      <c r="R322" s="1">
        <f t="shared" si="17"/>
        <v>748.48049999999955</v>
      </c>
      <c r="S322">
        <f t="shared" ref="S322:S385" si="20">J322*E322</f>
        <v>813.91499999999928</v>
      </c>
      <c r="T322" s="1">
        <f t="shared" si="18"/>
        <v>674.38688118932009</v>
      </c>
      <c r="U322" s="1">
        <f t="shared" si="19"/>
        <v>473.09361881067883</v>
      </c>
    </row>
    <row r="323" spans="1:21" x14ac:dyDescent="0.3">
      <c r="A323" t="s">
        <v>57</v>
      </c>
      <c r="B323" t="s">
        <v>231</v>
      </c>
      <c r="C323" t="s">
        <v>580</v>
      </c>
      <c r="D323" t="s">
        <v>581</v>
      </c>
      <c r="E323" s="2">
        <v>134</v>
      </c>
      <c r="F323" s="2">
        <v>0.11</v>
      </c>
      <c r="G323" s="2">
        <v>21.5975</v>
      </c>
      <c r="H323" s="2">
        <v>-32.972499999999997</v>
      </c>
      <c r="I323" s="1">
        <v>0.82194029850746197</v>
      </c>
      <c r="J323" s="1">
        <v>0.99171641791044696</v>
      </c>
      <c r="K323" s="1">
        <v>0.56512714340916703</v>
      </c>
      <c r="L323" s="1">
        <v>0.74894002076993604</v>
      </c>
      <c r="P323" s="1">
        <f>I323-'Passo 2'!I323</f>
        <v>-1.4929104477611976E-2</v>
      </c>
      <c r="Q323" s="1">
        <f>J323-'Passo 2'!J323</f>
        <v>-3.7313432835820448E-3</v>
      </c>
      <c r="R323" s="1">
        <f t="shared" ref="R323:R386" si="21">I323*E323</f>
        <v>110.1399999999999</v>
      </c>
      <c r="S323">
        <f t="shared" si="20"/>
        <v>132.8899999999999</v>
      </c>
      <c r="T323" s="1">
        <f t="shared" ref="T323:T386" si="22">K323*E323</f>
        <v>75.727037216828379</v>
      </c>
      <c r="U323" s="1">
        <f t="shared" ref="U323:U386" si="23">L323*E323</f>
        <v>100.35796278317143</v>
      </c>
    </row>
    <row r="324" spans="1:21" x14ac:dyDescent="0.3">
      <c r="A324" t="s">
        <v>57</v>
      </c>
      <c r="B324" t="s">
        <v>232</v>
      </c>
      <c r="C324" t="s">
        <v>34</v>
      </c>
      <c r="D324" t="s">
        <v>35</v>
      </c>
      <c r="E324" s="2">
        <v>70</v>
      </c>
      <c r="F324" s="2">
        <v>0</v>
      </c>
      <c r="G324" s="2">
        <v>16</v>
      </c>
      <c r="H324" s="2">
        <v>-15.6292499999999</v>
      </c>
      <c r="I324" s="1">
        <v>0.95714285714285696</v>
      </c>
      <c r="J324" s="1">
        <v>0.94655</v>
      </c>
      <c r="K324" s="1">
        <v>0.81822041897827003</v>
      </c>
      <c r="L324" s="1">
        <v>0.58547243816458605</v>
      </c>
      <c r="P324" s="1">
        <f>I324-'Passo 2'!I324</f>
        <v>8.2142857142856962E-2</v>
      </c>
      <c r="Q324" s="1">
        <f>J324-'Passo 2'!J324</f>
        <v>1.0835714285714948E-2</v>
      </c>
      <c r="R324" s="1">
        <f t="shared" si="21"/>
        <v>66.999999999999986</v>
      </c>
      <c r="S324">
        <f t="shared" si="20"/>
        <v>66.258499999999998</v>
      </c>
      <c r="T324" s="1">
        <f t="shared" si="22"/>
        <v>57.2754293284789</v>
      </c>
      <c r="U324" s="1">
        <f t="shared" si="23"/>
        <v>40.983070671521027</v>
      </c>
    </row>
    <row r="325" spans="1:21" x14ac:dyDescent="0.3">
      <c r="A325" t="s">
        <v>57</v>
      </c>
      <c r="B325" t="s">
        <v>233</v>
      </c>
      <c r="C325" t="s">
        <v>574</v>
      </c>
      <c r="D325" t="s">
        <v>575</v>
      </c>
      <c r="E325" s="2">
        <v>39</v>
      </c>
      <c r="F325" s="2">
        <v>1.7999999999999999E-2</v>
      </c>
      <c r="G325" s="2">
        <v>8.1805000000000003</v>
      </c>
      <c r="H325" s="2">
        <v>-8.4305000000000003</v>
      </c>
      <c r="I325" s="1">
        <v>0.91928205128205098</v>
      </c>
      <c r="J325" s="1">
        <v>0.93210256410256398</v>
      </c>
      <c r="K325" s="1">
        <v>0.56787760766741302</v>
      </c>
      <c r="L325" s="1">
        <v>0.78373777694797098</v>
      </c>
      <c r="P325" s="1">
        <f>I325-'Passo 2'!I325</f>
        <v>0</v>
      </c>
      <c r="Q325" s="1">
        <f>J325-'Passo 2'!J325</f>
        <v>6.4102564102569426E-3</v>
      </c>
      <c r="R325" s="1">
        <f t="shared" si="21"/>
        <v>35.85199999999999</v>
      </c>
      <c r="S325">
        <f t="shared" si="20"/>
        <v>36.351999999999997</v>
      </c>
      <c r="T325" s="1">
        <f t="shared" si="22"/>
        <v>22.147226699029108</v>
      </c>
      <c r="U325" s="1">
        <f t="shared" si="23"/>
        <v>30.565773300970868</v>
      </c>
    </row>
    <row r="326" spans="1:21" x14ac:dyDescent="0.3">
      <c r="A326" t="s">
        <v>57</v>
      </c>
      <c r="B326" t="s">
        <v>234</v>
      </c>
      <c r="C326" t="s">
        <v>576</v>
      </c>
      <c r="D326" t="s">
        <v>591</v>
      </c>
      <c r="E326" s="2">
        <v>2</v>
      </c>
      <c r="F326" s="2">
        <v>0</v>
      </c>
      <c r="G326" s="2">
        <v>0.25</v>
      </c>
      <c r="H326" s="2">
        <v>-0.25</v>
      </c>
      <c r="I326" s="1">
        <v>0.75</v>
      </c>
      <c r="J326" s="1">
        <v>0.75</v>
      </c>
      <c r="K326" s="1">
        <v>0.62890153721682795</v>
      </c>
      <c r="L326" s="1">
        <v>0.37109846278317099</v>
      </c>
      <c r="P326" s="1">
        <f>I326-'Passo 2'!I326</f>
        <v>0</v>
      </c>
      <c r="Q326" s="1">
        <f>J326-'Passo 2'!J326</f>
        <v>0</v>
      </c>
      <c r="R326" s="1">
        <f t="shared" si="21"/>
        <v>1.5</v>
      </c>
      <c r="S326">
        <f t="shared" si="20"/>
        <v>1.5</v>
      </c>
      <c r="T326" s="1">
        <f t="shared" si="22"/>
        <v>1.2578030744336559</v>
      </c>
      <c r="U326" s="1">
        <f t="shared" si="23"/>
        <v>0.74219692556634198</v>
      </c>
    </row>
    <row r="327" spans="1:21" x14ac:dyDescent="0.3">
      <c r="A327" t="s">
        <v>57</v>
      </c>
      <c r="B327" t="s">
        <v>235</v>
      </c>
      <c r="C327" t="s">
        <v>574</v>
      </c>
      <c r="D327" t="s">
        <v>575</v>
      </c>
      <c r="E327" s="2">
        <v>85</v>
      </c>
      <c r="F327" s="2">
        <v>0</v>
      </c>
      <c r="G327" s="2">
        <v>14.25</v>
      </c>
      <c r="H327" s="2">
        <v>-14.5</v>
      </c>
      <c r="I327" s="1">
        <v>0.83529411764705797</v>
      </c>
      <c r="J327" s="1">
        <v>0.84117647058823497</v>
      </c>
      <c r="K327" s="1">
        <v>0.52277717494764797</v>
      </c>
      <c r="L327" s="1">
        <v>0.65369341328764496</v>
      </c>
      <c r="P327" s="1">
        <f>I327-'Passo 2'!I327</f>
        <v>-5.8823529411770048E-3</v>
      </c>
      <c r="Q327" s="1">
        <f>J327-'Passo 2'!J327</f>
        <v>0</v>
      </c>
      <c r="R327" s="1">
        <f t="shared" si="21"/>
        <v>70.999999999999929</v>
      </c>
      <c r="S327">
        <f t="shared" si="20"/>
        <v>71.499999999999972</v>
      </c>
      <c r="T327" s="1">
        <f t="shared" si="22"/>
        <v>44.436059870550075</v>
      </c>
      <c r="U327" s="1">
        <f t="shared" si="23"/>
        <v>55.563940129449819</v>
      </c>
    </row>
    <row r="328" spans="1:21" x14ac:dyDescent="0.3">
      <c r="A328" t="s">
        <v>57</v>
      </c>
      <c r="B328" t="s">
        <v>236</v>
      </c>
      <c r="C328" t="s">
        <v>574</v>
      </c>
      <c r="D328" t="s">
        <v>575</v>
      </c>
      <c r="E328" s="2">
        <v>43</v>
      </c>
      <c r="F328" s="2">
        <v>1.6E-2</v>
      </c>
      <c r="G328" s="2">
        <v>7.3674999999999997</v>
      </c>
      <c r="H328" s="2">
        <v>-7.3674999999999997</v>
      </c>
      <c r="I328" s="1">
        <v>0.84248837209302296</v>
      </c>
      <c r="J328" s="1">
        <v>0.84248837209302296</v>
      </c>
      <c r="K328" s="1">
        <v>0.63603156939113403</v>
      </c>
      <c r="L328" s="1">
        <v>0.54913122130654002</v>
      </c>
      <c r="P328" s="1">
        <f>I328-'Passo 2'!I328</f>
        <v>0</v>
      </c>
      <c r="Q328" s="1">
        <f>J328-'Passo 2'!J328</f>
        <v>0</v>
      </c>
      <c r="R328" s="1">
        <f t="shared" si="21"/>
        <v>36.22699999999999</v>
      </c>
      <c r="S328">
        <f t="shared" si="20"/>
        <v>36.22699999999999</v>
      </c>
      <c r="T328" s="1">
        <f t="shared" si="22"/>
        <v>27.349357483818764</v>
      </c>
      <c r="U328" s="1">
        <f t="shared" si="23"/>
        <v>23.612642516181221</v>
      </c>
    </row>
    <row r="329" spans="1:21" x14ac:dyDescent="0.3">
      <c r="A329" t="s">
        <v>57</v>
      </c>
      <c r="B329" t="s">
        <v>237</v>
      </c>
      <c r="C329" t="s">
        <v>576</v>
      </c>
      <c r="D329" t="s">
        <v>591</v>
      </c>
      <c r="E329" s="2">
        <v>39.5</v>
      </c>
      <c r="F329" s="2">
        <v>8.0000000000000002E-3</v>
      </c>
      <c r="G329" s="2">
        <v>5</v>
      </c>
      <c r="H329" s="2">
        <v>-4.8082500000000001</v>
      </c>
      <c r="I329" s="1">
        <v>0.75306329113923998</v>
      </c>
      <c r="J329" s="1">
        <v>0.74335443037974602</v>
      </c>
      <c r="K329" s="1">
        <v>0.57245888636270503</v>
      </c>
      <c r="L329" s="1">
        <v>0.42406010097906599</v>
      </c>
      <c r="P329" s="1">
        <f>I329-'Passo 2'!I329</f>
        <v>0</v>
      </c>
      <c r="Q329" s="1">
        <f>J329-'Passo 2'!J329</f>
        <v>0</v>
      </c>
      <c r="R329" s="1">
        <f t="shared" si="21"/>
        <v>29.745999999999977</v>
      </c>
      <c r="S329">
        <f t="shared" si="20"/>
        <v>29.362499999999969</v>
      </c>
      <c r="T329" s="1">
        <f t="shared" si="22"/>
        <v>22.612126011326851</v>
      </c>
      <c r="U329" s="1">
        <f t="shared" si="23"/>
        <v>16.750373988673108</v>
      </c>
    </row>
    <row r="330" spans="1:21" x14ac:dyDescent="0.3">
      <c r="A330" t="s">
        <v>57</v>
      </c>
      <c r="B330" t="s">
        <v>238</v>
      </c>
      <c r="C330" t="s">
        <v>580</v>
      </c>
      <c r="D330" t="s">
        <v>581</v>
      </c>
      <c r="E330" s="2">
        <v>20</v>
      </c>
      <c r="F330" s="2">
        <v>0</v>
      </c>
      <c r="G330" s="2">
        <v>1.67625</v>
      </c>
      <c r="H330" s="2">
        <v>-2.25</v>
      </c>
      <c r="I330" s="1">
        <v>0.66762499999999902</v>
      </c>
      <c r="J330" s="1">
        <v>0.72499999999999998</v>
      </c>
      <c r="K330" s="1">
        <v>0.48154978762135903</v>
      </c>
      <c r="L330" s="1">
        <v>0.41107521237863998</v>
      </c>
      <c r="P330" s="1">
        <f>I330-'Passo 2'!I330</f>
        <v>1.0074999999999057E-2</v>
      </c>
      <c r="Q330" s="1">
        <f>J330-'Passo 2'!J330</f>
        <v>1.7499999999992522E-4</v>
      </c>
      <c r="R330" s="1">
        <f t="shared" si="21"/>
        <v>13.352499999999981</v>
      </c>
      <c r="S330">
        <f t="shared" si="20"/>
        <v>14.5</v>
      </c>
      <c r="T330" s="1">
        <f t="shared" si="22"/>
        <v>9.6309957524271805</v>
      </c>
      <c r="U330" s="1">
        <f t="shared" si="23"/>
        <v>8.2215042475727991</v>
      </c>
    </row>
    <row r="331" spans="1:21" x14ac:dyDescent="0.3">
      <c r="A331" t="s">
        <v>57</v>
      </c>
      <c r="B331" t="s">
        <v>239</v>
      </c>
      <c r="C331" t="s">
        <v>576</v>
      </c>
      <c r="D331" t="s">
        <v>591</v>
      </c>
      <c r="E331" s="2">
        <v>13</v>
      </c>
      <c r="F331" s="2">
        <v>0</v>
      </c>
      <c r="G331" s="2">
        <v>2.25</v>
      </c>
      <c r="H331" s="2">
        <v>-2.25</v>
      </c>
      <c r="I331" s="1">
        <v>0.84615384615384603</v>
      </c>
      <c r="J331" s="1">
        <v>0.84615384615384603</v>
      </c>
      <c r="K331" s="1">
        <v>0.67069138971869502</v>
      </c>
      <c r="L331" s="1">
        <v>0.52161630258899605</v>
      </c>
      <c r="P331" s="1">
        <f>I331-'Passo 2'!I331</f>
        <v>0</v>
      </c>
      <c r="Q331" s="1">
        <f>J331-'Passo 2'!J331</f>
        <v>0</v>
      </c>
      <c r="R331" s="1">
        <f t="shared" si="21"/>
        <v>10.999999999999998</v>
      </c>
      <c r="S331">
        <f t="shared" si="20"/>
        <v>10.999999999999998</v>
      </c>
      <c r="T331" s="1">
        <f t="shared" si="22"/>
        <v>8.7189880663430355</v>
      </c>
      <c r="U331" s="1">
        <f t="shared" si="23"/>
        <v>6.7810119336569485</v>
      </c>
    </row>
    <row r="332" spans="1:21" x14ac:dyDescent="0.3">
      <c r="A332" t="s">
        <v>57</v>
      </c>
      <c r="B332" t="s">
        <v>240</v>
      </c>
      <c r="C332" t="s">
        <v>34</v>
      </c>
      <c r="D332" t="s">
        <v>35</v>
      </c>
      <c r="E332" s="2">
        <v>271.053</v>
      </c>
      <c r="F332" s="2">
        <v>0</v>
      </c>
      <c r="G332" s="2">
        <v>55.341000000000001</v>
      </c>
      <c r="H332" s="2">
        <v>-55.920499999999997</v>
      </c>
      <c r="I332" s="1">
        <v>0.90834080419696495</v>
      </c>
      <c r="J332" s="1">
        <v>0.912616720715136</v>
      </c>
      <c r="K332" s="1">
        <v>0.80738904157162295</v>
      </c>
      <c r="L332" s="1">
        <v>0.513568483340478</v>
      </c>
      <c r="P332" s="1">
        <f>I332-'Passo 2'!I332</f>
        <v>0.17048510807849393</v>
      </c>
      <c r="Q332" s="1">
        <f>J332-'Passo 2'!J332</f>
        <v>0.11964080825521195</v>
      </c>
      <c r="R332" s="1">
        <f t="shared" si="21"/>
        <v>246.20849999999993</v>
      </c>
      <c r="S332">
        <f t="shared" si="20"/>
        <v>247.36749999999975</v>
      </c>
      <c r="T332" s="1">
        <f t="shared" si="22"/>
        <v>218.84522188511312</v>
      </c>
      <c r="U332" s="1">
        <f t="shared" si="23"/>
        <v>139.20427811488659</v>
      </c>
    </row>
    <row r="333" spans="1:21" x14ac:dyDescent="0.3">
      <c r="A333" t="s">
        <v>57</v>
      </c>
      <c r="B333" t="s">
        <v>241</v>
      </c>
      <c r="C333" t="s">
        <v>34</v>
      </c>
      <c r="D333" t="s">
        <v>35</v>
      </c>
      <c r="E333" s="2">
        <v>285.31400000000002</v>
      </c>
      <c r="F333" s="2">
        <v>0</v>
      </c>
      <c r="G333" s="2">
        <v>69.771000000000001</v>
      </c>
      <c r="H333" s="2">
        <v>-66.569999999999993</v>
      </c>
      <c r="I333" s="1">
        <v>0.98908220416803905</v>
      </c>
      <c r="J333" s="1">
        <v>0.96664376791885398</v>
      </c>
      <c r="K333" s="1">
        <v>0.97967870571622295</v>
      </c>
      <c r="L333" s="1">
        <v>0.47604726637067002</v>
      </c>
      <c r="P333" s="1">
        <f>I333-'Passo 2'!I333</f>
        <v>2.404543765815903E-2</v>
      </c>
      <c r="Q333" s="1">
        <f>J333-'Passo 2'!J333</f>
        <v>1.5875491563680955E-2</v>
      </c>
      <c r="R333" s="1">
        <f t="shared" si="21"/>
        <v>282.1989999999999</v>
      </c>
      <c r="S333">
        <f t="shared" si="20"/>
        <v>275.79699999999991</v>
      </c>
      <c r="T333" s="1">
        <f t="shared" si="22"/>
        <v>279.51605024271845</v>
      </c>
      <c r="U333" s="1">
        <f t="shared" si="23"/>
        <v>135.82294975728135</v>
      </c>
    </row>
    <row r="334" spans="1:21" x14ac:dyDescent="0.3">
      <c r="A334" t="s">
        <v>57</v>
      </c>
      <c r="B334" t="s">
        <v>242</v>
      </c>
      <c r="C334" t="s">
        <v>34</v>
      </c>
      <c r="D334" t="s">
        <v>35</v>
      </c>
      <c r="E334" s="2">
        <v>962.08399999999995</v>
      </c>
      <c r="F334" s="2">
        <v>0</v>
      </c>
      <c r="G334" s="2">
        <v>197.69274999999999</v>
      </c>
      <c r="H334" s="2">
        <v>-199.72975</v>
      </c>
      <c r="I334" s="1">
        <v>0.91096775333546698</v>
      </c>
      <c r="J334" s="1">
        <v>0.91520231081693404</v>
      </c>
      <c r="K334" s="1">
        <v>0.81473128897174596</v>
      </c>
      <c r="L334" s="1">
        <v>0.51143877518065595</v>
      </c>
      <c r="P334" s="1">
        <f>I334-'Passo 2'!I334</f>
        <v>0.17191949975262</v>
      </c>
      <c r="Q334" s="1">
        <f>J334-'Passo 2'!J334</f>
        <v>0.13886053608624604</v>
      </c>
      <c r="R334" s="1">
        <f t="shared" si="21"/>
        <v>876.42749999999933</v>
      </c>
      <c r="S334">
        <f t="shared" si="20"/>
        <v>880.50149999999917</v>
      </c>
      <c r="T334" s="1">
        <f t="shared" si="22"/>
        <v>783.83993741909319</v>
      </c>
      <c r="U334" s="1">
        <f t="shared" si="23"/>
        <v>492.04706258090619</v>
      </c>
    </row>
    <row r="335" spans="1:21" x14ac:dyDescent="0.3">
      <c r="A335" t="s">
        <v>57</v>
      </c>
      <c r="B335" t="s">
        <v>243</v>
      </c>
      <c r="C335" t="s">
        <v>34</v>
      </c>
      <c r="D335" t="s">
        <v>35</v>
      </c>
      <c r="E335" s="2">
        <v>303.78399999999999</v>
      </c>
      <c r="F335" s="2">
        <v>0</v>
      </c>
      <c r="G335" s="2">
        <v>70.527500000000003</v>
      </c>
      <c r="H335" s="2">
        <v>-57.859749999999998</v>
      </c>
      <c r="I335" s="1">
        <v>0.964326626813788</v>
      </c>
      <c r="J335" s="1">
        <v>0.88092690859294698</v>
      </c>
      <c r="K335" s="1">
        <v>0.89004405766250005</v>
      </c>
      <c r="L335" s="1">
        <v>0.45520947774423598</v>
      </c>
      <c r="P335" s="1">
        <f>I335-'Passo 2'!I335</f>
        <v>8.4257235404103015E-2</v>
      </c>
      <c r="Q335" s="1">
        <f>J335-'Passo 2'!J335</f>
        <v>4.9235641113422934E-2</v>
      </c>
      <c r="R335" s="1">
        <f t="shared" si="21"/>
        <v>292.94699999999978</v>
      </c>
      <c r="S335">
        <f t="shared" si="20"/>
        <v>267.61149999999981</v>
      </c>
      <c r="T335" s="1">
        <f t="shared" si="22"/>
        <v>270.3811440129449</v>
      </c>
      <c r="U335" s="1">
        <f t="shared" si="23"/>
        <v>138.28535598705497</v>
      </c>
    </row>
    <row r="336" spans="1:21" x14ac:dyDescent="0.3">
      <c r="A336" t="s">
        <v>57</v>
      </c>
      <c r="B336" t="s">
        <v>244</v>
      </c>
      <c r="C336" t="s">
        <v>580</v>
      </c>
      <c r="D336" t="s">
        <v>581</v>
      </c>
      <c r="E336" s="2">
        <v>143.5</v>
      </c>
      <c r="F336" s="2">
        <v>6.9000000000000006E-2</v>
      </c>
      <c r="G336" s="2">
        <v>21.232749999999999</v>
      </c>
      <c r="H336" s="2">
        <v>-20.732749999999999</v>
      </c>
      <c r="I336" s="1">
        <v>0.79568641114982497</v>
      </c>
      <c r="J336" s="1">
        <v>0.788717770034843</v>
      </c>
      <c r="K336" s="1">
        <v>0.59916992433724603</v>
      </c>
      <c r="L336" s="1">
        <v>0.48547467496588897</v>
      </c>
      <c r="P336" s="1">
        <f>I336-'Passo 2'!I336</f>
        <v>-6.9686411149830763E-3</v>
      </c>
      <c r="Q336" s="1">
        <f>J336-'Passo 2'!J336</f>
        <v>-1.7421602787459634E-3</v>
      </c>
      <c r="R336" s="1">
        <f t="shared" si="21"/>
        <v>114.18099999999988</v>
      </c>
      <c r="S336">
        <f t="shared" si="20"/>
        <v>113.18099999999997</v>
      </c>
      <c r="T336" s="1">
        <f t="shared" si="22"/>
        <v>85.9808841423948</v>
      </c>
      <c r="U336" s="1">
        <f t="shared" si="23"/>
        <v>69.665615857605061</v>
      </c>
    </row>
    <row r="337" spans="1:21" x14ac:dyDescent="0.3">
      <c r="A337" t="s">
        <v>57</v>
      </c>
      <c r="B337" t="s">
        <v>245</v>
      </c>
      <c r="C337" t="s">
        <v>34</v>
      </c>
      <c r="D337" t="s">
        <v>35</v>
      </c>
      <c r="E337" s="2">
        <v>509.72800000000001</v>
      </c>
      <c r="F337" s="2">
        <v>0</v>
      </c>
      <c r="G337" s="2">
        <v>127.432</v>
      </c>
      <c r="H337" s="2">
        <v>-127.432</v>
      </c>
      <c r="I337" s="1">
        <v>1</v>
      </c>
      <c r="J337" s="1">
        <v>1</v>
      </c>
      <c r="K337" s="1">
        <v>0.99995954692556599</v>
      </c>
      <c r="L337" s="1">
        <v>0.50004045307443301</v>
      </c>
      <c r="P337" s="1">
        <f>I337-'Passo 2'!I337</f>
        <v>0</v>
      </c>
      <c r="Q337" s="1">
        <f>J337-'Passo 2'!J337</f>
        <v>0</v>
      </c>
      <c r="R337" s="1">
        <f t="shared" si="21"/>
        <v>509.72800000000001</v>
      </c>
      <c r="S337">
        <f t="shared" si="20"/>
        <v>509.72800000000001</v>
      </c>
      <c r="T337" s="1">
        <f t="shared" si="22"/>
        <v>509.7073799352749</v>
      </c>
      <c r="U337" s="1">
        <f t="shared" si="23"/>
        <v>254.8846200647246</v>
      </c>
    </row>
    <row r="338" spans="1:21" x14ac:dyDescent="0.3">
      <c r="A338" t="s">
        <v>57</v>
      </c>
      <c r="B338" t="s">
        <v>246</v>
      </c>
      <c r="C338" t="s">
        <v>34</v>
      </c>
      <c r="D338" t="s">
        <v>35</v>
      </c>
      <c r="E338" s="2">
        <v>978.87699999999995</v>
      </c>
      <c r="F338" s="2">
        <v>0</v>
      </c>
      <c r="G338" s="2">
        <v>206.33099999999999</v>
      </c>
      <c r="H338" s="2">
        <v>-196.68375</v>
      </c>
      <c r="I338" s="1">
        <v>0.92156675455649695</v>
      </c>
      <c r="J338" s="1">
        <v>0.901855902222649</v>
      </c>
      <c r="K338" s="1">
        <v>0.81899818325267804</v>
      </c>
      <c r="L338" s="1">
        <v>0.50442447352646702</v>
      </c>
      <c r="P338" s="1">
        <f>I338-'Passo 2'!I338</f>
        <v>0.18238348638286594</v>
      </c>
      <c r="Q338" s="1">
        <f>J338-'Passo 2'!J338</f>
        <v>5.3823922719607009E-2</v>
      </c>
      <c r="R338" s="1">
        <f t="shared" si="21"/>
        <v>902.10050000000001</v>
      </c>
      <c r="S338">
        <f t="shared" si="20"/>
        <v>882.80599999999993</v>
      </c>
      <c r="T338" s="1">
        <f t="shared" si="22"/>
        <v>801.6984846278317</v>
      </c>
      <c r="U338" s="1">
        <f t="shared" si="23"/>
        <v>493.76951537216746</v>
      </c>
    </row>
    <row r="339" spans="1:21" x14ac:dyDescent="0.3">
      <c r="A339" t="s">
        <v>57</v>
      </c>
      <c r="B339" t="s">
        <v>247</v>
      </c>
      <c r="C339" t="s">
        <v>580</v>
      </c>
      <c r="D339" t="s">
        <v>581</v>
      </c>
      <c r="E339" s="2">
        <v>47</v>
      </c>
      <c r="F339" s="2">
        <v>3.2000000000000001E-2</v>
      </c>
      <c r="G339" s="2">
        <v>8.4920000000000009</v>
      </c>
      <c r="H339" s="2">
        <v>-9.7420000000000009</v>
      </c>
      <c r="I339" s="1">
        <v>0.86102127659574401</v>
      </c>
      <c r="J339" s="1">
        <v>0.91421276595744605</v>
      </c>
      <c r="K339" s="1">
        <v>0.62435489137919098</v>
      </c>
      <c r="L339" s="1">
        <v>0.65121957670591402</v>
      </c>
      <c r="P339" s="1">
        <f>I339-'Passo 2'!I339</f>
        <v>-2.1276595744680993E-2</v>
      </c>
      <c r="Q339" s="1">
        <f>J339-'Passo 2'!J339</f>
        <v>0</v>
      </c>
      <c r="R339" s="1">
        <f t="shared" si="21"/>
        <v>40.467999999999968</v>
      </c>
      <c r="S339">
        <f t="shared" si="20"/>
        <v>42.967999999999961</v>
      </c>
      <c r="T339" s="1">
        <f t="shared" si="22"/>
        <v>29.344679894821976</v>
      </c>
      <c r="U339" s="1">
        <f t="shared" si="23"/>
        <v>30.607320105177958</v>
      </c>
    </row>
    <row r="340" spans="1:21" x14ac:dyDescent="0.3">
      <c r="A340" t="s">
        <v>57</v>
      </c>
      <c r="B340" t="s">
        <v>248</v>
      </c>
      <c r="C340" t="s">
        <v>34</v>
      </c>
      <c r="D340" t="s">
        <v>35</v>
      </c>
      <c r="E340" s="2">
        <v>109</v>
      </c>
      <c r="F340" s="2">
        <v>0</v>
      </c>
      <c r="G340" s="2">
        <v>25.5</v>
      </c>
      <c r="H340" s="2">
        <v>-24.631250000000001</v>
      </c>
      <c r="I340" s="1">
        <v>0.96788990825688004</v>
      </c>
      <c r="J340" s="1">
        <v>0.95194954128440301</v>
      </c>
      <c r="K340" s="1">
        <v>0.82224131260948297</v>
      </c>
      <c r="L340" s="1">
        <v>0.59759813693180097</v>
      </c>
      <c r="P340" s="1">
        <f>I340-'Passo 2'!I340</f>
        <v>6.4362385321101057E-2</v>
      </c>
      <c r="Q340" s="1">
        <f>J340-'Passo 2'!J340</f>
        <v>2.0756880733944993E-2</v>
      </c>
      <c r="R340" s="1">
        <f t="shared" si="21"/>
        <v>105.49999999999993</v>
      </c>
      <c r="S340">
        <f t="shared" si="20"/>
        <v>103.76249999999993</v>
      </c>
      <c r="T340" s="1">
        <f t="shared" si="22"/>
        <v>89.624303074433641</v>
      </c>
      <c r="U340" s="1">
        <f t="shared" si="23"/>
        <v>65.138196925566305</v>
      </c>
    </row>
    <row r="341" spans="1:21" x14ac:dyDescent="0.3">
      <c r="A341" t="s">
        <v>57</v>
      </c>
      <c r="B341" t="s">
        <v>249</v>
      </c>
      <c r="C341" t="s">
        <v>34</v>
      </c>
      <c r="D341" t="s">
        <v>35</v>
      </c>
      <c r="E341" s="2">
        <v>0</v>
      </c>
      <c r="F341" s="2">
        <v>0</v>
      </c>
      <c r="G341" s="2">
        <v>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P341" s="1">
        <f>I341-'Passo 2'!I341</f>
        <v>0</v>
      </c>
      <c r="Q341" s="1">
        <f>J341-'Passo 2'!J341</f>
        <v>0</v>
      </c>
      <c r="R341" s="1">
        <f t="shared" si="21"/>
        <v>0</v>
      </c>
      <c r="S341">
        <f t="shared" si="20"/>
        <v>0</v>
      </c>
      <c r="T341" s="1">
        <f t="shared" si="22"/>
        <v>0</v>
      </c>
      <c r="U341" s="1">
        <f t="shared" si="23"/>
        <v>0</v>
      </c>
    </row>
    <row r="342" spans="1:21" x14ac:dyDescent="0.3">
      <c r="A342" t="s">
        <v>57</v>
      </c>
      <c r="B342" t="s">
        <v>250</v>
      </c>
      <c r="C342" t="s">
        <v>574</v>
      </c>
      <c r="D342" t="s">
        <v>575</v>
      </c>
      <c r="E342" s="2">
        <v>0</v>
      </c>
      <c r="F342" s="2">
        <v>0</v>
      </c>
      <c r="G342" s="2">
        <v>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P342" s="1">
        <f>I342-'Passo 2'!I342</f>
        <v>0</v>
      </c>
      <c r="Q342" s="1">
        <f>J342-'Passo 2'!J342</f>
        <v>0</v>
      </c>
      <c r="R342" s="1">
        <f t="shared" si="21"/>
        <v>0</v>
      </c>
      <c r="S342">
        <f t="shared" si="20"/>
        <v>0</v>
      </c>
      <c r="T342" s="1">
        <f t="shared" si="22"/>
        <v>0</v>
      </c>
      <c r="U342" s="1">
        <f t="shared" si="23"/>
        <v>0</v>
      </c>
    </row>
    <row r="343" spans="1:21" x14ac:dyDescent="0.3">
      <c r="A343" t="s">
        <v>57</v>
      </c>
      <c r="B343" t="s">
        <v>251</v>
      </c>
      <c r="C343" t="s">
        <v>34</v>
      </c>
      <c r="D343" t="s">
        <v>35</v>
      </c>
      <c r="E343" s="2">
        <v>0</v>
      </c>
      <c r="F343" s="2">
        <v>0</v>
      </c>
      <c r="G343" s="2">
        <v>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P343" s="1">
        <f>I343-'Passo 2'!I343</f>
        <v>0</v>
      </c>
      <c r="Q343" s="1">
        <f>J343-'Passo 2'!J343</f>
        <v>0</v>
      </c>
      <c r="R343" s="1">
        <f t="shared" si="21"/>
        <v>0</v>
      </c>
      <c r="S343">
        <f t="shared" si="20"/>
        <v>0</v>
      </c>
      <c r="T343" s="1">
        <f t="shared" si="22"/>
        <v>0</v>
      </c>
      <c r="U343" s="1">
        <f t="shared" si="23"/>
        <v>0</v>
      </c>
    </row>
    <row r="344" spans="1:21" x14ac:dyDescent="0.3">
      <c r="A344" t="s">
        <v>57</v>
      </c>
      <c r="B344" t="s">
        <v>252</v>
      </c>
      <c r="C344" t="s">
        <v>580</v>
      </c>
      <c r="D344" t="s">
        <v>581</v>
      </c>
      <c r="E344" s="2">
        <v>15</v>
      </c>
      <c r="F344" s="2">
        <v>0</v>
      </c>
      <c r="G344" s="2">
        <v>2.9975000000000001</v>
      </c>
      <c r="H344" s="2">
        <v>-2.9975000000000001</v>
      </c>
      <c r="I344" s="1">
        <v>0.89966666666666595</v>
      </c>
      <c r="J344" s="1">
        <v>0.89966666666666595</v>
      </c>
      <c r="K344" s="1">
        <v>0.671273845738942</v>
      </c>
      <c r="L344" s="1">
        <v>0.62805948759439001</v>
      </c>
      <c r="P344" s="1">
        <f>I344-'Passo 2'!I344</f>
        <v>-1.6666666666667052E-2</v>
      </c>
      <c r="Q344" s="1">
        <f>J344-'Passo 2'!J344</f>
        <v>0</v>
      </c>
      <c r="R344" s="1">
        <f t="shared" si="21"/>
        <v>13.494999999999989</v>
      </c>
      <c r="S344">
        <f t="shared" si="20"/>
        <v>13.494999999999989</v>
      </c>
      <c r="T344" s="1">
        <f t="shared" si="22"/>
        <v>10.069107686084131</v>
      </c>
      <c r="U344" s="1">
        <f t="shared" si="23"/>
        <v>9.42089231391585</v>
      </c>
    </row>
    <row r="345" spans="1:21" x14ac:dyDescent="0.3">
      <c r="A345" t="s">
        <v>57</v>
      </c>
      <c r="B345" t="s">
        <v>253</v>
      </c>
      <c r="C345" t="s">
        <v>34</v>
      </c>
      <c r="D345" t="s">
        <v>35</v>
      </c>
      <c r="E345" s="2">
        <v>265.71600000000001</v>
      </c>
      <c r="F345" s="2">
        <v>0</v>
      </c>
      <c r="G345" s="2">
        <v>66.429000000000002</v>
      </c>
      <c r="H345" s="2">
        <v>-66.429000000000002</v>
      </c>
      <c r="I345" s="1">
        <v>1</v>
      </c>
      <c r="J345" s="1">
        <v>1</v>
      </c>
      <c r="K345" s="1">
        <v>0.99995954692556599</v>
      </c>
      <c r="L345" s="1">
        <v>0.50004045307443301</v>
      </c>
      <c r="P345" s="1">
        <f>I345-'Passo 2'!I345</f>
        <v>0</v>
      </c>
      <c r="Q345" s="1">
        <f>J345-'Passo 2'!J345</f>
        <v>0</v>
      </c>
      <c r="R345" s="1">
        <f t="shared" si="21"/>
        <v>265.71600000000001</v>
      </c>
      <c r="S345">
        <f t="shared" si="20"/>
        <v>265.71600000000001</v>
      </c>
      <c r="T345" s="1">
        <f t="shared" si="22"/>
        <v>265.70525097087369</v>
      </c>
      <c r="U345" s="1">
        <f t="shared" si="23"/>
        <v>132.86874902912604</v>
      </c>
    </row>
    <row r="346" spans="1:21" x14ac:dyDescent="0.3">
      <c r="A346" t="s">
        <v>57</v>
      </c>
      <c r="B346" t="s">
        <v>254</v>
      </c>
      <c r="C346" t="s">
        <v>580</v>
      </c>
      <c r="D346" t="s">
        <v>581</v>
      </c>
      <c r="E346" s="2">
        <v>90</v>
      </c>
      <c r="F346" s="2">
        <v>6.2E-2</v>
      </c>
      <c r="G346" s="2">
        <v>13.234500000000001</v>
      </c>
      <c r="H346" s="2">
        <v>-18.734500000000001</v>
      </c>
      <c r="I346" s="1">
        <v>0.79375555555555499</v>
      </c>
      <c r="J346" s="1">
        <v>0.915977777777777</v>
      </c>
      <c r="K346" s="1">
        <v>0.55096093401654</v>
      </c>
      <c r="L346" s="1">
        <v>0.65911684376123703</v>
      </c>
      <c r="P346" s="1">
        <f>I346-'Passo 2'!I346</f>
        <v>-1.9444444444445041E-2</v>
      </c>
      <c r="Q346" s="1">
        <f>J346-'Passo 2'!J346</f>
        <v>-5.5555555555559799E-3</v>
      </c>
      <c r="R346" s="1">
        <f t="shared" si="21"/>
        <v>71.437999999999946</v>
      </c>
      <c r="S346">
        <f t="shared" si="20"/>
        <v>82.437999999999931</v>
      </c>
      <c r="T346" s="1">
        <f t="shared" si="22"/>
        <v>49.586484061488598</v>
      </c>
      <c r="U346" s="1">
        <f t="shared" si="23"/>
        <v>59.320515938511335</v>
      </c>
    </row>
    <row r="347" spans="1:21" x14ac:dyDescent="0.3">
      <c r="A347" t="s">
        <v>57</v>
      </c>
      <c r="B347" t="s">
        <v>255</v>
      </c>
      <c r="C347" t="s">
        <v>580</v>
      </c>
      <c r="D347" t="s">
        <v>581</v>
      </c>
      <c r="E347" s="2">
        <v>102</v>
      </c>
      <c r="F347" s="2">
        <v>0</v>
      </c>
      <c r="G347" s="2">
        <v>17.108250000000002</v>
      </c>
      <c r="H347" s="2">
        <v>-20.233250000000002</v>
      </c>
      <c r="I347" s="1">
        <v>0.83545588235294099</v>
      </c>
      <c r="J347" s="1">
        <v>0.89673039215686201</v>
      </c>
      <c r="K347" s="1">
        <v>0.59848724578018897</v>
      </c>
      <c r="L347" s="1">
        <v>0.63369902872961403</v>
      </c>
      <c r="P347" s="1">
        <f>I347-'Passo 2'!I347</f>
        <v>-2.6960784313725061E-2</v>
      </c>
      <c r="Q347" s="1">
        <f>J347-'Passo 2'!J347</f>
        <v>-4.9019607843140411E-3</v>
      </c>
      <c r="R347" s="1">
        <f t="shared" si="21"/>
        <v>85.216499999999982</v>
      </c>
      <c r="S347">
        <f t="shared" si="20"/>
        <v>91.466499999999925</v>
      </c>
      <c r="T347" s="1">
        <f t="shared" si="22"/>
        <v>61.045699069579278</v>
      </c>
      <c r="U347" s="1">
        <f t="shared" si="23"/>
        <v>64.637300930420636</v>
      </c>
    </row>
    <row r="348" spans="1:21" x14ac:dyDescent="0.3">
      <c r="A348" t="s">
        <v>57</v>
      </c>
      <c r="B348" t="s">
        <v>256</v>
      </c>
      <c r="C348" t="s">
        <v>34</v>
      </c>
      <c r="D348" t="s">
        <v>35</v>
      </c>
      <c r="E348" s="2">
        <v>6.774</v>
      </c>
      <c r="F348" s="2">
        <v>0</v>
      </c>
      <c r="G348" s="2">
        <v>1.6935</v>
      </c>
      <c r="H348" s="2">
        <v>-1.6935</v>
      </c>
      <c r="I348" s="1">
        <v>1</v>
      </c>
      <c r="J348" s="1">
        <v>1</v>
      </c>
      <c r="K348" s="1">
        <v>0.99995954692556599</v>
      </c>
      <c r="L348" s="1">
        <v>0.50004045307443301</v>
      </c>
      <c r="P348" s="1">
        <f>I348-'Passo 2'!I348</f>
        <v>0</v>
      </c>
      <c r="Q348" s="1">
        <f>J348-'Passo 2'!J348</f>
        <v>0</v>
      </c>
      <c r="R348" s="1">
        <f t="shared" si="21"/>
        <v>6.774</v>
      </c>
      <c r="S348">
        <f t="shared" si="20"/>
        <v>6.774</v>
      </c>
      <c r="T348" s="1">
        <f t="shared" si="22"/>
        <v>6.7737259708737838</v>
      </c>
      <c r="U348" s="1">
        <f t="shared" si="23"/>
        <v>3.3872740291262091</v>
      </c>
    </row>
    <row r="349" spans="1:21" x14ac:dyDescent="0.3">
      <c r="A349" t="s">
        <v>57</v>
      </c>
      <c r="B349" t="s">
        <v>257</v>
      </c>
      <c r="C349" t="s">
        <v>576</v>
      </c>
      <c r="D349" t="s">
        <v>591</v>
      </c>
      <c r="E349" s="2">
        <v>27</v>
      </c>
      <c r="F349" s="2">
        <v>0</v>
      </c>
      <c r="G349" s="2">
        <v>4.25</v>
      </c>
      <c r="H349" s="2">
        <v>-4.25</v>
      </c>
      <c r="I349" s="1">
        <v>0.81481481481481399</v>
      </c>
      <c r="J349" s="1">
        <v>0.81481481481481399</v>
      </c>
      <c r="K349" s="1">
        <v>0.64636591154261003</v>
      </c>
      <c r="L349" s="1">
        <v>0.48326371808701901</v>
      </c>
      <c r="P349" s="1">
        <f>I349-'Passo 2'!I349</f>
        <v>0</v>
      </c>
      <c r="Q349" s="1">
        <f>J349-'Passo 2'!J349</f>
        <v>0</v>
      </c>
      <c r="R349" s="1">
        <f t="shared" si="21"/>
        <v>21.999999999999979</v>
      </c>
      <c r="S349">
        <f t="shared" si="20"/>
        <v>21.999999999999979</v>
      </c>
      <c r="T349" s="1">
        <f t="shared" si="22"/>
        <v>17.451879611650472</v>
      </c>
      <c r="U349" s="1">
        <f t="shared" si="23"/>
        <v>13.048120388349513</v>
      </c>
    </row>
    <row r="350" spans="1:21" x14ac:dyDescent="0.3">
      <c r="A350" t="s">
        <v>57</v>
      </c>
      <c r="B350" t="s">
        <v>258</v>
      </c>
      <c r="C350" t="s">
        <v>34</v>
      </c>
      <c r="D350" t="s">
        <v>35</v>
      </c>
      <c r="E350" s="2">
        <v>505.19400000000002</v>
      </c>
      <c r="F350" s="2">
        <v>0</v>
      </c>
      <c r="G350" s="2">
        <v>105.2795</v>
      </c>
      <c r="H350" s="2">
        <v>-100.7825</v>
      </c>
      <c r="I350" s="1">
        <v>0.91678840207920098</v>
      </c>
      <c r="J350" s="1">
        <v>0.89898534028511801</v>
      </c>
      <c r="K350" s="1">
        <v>0.84321323681826199</v>
      </c>
      <c r="L350" s="1">
        <v>0.472560505546057</v>
      </c>
      <c r="P350" s="1">
        <f>I350-'Passo 2'!I350</f>
        <v>0.17922322909614896</v>
      </c>
      <c r="Q350" s="1">
        <f>J350-'Passo 2'!J350</f>
        <v>8.8716413892484969E-2</v>
      </c>
      <c r="R350" s="1">
        <f t="shared" si="21"/>
        <v>463.15599999999989</v>
      </c>
      <c r="S350">
        <f t="shared" si="20"/>
        <v>454.16199999999992</v>
      </c>
      <c r="T350" s="1">
        <f t="shared" si="22"/>
        <v>425.98626796116508</v>
      </c>
      <c r="U350" s="1">
        <f t="shared" si="23"/>
        <v>238.73473203883472</v>
      </c>
    </row>
    <row r="351" spans="1:21" x14ac:dyDescent="0.3">
      <c r="A351" t="s">
        <v>57</v>
      </c>
      <c r="B351" t="s">
        <v>259</v>
      </c>
      <c r="C351" t="s">
        <v>34</v>
      </c>
      <c r="D351" t="s">
        <v>35</v>
      </c>
      <c r="E351" s="2">
        <v>805.36599999999999</v>
      </c>
      <c r="F351" s="2">
        <v>0</v>
      </c>
      <c r="G351" s="2">
        <v>167.31725</v>
      </c>
      <c r="H351" s="2">
        <v>-169.715</v>
      </c>
      <c r="I351" s="1">
        <v>0.91550611771542301</v>
      </c>
      <c r="J351" s="1">
        <v>0.92146055333848198</v>
      </c>
      <c r="K351" s="1">
        <v>0.82851529047514105</v>
      </c>
      <c r="L351" s="1">
        <v>0.50845138057876405</v>
      </c>
      <c r="P351" s="1">
        <f>I351-'Passo 2'!I351</f>
        <v>0.18018888306682901</v>
      </c>
      <c r="Q351" s="1">
        <f>J351-'Passo 2'!J351</f>
        <v>0.12870607897527397</v>
      </c>
      <c r="R351" s="1">
        <f t="shared" si="21"/>
        <v>737.31749999999931</v>
      </c>
      <c r="S351">
        <f t="shared" si="20"/>
        <v>742.11299999999983</v>
      </c>
      <c r="T351" s="1">
        <f t="shared" si="22"/>
        <v>667.25804542880246</v>
      </c>
      <c r="U351" s="1">
        <f t="shared" si="23"/>
        <v>409.48945457119686</v>
      </c>
    </row>
    <row r="352" spans="1:21" x14ac:dyDescent="0.3">
      <c r="A352" t="s">
        <v>57</v>
      </c>
      <c r="B352" t="s">
        <v>260</v>
      </c>
      <c r="C352" t="s">
        <v>580</v>
      </c>
      <c r="D352" t="s">
        <v>581</v>
      </c>
      <c r="E352" s="2">
        <v>165</v>
      </c>
      <c r="F352" s="2">
        <v>0</v>
      </c>
      <c r="G352" s="2">
        <v>22.375</v>
      </c>
      <c r="H352" s="2">
        <v>-19.483750000000001</v>
      </c>
      <c r="I352" s="1">
        <v>0.77121212121212102</v>
      </c>
      <c r="J352" s="1">
        <v>0.73616666666666597</v>
      </c>
      <c r="K352" s="1">
        <v>0.56560713812886099</v>
      </c>
      <c r="L352" s="1">
        <v>0.441771649749926</v>
      </c>
      <c r="P352" s="1">
        <f>I352-'Passo 2'!I352</f>
        <v>3.2272727272729673E-3</v>
      </c>
      <c r="Q352" s="1">
        <f>J352-'Passo 2'!J352</f>
        <v>-3.0303030303030498E-3</v>
      </c>
      <c r="R352" s="1">
        <f t="shared" si="21"/>
        <v>127.24999999999997</v>
      </c>
      <c r="S352">
        <f t="shared" si="20"/>
        <v>121.46749999999989</v>
      </c>
      <c r="T352" s="1">
        <f t="shared" si="22"/>
        <v>93.325177791262064</v>
      </c>
      <c r="U352" s="1">
        <f t="shared" si="23"/>
        <v>72.892322208737795</v>
      </c>
    </row>
    <row r="353" spans="1:21" x14ac:dyDescent="0.3">
      <c r="A353" t="s">
        <v>57</v>
      </c>
      <c r="B353" t="s">
        <v>261</v>
      </c>
      <c r="C353" t="s">
        <v>34</v>
      </c>
      <c r="D353" t="s">
        <v>35</v>
      </c>
      <c r="E353" s="2">
        <v>61</v>
      </c>
      <c r="F353" s="2">
        <v>0</v>
      </c>
      <c r="G353" s="2">
        <v>14.25</v>
      </c>
      <c r="H353" s="2">
        <v>-14</v>
      </c>
      <c r="I353" s="1">
        <v>0.96721311475409799</v>
      </c>
      <c r="J353" s="1">
        <v>0.95901639344262202</v>
      </c>
      <c r="K353" s="1">
        <v>0.83515478606292104</v>
      </c>
      <c r="L353" s="1">
        <v>0.59107472213379997</v>
      </c>
      <c r="P353" s="1">
        <f>I353-'Passo 2'!I353</f>
        <v>9.0163934426229941E-2</v>
      </c>
      <c r="Q353" s="1">
        <f>J353-'Passo 2'!J353</f>
        <v>9.8360655737704028E-2</v>
      </c>
      <c r="R353" s="1">
        <f t="shared" si="21"/>
        <v>58.999999999999979</v>
      </c>
      <c r="S353">
        <f t="shared" si="20"/>
        <v>58.499999999999943</v>
      </c>
      <c r="T353" s="1">
        <f t="shared" si="22"/>
        <v>50.944441949838186</v>
      </c>
      <c r="U353" s="1">
        <f t="shared" si="23"/>
        <v>36.0555580501618</v>
      </c>
    </row>
    <row r="354" spans="1:21" x14ac:dyDescent="0.3">
      <c r="A354" t="s">
        <v>57</v>
      </c>
      <c r="B354" t="s">
        <v>262</v>
      </c>
      <c r="C354" t="s">
        <v>34</v>
      </c>
      <c r="D354" t="s">
        <v>35</v>
      </c>
      <c r="E354" s="2">
        <v>497.298</v>
      </c>
      <c r="F354" s="2">
        <v>0</v>
      </c>
      <c r="G354" s="2">
        <v>104.58875</v>
      </c>
      <c r="H354" s="2">
        <v>-116.83325000000001</v>
      </c>
      <c r="I354" s="1">
        <v>0.92062807411250402</v>
      </c>
      <c r="J354" s="1">
        <v>0.96987218931103603</v>
      </c>
      <c r="K354" s="1">
        <v>0.81108492860141101</v>
      </c>
      <c r="L354" s="1">
        <v>0.57941533482212904</v>
      </c>
      <c r="P354" s="1">
        <f>I354-'Passo 2'!I354</f>
        <v>0.16880723429412603</v>
      </c>
      <c r="Q354" s="1">
        <f>J354-'Passo 2'!J354</f>
        <v>6.7639523987629069E-2</v>
      </c>
      <c r="R354" s="1">
        <f t="shared" si="21"/>
        <v>457.82650000000001</v>
      </c>
      <c r="S354">
        <f t="shared" si="20"/>
        <v>482.31549999999959</v>
      </c>
      <c r="T354" s="1">
        <f t="shared" si="22"/>
        <v>403.35091282362447</v>
      </c>
      <c r="U354" s="1">
        <f t="shared" si="23"/>
        <v>288.14208717637513</v>
      </c>
    </row>
    <row r="355" spans="1:21" x14ac:dyDescent="0.3">
      <c r="A355" t="s">
        <v>57</v>
      </c>
      <c r="B355" t="s">
        <v>263</v>
      </c>
      <c r="C355" t="s">
        <v>576</v>
      </c>
      <c r="D355" t="s">
        <v>591</v>
      </c>
      <c r="E355" s="2">
        <v>5</v>
      </c>
      <c r="F355" s="2">
        <v>0</v>
      </c>
      <c r="G355" s="2">
        <v>1.2490000000000001</v>
      </c>
      <c r="H355" s="2">
        <v>-1.2490000000000001</v>
      </c>
      <c r="I355" s="1">
        <v>0.99960000000000004</v>
      </c>
      <c r="J355" s="1">
        <v>0.99960000000000004</v>
      </c>
      <c r="K355" s="1">
        <v>0.87227266990291197</v>
      </c>
      <c r="L355" s="1">
        <v>0.62692733009708701</v>
      </c>
      <c r="P355" s="1">
        <f>I355-'Passo 2'!I355</f>
        <v>0</v>
      </c>
      <c r="Q355" s="1">
        <f>J355-'Passo 2'!J355</f>
        <v>0</v>
      </c>
      <c r="R355" s="1">
        <f t="shared" si="21"/>
        <v>4.9980000000000002</v>
      </c>
      <c r="S355">
        <f t="shared" si="20"/>
        <v>4.9980000000000002</v>
      </c>
      <c r="T355" s="1">
        <f t="shared" si="22"/>
        <v>4.3613633495145603</v>
      </c>
      <c r="U355" s="1">
        <f t="shared" si="23"/>
        <v>3.1346366504854348</v>
      </c>
    </row>
    <row r="356" spans="1:21" x14ac:dyDescent="0.3">
      <c r="A356" t="s">
        <v>57</v>
      </c>
      <c r="B356" t="s">
        <v>264</v>
      </c>
      <c r="C356" t="s">
        <v>576</v>
      </c>
      <c r="D356" t="s">
        <v>589</v>
      </c>
      <c r="E356" s="2">
        <v>0</v>
      </c>
      <c r="F356" s="2">
        <v>0</v>
      </c>
      <c r="G356" s="2">
        <v>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P356" s="1">
        <f>I356-'Passo 2'!I356</f>
        <v>0</v>
      </c>
      <c r="Q356" s="1">
        <f>J356-'Passo 2'!J356</f>
        <v>0</v>
      </c>
      <c r="R356" s="1">
        <f t="shared" si="21"/>
        <v>0</v>
      </c>
      <c r="S356">
        <f t="shared" si="20"/>
        <v>0</v>
      </c>
      <c r="T356" s="1">
        <f t="shared" si="22"/>
        <v>0</v>
      </c>
      <c r="U356" s="1">
        <f t="shared" si="23"/>
        <v>0</v>
      </c>
    </row>
    <row r="357" spans="1:21" x14ac:dyDescent="0.3">
      <c r="A357" t="s">
        <v>57</v>
      </c>
      <c r="B357" t="s">
        <v>265</v>
      </c>
      <c r="C357" t="s">
        <v>574</v>
      </c>
      <c r="D357" t="s">
        <v>575</v>
      </c>
      <c r="E357" s="2">
        <v>178.31399999999999</v>
      </c>
      <c r="F357" s="2">
        <v>0</v>
      </c>
      <c r="G357" s="2">
        <v>44.378500000000003</v>
      </c>
      <c r="H357" s="2">
        <v>-44.185749999999999</v>
      </c>
      <c r="I357" s="1">
        <v>0.99775676615408704</v>
      </c>
      <c r="J357" s="1">
        <v>0.99559484953508903</v>
      </c>
      <c r="K357" s="1">
        <v>0.97801345707998499</v>
      </c>
      <c r="L357" s="1">
        <v>0.51533815860919197</v>
      </c>
      <c r="P357" s="1">
        <f>I357-'Passo 2'!I357</f>
        <v>0</v>
      </c>
      <c r="Q357" s="1">
        <f>J357-'Passo 2'!J357</f>
        <v>2.3982973855109058E-2</v>
      </c>
      <c r="R357" s="1">
        <f t="shared" si="21"/>
        <v>177.91399999999987</v>
      </c>
      <c r="S357">
        <f t="shared" si="20"/>
        <v>177.52849999999987</v>
      </c>
      <c r="T357" s="1">
        <f t="shared" si="22"/>
        <v>174.39349158576044</v>
      </c>
      <c r="U357" s="1">
        <f t="shared" si="23"/>
        <v>91.892008414239456</v>
      </c>
    </row>
    <row r="358" spans="1:21" x14ac:dyDescent="0.3">
      <c r="A358" t="s">
        <v>57</v>
      </c>
      <c r="B358" t="s">
        <v>266</v>
      </c>
      <c r="C358" t="s">
        <v>574</v>
      </c>
      <c r="D358" t="s">
        <v>575</v>
      </c>
      <c r="E358" s="2">
        <v>287.19099999999997</v>
      </c>
      <c r="F358" s="2">
        <v>0</v>
      </c>
      <c r="G358" s="2">
        <v>71.772749999999903</v>
      </c>
      <c r="H358" s="2">
        <v>-68.896249999999995</v>
      </c>
      <c r="I358" s="1">
        <v>0.99982589983669401</v>
      </c>
      <c r="J358" s="1">
        <v>0.97979393504671097</v>
      </c>
      <c r="K358" s="1">
        <v>0.98861837169830402</v>
      </c>
      <c r="L358" s="1">
        <v>0.49100146318510002</v>
      </c>
      <c r="P358" s="1">
        <f>I358-'Passo 2'!I358</f>
        <v>6.3187913270262963E-2</v>
      </c>
      <c r="Q358" s="1">
        <f>J358-'Passo 2'!J358</f>
        <v>1.5850078867373996E-2</v>
      </c>
      <c r="R358" s="1">
        <f t="shared" si="21"/>
        <v>287.14099999999996</v>
      </c>
      <c r="S358">
        <f t="shared" si="20"/>
        <v>281.38799999999992</v>
      </c>
      <c r="T358" s="1">
        <f t="shared" si="22"/>
        <v>283.92229878640762</v>
      </c>
      <c r="U358" s="1">
        <f t="shared" si="23"/>
        <v>141.01120121359205</v>
      </c>
    </row>
    <row r="359" spans="1:21" x14ac:dyDescent="0.3">
      <c r="A359" t="s">
        <v>57</v>
      </c>
      <c r="B359" t="s">
        <v>267</v>
      </c>
      <c r="C359" t="s">
        <v>574</v>
      </c>
      <c r="D359" t="s">
        <v>575</v>
      </c>
      <c r="E359" s="2">
        <v>783.68499999999995</v>
      </c>
      <c r="F359" s="2">
        <v>0</v>
      </c>
      <c r="G359" s="2">
        <v>195.92124999999999</v>
      </c>
      <c r="H359" s="2">
        <v>-194.83475000000001</v>
      </c>
      <c r="I359" s="1">
        <v>1</v>
      </c>
      <c r="J359" s="1">
        <v>0.99722720225600803</v>
      </c>
      <c r="K359" s="1">
        <v>0.93529389728837398</v>
      </c>
      <c r="L359" s="1">
        <v>0.56193330496763305</v>
      </c>
      <c r="P359" s="1">
        <f>I359-'Passo 2'!I359</f>
        <v>1.9278153850080026E-2</v>
      </c>
      <c r="Q359" s="1">
        <f>J359-'Passo 2'!J359</f>
        <v>4.7430408901536047E-2</v>
      </c>
      <c r="R359" s="1">
        <f t="shared" si="21"/>
        <v>783.68499999999995</v>
      </c>
      <c r="S359">
        <f t="shared" si="20"/>
        <v>781.5119999999996</v>
      </c>
      <c r="T359" s="1">
        <f t="shared" si="22"/>
        <v>732.9757978964393</v>
      </c>
      <c r="U359" s="1">
        <f t="shared" si="23"/>
        <v>440.37870210355948</v>
      </c>
    </row>
    <row r="360" spans="1:21" x14ac:dyDescent="0.3">
      <c r="A360" t="s">
        <v>57</v>
      </c>
      <c r="B360" t="s">
        <v>268</v>
      </c>
      <c r="C360" t="s">
        <v>574</v>
      </c>
      <c r="D360" t="s">
        <v>575</v>
      </c>
      <c r="E360" s="2">
        <v>2046.346</v>
      </c>
      <c r="F360" s="2">
        <v>276.34199999999998</v>
      </c>
      <c r="G360" s="2">
        <v>365.39699999999999</v>
      </c>
      <c r="H360" s="2">
        <v>-273.33425</v>
      </c>
      <c r="I360" s="1">
        <v>0.78960058562921398</v>
      </c>
      <c r="J360" s="1">
        <v>0.69962288879788603</v>
      </c>
      <c r="K360" s="1">
        <v>0.618170425306381</v>
      </c>
      <c r="L360" s="1">
        <v>0.438573888705031</v>
      </c>
      <c r="P360" s="1">
        <f>I360-'Passo 2'!I360</f>
        <v>1.0969308220603935E-2</v>
      </c>
      <c r="Q360" s="1">
        <f>J360-'Passo 2'!J360</f>
        <v>7.3059492383010793E-3</v>
      </c>
      <c r="R360" s="1">
        <f t="shared" si="21"/>
        <v>1615.7959999999996</v>
      </c>
      <c r="S360">
        <f t="shared" si="20"/>
        <v>1431.6704999999988</v>
      </c>
      <c r="T360" s="1">
        <f t="shared" si="22"/>
        <v>1264.9905771440115</v>
      </c>
      <c r="U360" s="1">
        <f t="shared" si="23"/>
        <v>897.47392285598539</v>
      </c>
    </row>
    <row r="361" spans="1:21" x14ac:dyDescent="0.3">
      <c r="A361" t="s">
        <v>57</v>
      </c>
      <c r="B361" t="s">
        <v>691</v>
      </c>
      <c r="C361" t="s">
        <v>576</v>
      </c>
      <c r="D361" t="s">
        <v>589</v>
      </c>
      <c r="E361" s="2">
        <v>0</v>
      </c>
      <c r="F361" s="2">
        <v>0</v>
      </c>
      <c r="G361" s="2">
        <v>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P361" s="1">
        <f>I361-'Passo 2'!I361</f>
        <v>0</v>
      </c>
      <c r="Q361" s="1">
        <f>J361-'Passo 2'!J361</f>
        <v>0</v>
      </c>
      <c r="R361" s="1">
        <f t="shared" si="21"/>
        <v>0</v>
      </c>
      <c r="S361">
        <f t="shared" si="20"/>
        <v>0</v>
      </c>
      <c r="T361" s="1">
        <f t="shared" si="22"/>
        <v>0</v>
      </c>
      <c r="U361" s="1">
        <f t="shared" si="23"/>
        <v>0</v>
      </c>
    </row>
    <row r="362" spans="1:21" x14ac:dyDescent="0.3">
      <c r="A362" t="s">
        <v>57</v>
      </c>
      <c r="B362" t="s">
        <v>269</v>
      </c>
      <c r="C362" t="s">
        <v>574</v>
      </c>
      <c r="D362" t="s">
        <v>575</v>
      </c>
      <c r="E362" s="2">
        <v>162.02799999999999</v>
      </c>
      <c r="F362" s="2">
        <v>0</v>
      </c>
      <c r="G362" s="2">
        <v>40.506999999999998</v>
      </c>
      <c r="H362" s="2">
        <v>-40.480499999999999</v>
      </c>
      <c r="I362" s="1">
        <v>1</v>
      </c>
      <c r="J362" s="1">
        <v>0.99967289604265896</v>
      </c>
      <c r="K362" s="1">
        <v>0.88604119714256102</v>
      </c>
      <c r="L362" s="1">
        <v>0.61363169890009805</v>
      </c>
      <c r="P362" s="1">
        <f>I362-'Passo 2'!I362</f>
        <v>0</v>
      </c>
      <c r="Q362" s="1">
        <f>J362-'Passo 2'!J362</f>
        <v>0</v>
      </c>
      <c r="R362" s="1">
        <f t="shared" si="21"/>
        <v>162.02799999999999</v>
      </c>
      <c r="S362">
        <f t="shared" si="20"/>
        <v>161.97499999999994</v>
      </c>
      <c r="T362" s="1">
        <f t="shared" si="22"/>
        <v>143.56348309061488</v>
      </c>
      <c r="U362" s="1">
        <f t="shared" si="23"/>
        <v>99.425516909385081</v>
      </c>
    </row>
    <row r="363" spans="1:21" x14ac:dyDescent="0.3">
      <c r="A363" t="s">
        <v>57</v>
      </c>
      <c r="B363" t="s">
        <v>270</v>
      </c>
      <c r="C363" t="s">
        <v>576</v>
      </c>
      <c r="D363" t="s">
        <v>583</v>
      </c>
      <c r="E363" s="2">
        <v>197.86199999999999</v>
      </c>
      <c r="F363" s="2">
        <v>0</v>
      </c>
      <c r="G363" s="2">
        <v>49.465499999999999</v>
      </c>
      <c r="H363" s="2">
        <v>-49.382249999999999</v>
      </c>
      <c r="I363" s="1">
        <v>1</v>
      </c>
      <c r="J363" s="1">
        <v>0.99915850441216603</v>
      </c>
      <c r="K363" s="1">
        <v>0.99289803059430204</v>
      </c>
      <c r="L363" s="1">
        <v>0.50626047381786299</v>
      </c>
      <c r="P363" s="1">
        <f>I363-'Passo 2'!I363</f>
        <v>7.1514489896995492E-4</v>
      </c>
      <c r="Q363" s="1">
        <f>J363-'Passo 2'!J363</f>
        <v>4.0053168369880154E-3</v>
      </c>
      <c r="R363" s="1">
        <f t="shared" si="21"/>
        <v>197.86199999999999</v>
      </c>
      <c r="S363">
        <f t="shared" si="20"/>
        <v>197.69549999999998</v>
      </c>
      <c r="T363" s="1">
        <f t="shared" si="22"/>
        <v>196.45679012944979</v>
      </c>
      <c r="U363" s="1">
        <f t="shared" si="23"/>
        <v>100.16970987055001</v>
      </c>
    </row>
    <row r="364" spans="1:21" x14ac:dyDescent="0.3">
      <c r="A364" t="s">
        <v>57</v>
      </c>
      <c r="B364" t="s">
        <v>271</v>
      </c>
      <c r="C364" t="s">
        <v>576</v>
      </c>
      <c r="D364" t="s">
        <v>583</v>
      </c>
      <c r="E364" s="2">
        <v>0</v>
      </c>
      <c r="F364" s="2">
        <v>0</v>
      </c>
      <c r="G364" s="2">
        <v>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P364" s="1">
        <f>I364-'Passo 2'!I364</f>
        <v>0</v>
      </c>
      <c r="Q364" s="1">
        <f>J364-'Passo 2'!J364</f>
        <v>0</v>
      </c>
      <c r="R364" s="1">
        <f t="shared" si="21"/>
        <v>0</v>
      </c>
      <c r="S364">
        <f t="shared" si="20"/>
        <v>0</v>
      </c>
      <c r="T364" s="1">
        <f t="shared" si="22"/>
        <v>0</v>
      </c>
      <c r="U364" s="1">
        <f t="shared" si="23"/>
        <v>0</v>
      </c>
    </row>
    <row r="365" spans="1:21" x14ac:dyDescent="0.3">
      <c r="A365" t="s">
        <v>57</v>
      </c>
      <c r="B365" t="s">
        <v>272</v>
      </c>
      <c r="C365" t="s">
        <v>34</v>
      </c>
      <c r="D365" t="s">
        <v>35</v>
      </c>
      <c r="E365" s="2">
        <v>46.906999999999996</v>
      </c>
      <c r="F365" s="2">
        <v>0</v>
      </c>
      <c r="G365" s="2">
        <v>11.588749999999999</v>
      </c>
      <c r="H365" s="2">
        <v>-11.44</v>
      </c>
      <c r="I365" s="1">
        <v>0.99411601679919803</v>
      </c>
      <c r="J365" s="1">
        <v>0.98777367983456599</v>
      </c>
      <c r="K365" s="1">
        <v>0.89738283909295602</v>
      </c>
      <c r="L365" s="1">
        <v>0.584506857540807</v>
      </c>
      <c r="P365" s="1">
        <f>I365-'Passo 2'!I365</f>
        <v>6.3956339139150664E-3</v>
      </c>
      <c r="Q365" s="1">
        <f>J365-'Passo 2'!J365</f>
        <v>1.0584774127529006E-2</v>
      </c>
      <c r="R365" s="1">
        <f t="shared" si="21"/>
        <v>46.630999999999979</v>
      </c>
      <c r="S365">
        <f t="shared" si="20"/>
        <v>46.333499999999987</v>
      </c>
      <c r="T365" s="1">
        <f t="shared" si="22"/>
        <v>42.093536833333282</v>
      </c>
      <c r="U365" s="1">
        <f t="shared" si="23"/>
        <v>27.417463166666632</v>
      </c>
    </row>
    <row r="366" spans="1:21" x14ac:dyDescent="0.3">
      <c r="A366" t="s">
        <v>57</v>
      </c>
      <c r="B366" t="s">
        <v>273</v>
      </c>
      <c r="C366" t="s">
        <v>576</v>
      </c>
      <c r="D366" t="s">
        <v>577</v>
      </c>
      <c r="E366" s="2">
        <v>1540.875</v>
      </c>
      <c r="F366" s="2">
        <v>0</v>
      </c>
      <c r="G366" s="2">
        <v>350.26724999999999</v>
      </c>
      <c r="H366" s="2">
        <v>-384.06975</v>
      </c>
      <c r="I366" s="1">
        <v>0.95463421757118505</v>
      </c>
      <c r="J366" s="1">
        <v>0.99850863957167102</v>
      </c>
      <c r="K366" s="1">
        <v>0.95052036443274501</v>
      </c>
      <c r="L366" s="1">
        <v>0.50262249271011095</v>
      </c>
      <c r="P366" s="1">
        <f>I366-'Passo 2'!I366</f>
        <v>0.13043303317920008</v>
      </c>
      <c r="Q366" s="1">
        <f>J366-'Passo 2'!J366</f>
        <v>2.5242475865985048E-2</v>
      </c>
      <c r="R366" s="1">
        <f t="shared" si="21"/>
        <v>1470.9719999999998</v>
      </c>
      <c r="S366">
        <f t="shared" si="20"/>
        <v>1538.5769999999986</v>
      </c>
      <c r="T366" s="1">
        <f t="shared" si="22"/>
        <v>1464.6330665453061</v>
      </c>
      <c r="U366" s="1">
        <f t="shared" si="23"/>
        <v>774.47843345469221</v>
      </c>
    </row>
    <row r="367" spans="1:21" x14ac:dyDescent="0.3">
      <c r="A367" t="s">
        <v>57</v>
      </c>
      <c r="B367" t="s">
        <v>692</v>
      </c>
      <c r="C367" t="s">
        <v>576</v>
      </c>
      <c r="D367" t="s">
        <v>595</v>
      </c>
      <c r="E367" s="2">
        <v>721.072</v>
      </c>
      <c r="F367" s="2">
        <v>0</v>
      </c>
      <c r="G367" s="2">
        <v>138.27699999999999</v>
      </c>
      <c r="H367" s="2">
        <v>-115.816</v>
      </c>
      <c r="I367" s="1">
        <v>0.88353174162912895</v>
      </c>
      <c r="J367" s="1">
        <v>0.82123283111811296</v>
      </c>
      <c r="K367" s="1">
        <v>0.82644672180936296</v>
      </c>
      <c r="L367" s="1">
        <v>0.37831785093787901</v>
      </c>
      <c r="P367" s="1">
        <f>I367-'Passo 2'!I367</f>
        <v>0.17967276499434093</v>
      </c>
      <c r="Q367" s="1">
        <f>J367-'Passo 2'!J367</f>
        <v>7.523104488872201E-2</v>
      </c>
      <c r="R367" s="1">
        <f t="shared" si="21"/>
        <v>637.08999999999924</v>
      </c>
      <c r="S367">
        <f t="shared" si="20"/>
        <v>592.16800000000001</v>
      </c>
      <c r="T367" s="1">
        <f t="shared" si="22"/>
        <v>595.92759058852096</v>
      </c>
      <c r="U367" s="1">
        <f t="shared" si="23"/>
        <v>272.79440941147828</v>
      </c>
    </row>
    <row r="368" spans="1:21" x14ac:dyDescent="0.3">
      <c r="A368" t="s">
        <v>57</v>
      </c>
      <c r="B368" t="s">
        <v>693</v>
      </c>
      <c r="C368" t="s">
        <v>576</v>
      </c>
      <c r="D368" t="s">
        <v>595</v>
      </c>
      <c r="E368" s="2">
        <v>368.03500000000003</v>
      </c>
      <c r="F368" s="2">
        <v>0</v>
      </c>
      <c r="G368" s="2">
        <v>87.421999999999997</v>
      </c>
      <c r="H368" s="2">
        <v>-90.804749999999999</v>
      </c>
      <c r="I368" s="1">
        <v>0.97507438151262704</v>
      </c>
      <c r="J368" s="1">
        <v>0.99345714402162799</v>
      </c>
      <c r="K368" s="1">
        <v>0.92360824211043202</v>
      </c>
      <c r="L368" s="1">
        <v>0.54492328342382301</v>
      </c>
      <c r="P368" s="1">
        <f>I368-'Passo 2'!I368</f>
        <v>0.192800956430774</v>
      </c>
      <c r="Q368" s="1">
        <f>J368-'Passo 2'!J368</f>
        <v>2.7388699444349518E-3</v>
      </c>
      <c r="R368" s="1">
        <f t="shared" si="21"/>
        <v>358.86149999999969</v>
      </c>
      <c r="S368">
        <f t="shared" si="20"/>
        <v>365.6269999999999</v>
      </c>
      <c r="T368" s="1">
        <f t="shared" si="22"/>
        <v>339.92015938511287</v>
      </c>
      <c r="U368" s="1">
        <f t="shared" si="23"/>
        <v>200.55084061488671</v>
      </c>
    </row>
    <row r="369" spans="1:21" x14ac:dyDescent="0.3">
      <c r="A369" t="s">
        <v>57</v>
      </c>
      <c r="B369" t="s">
        <v>274</v>
      </c>
      <c r="C369" t="s">
        <v>576</v>
      </c>
      <c r="D369" t="s">
        <v>589</v>
      </c>
      <c r="E369" s="2">
        <v>0</v>
      </c>
      <c r="F369" s="2">
        <v>0</v>
      </c>
      <c r="G369" s="2">
        <v>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P369" s="1">
        <f>I369-'Passo 2'!I369</f>
        <v>0</v>
      </c>
      <c r="Q369" s="1">
        <f>J369-'Passo 2'!J369</f>
        <v>0</v>
      </c>
      <c r="R369" s="1">
        <f t="shared" si="21"/>
        <v>0</v>
      </c>
      <c r="S369">
        <f t="shared" si="20"/>
        <v>0</v>
      </c>
      <c r="T369" s="1">
        <f t="shared" si="22"/>
        <v>0</v>
      </c>
      <c r="U369" s="1">
        <f t="shared" si="23"/>
        <v>0</v>
      </c>
    </row>
    <row r="370" spans="1:21" x14ac:dyDescent="0.3">
      <c r="A370" t="s">
        <v>57</v>
      </c>
      <c r="B370" t="s">
        <v>275</v>
      </c>
      <c r="C370" t="s">
        <v>576</v>
      </c>
      <c r="D370" t="s">
        <v>589</v>
      </c>
      <c r="E370" s="2">
        <v>0</v>
      </c>
      <c r="F370" s="2">
        <v>0</v>
      </c>
      <c r="G370" s="2">
        <v>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P370" s="1">
        <f>I370-'Passo 2'!I370</f>
        <v>0</v>
      </c>
      <c r="Q370" s="1">
        <f>J370-'Passo 2'!J370</f>
        <v>0</v>
      </c>
      <c r="R370" s="1">
        <f t="shared" si="21"/>
        <v>0</v>
      </c>
      <c r="S370">
        <f t="shared" si="20"/>
        <v>0</v>
      </c>
      <c r="T370" s="1">
        <f t="shared" si="22"/>
        <v>0</v>
      </c>
      <c r="U370" s="1">
        <f t="shared" si="23"/>
        <v>0</v>
      </c>
    </row>
    <row r="371" spans="1:21" x14ac:dyDescent="0.3">
      <c r="A371" t="s">
        <v>57</v>
      </c>
      <c r="B371" t="s">
        <v>276</v>
      </c>
      <c r="C371" t="s">
        <v>580</v>
      </c>
      <c r="D371" t="s">
        <v>581</v>
      </c>
      <c r="E371" s="2">
        <v>99.337999999999994</v>
      </c>
      <c r="F371" s="2">
        <v>0</v>
      </c>
      <c r="G371" s="2">
        <v>24.830749999999998</v>
      </c>
      <c r="H371" s="2">
        <v>-22.096499999999999</v>
      </c>
      <c r="I371" s="1">
        <v>0.999924500191266</v>
      </c>
      <c r="J371" s="1">
        <v>0.94487507298314799</v>
      </c>
      <c r="K371" s="1">
        <v>0.90672985911067805</v>
      </c>
      <c r="L371" s="1">
        <v>0.53806971406373605</v>
      </c>
      <c r="P371" s="1">
        <f>I371-'Passo 2'!I371</f>
        <v>-7.5499808734003082E-5</v>
      </c>
      <c r="Q371" s="1">
        <f>J371-'Passo 2'!J371</f>
        <v>4.317079063399698E-2</v>
      </c>
      <c r="R371" s="1">
        <f t="shared" si="21"/>
        <v>99.330499999999972</v>
      </c>
      <c r="S371">
        <f t="shared" si="20"/>
        <v>93.861999999999952</v>
      </c>
      <c r="T371" s="1">
        <f t="shared" si="22"/>
        <v>90.072730744336525</v>
      </c>
      <c r="U371" s="1">
        <f t="shared" si="23"/>
        <v>53.45076925566341</v>
      </c>
    </row>
    <row r="372" spans="1:21" x14ac:dyDescent="0.3">
      <c r="A372" t="s">
        <v>57</v>
      </c>
      <c r="B372" t="s">
        <v>277</v>
      </c>
      <c r="C372" t="s">
        <v>576</v>
      </c>
      <c r="D372" t="s">
        <v>577</v>
      </c>
      <c r="E372" s="2">
        <v>28.271999999999998</v>
      </c>
      <c r="F372" s="2">
        <v>0</v>
      </c>
      <c r="G372" s="2">
        <v>7.0677500000000002</v>
      </c>
      <c r="H372" s="2">
        <v>-7.06175</v>
      </c>
      <c r="I372" s="1">
        <v>0.999982314657611</v>
      </c>
      <c r="J372" s="1">
        <v>0.99955786644029399</v>
      </c>
      <c r="K372" s="1">
        <v>0.94812393859328503</v>
      </c>
      <c r="L372" s="1">
        <v>0.55141624250461996</v>
      </c>
      <c r="P372" s="1">
        <f>I372-'Passo 2'!I372</f>
        <v>9.1963780418702346E-4</v>
      </c>
      <c r="Q372" s="1">
        <f>J372-'Passo 2'!J372</f>
        <v>4.4213355970601498E-4</v>
      </c>
      <c r="R372" s="1">
        <f t="shared" si="21"/>
        <v>28.271499999999978</v>
      </c>
      <c r="S372">
        <f t="shared" si="20"/>
        <v>28.259499999999989</v>
      </c>
      <c r="T372" s="1">
        <f t="shared" si="22"/>
        <v>26.805359991909352</v>
      </c>
      <c r="U372" s="1">
        <f t="shared" si="23"/>
        <v>15.589640008090615</v>
      </c>
    </row>
    <row r="373" spans="1:21" x14ac:dyDescent="0.3">
      <c r="A373" t="s">
        <v>57</v>
      </c>
      <c r="B373" t="s">
        <v>278</v>
      </c>
      <c r="C373" t="s">
        <v>576</v>
      </c>
      <c r="D373" t="s">
        <v>577</v>
      </c>
      <c r="E373" s="2">
        <v>37.235999999999997</v>
      </c>
      <c r="F373" s="2">
        <v>0</v>
      </c>
      <c r="G373" s="2">
        <v>9.3089999999999993</v>
      </c>
      <c r="H373" s="2">
        <v>-9.3089999999999993</v>
      </c>
      <c r="I373" s="1">
        <v>1</v>
      </c>
      <c r="J373" s="1">
        <v>1</v>
      </c>
      <c r="K373" s="1">
        <v>0.95786826964092497</v>
      </c>
      <c r="L373" s="1">
        <v>0.54213173035907403</v>
      </c>
      <c r="P373" s="1">
        <f>I373-'Passo 2'!I373</f>
        <v>2.8601353528849849E-3</v>
      </c>
      <c r="Q373" s="1">
        <f>J373-'Passo 2'!J373</f>
        <v>5.5054248576702491E-4</v>
      </c>
      <c r="R373" s="1">
        <f t="shared" si="21"/>
        <v>37.235999999999997</v>
      </c>
      <c r="S373">
        <f t="shared" si="20"/>
        <v>37.235999999999997</v>
      </c>
      <c r="T373" s="1">
        <f t="shared" si="22"/>
        <v>35.66718288834948</v>
      </c>
      <c r="U373" s="1">
        <f t="shared" si="23"/>
        <v>20.18681711165048</v>
      </c>
    </row>
    <row r="374" spans="1:21" x14ac:dyDescent="0.3">
      <c r="A374" t="s">
        <v>57</v>
      </c>
      <c r="B374" t="s">
        <v>279</v>
      </c>
      <c r="C374" t="s">
        <v>576</v>
      </c>
      <c r="D374" t="s">
        <v>577</v>
      </c>
      <c r="E374" s="2">
        <v>55.954000000000001</v>
      </c>
      <c r="F374" s="2">
        <v>0</v>
      </c>
      <c r="G374" s="2">
        <v>13.9855</v>
      </c>
      <c r="H374" s="2">
        <v>-13.9885</v>
      </c>
      <c r="I374" s="1">
        <v>0.999892769060299</v>
      </c>
      <c r="J374" s="1">
        <v>1</v>
      </c>
      <c r="K374" s="1">
        <v>0.93556130263844695</v>
      </c>
      <c r="L374" s="1">
        <v>0.56433146642185095</v>
      </c>
      <c r="P374" s="1">
        <f>I374-'Passo 2'!I374</f>
        <v>0</v>
      </c>
      <c r="Q374" s="1">
        <f>J374-'Passo 2'!J374</f>
        <v>0</v>
      </c>
      <c r="R374" s="1">
        <f t="shared" si="21"/>
        <v>55.947999999999972</v>
      </c>
      <c r="S374">
        <f t="shared" si="20"/>
        <v>55.954000000000001</v>
      </c>
      <c r="T374" s="1">
        <f t="shared" si="22"/>
        <v>52.34839712783166</v>
      </c>
      <c r="U374" s="1">
        <f t="shared" si="23"/>
        <v>31.576602872168248</v>
      </c>
    </row>
    <row r="375" spans="1:21" x14ac:dyDescent="0.3">
      <c r="A375" t="s">
        <v>57</v>
      </c>
      <c r="B375" t="s">
        <v>280</v>
      </c>
      <c r="C375" t="s">
        <v>576</v>
      </c>
      <c r="D375" t="s">
        <v>577</v>
      </c>
      <c r="E375" s="2">
        <v>10.395</v>
      </c>
      <c r="F375" s="2">
        <v>0</v>
      </c>
      <c r="G375" s="2">
        <v>2.5987499999999999</v>
      </c>
      <c r="H375" s="2">
        <v>-2.5987499999999999</v>
      </c>
      <c r="I375" s="1">
        <v>1</v>
      </c>
      <c r="J375" s="1">
        <v>1</v>
      </c>
      <c r="K375" s="1">
        <v>0.99954724078510404</v>
      </c>
      <c r="L375" s="1">
        <v>0.50045275921489496</v>
      </c>
      <c r="P375" s="1">
        <f>I375-'Passo 2'!I375</f>
        <v>0</v>
      </c>
      <c r="Q375" s="1">
        <f>J375-'Passo 2'!J375</f>
        <v>0</v>
      </c>
      <c r="R375" s="1">
        <f t="shared" si="21"/>
        <v>10.395</v>
      </c>
      <c r="S375">
        <f t="shared" si="20"/>
        <v>10.395</v>
      </c>
      <c r="T375" s="1">
        <f t="shared" si="22"/>
        <v>10.390293567961155</v>
      </c>
      <c r="U375" s="1">
        <f t="shared" si="23"/>
        <v>5.2022064320388326</v>
      </c>
    </row>
    <row r="376" spans="1:21" x14ac:dyDescent="0.3">
      <c r="A376" t="s">
        <v>57</v>
      </c>
      <c r="B376" t="s">
        <v>281</v>
      </c>
      <c r="C376" t="s">
        <v>580</v>
      </c>
      <c r="D376" t="s">
        <v>581</v>
      </c>
      <c r="E376" s="2">
        <v>52.899000000000001</v>
      </c>
      <c r="F376" s="2">
        <v>0</v>
      </c>
      <c r="G376" s="2">
        <v>12.162000000000001</v>
      </c>
      <c r="H376" s="2">
        <v>-12.219250000000001</v>
      </c>
      <c r="I376" s="1">
        <v>0.95981965632620603</v>
      </c>
      <c r="J376" s="1">
        <v>0.96198415849070795</v>
      </c>
      <c r="K376" s="1">
        <v>0.86756643040401005</v>
      </c>
      <c r="L376" s="1">
        <v>0.55423738441290404</v>
      </c>
      <c r="P376" s="1">
        <f>I376-'Passo 2'!I376</f>
        <v>6.6409572959790997E-2</v>
      </c>
      <c r="Q376" s="1">
        <f>J376-'Passo 2'!J376</f>
        <v>0.10494527306754398</v>
      </c>
      <c r="R376" s="1">
        <f t="shared" si="21"/>
        <v>50.77349999999997</v>
      </c>
      <c r="S376">
        <f t="shared" si="20"/>
        <v>50.887999999999963</v>
      </c>
      <c r="T376" s="1">
        <f t="shared" si="22"/>
        <v>45.893396601941731</v>
      </c>
      <c r="U376" s="1">
        <f t="shared" si="23"/>
        <v>29.318603398058212</v>
      </c>
    </row>
    <row r="377" spans="1:21" x14ac:dyDescent="0.3">
      <c r="A377" t="s">
        <v>57</v>
      </c>
      <c r="B377" t="s">
        <v>282</v>
      </c>
      <c r="C377" t="s">
        <v>580</v>
      </c>
      <c r="D377" t="s">
        <v>581</v>
      </c>
      <c r="E377" s="2">
        <v>49.335999999999999</v>
      </c>
      <c r="F377" s="2">
        <v>0</v>
      </c>
      <c r="G377" s="2">
        <v>10.3334999999999</v>
      </c>
      <c r="H377" s="2">
        <v>-10.07475</v>
      </c>
      <c r="I377" s="1">
        <v>0.91890303226852499</v>
      </c>
      <c r="J377" s="1">
        <v>0.90841373439273498</v>
      </c>
      <c r="K377" s="1">
        <v>0.81681096482320803</v>
      </c>
      <c r="L377" s="1">
        <v>0.51050580183805305</v>
      </c>
      <c r="P377" s="1">
        <f>I377-'Passo 2'!I377</f>
        <v>5.8142127452569969E-2</v>
      </c>
      <c r="Q377" s="1">
        <f>J377-'Passo 2'!J377</f>
        <v>7.2360953461975019E-2</v>
      </c>
      <c r="R377" s="1">
        <f t="shared" si="21"/>
        <v>45.334999999999944</v>
      </c>
      <c r="S377">
        <f t="shared" si="20"/>
        <v>44.817499999999974</v>
      </c>
      <c r="T377" s="1">
        <f t="shared" si="22"/>
        <v>40.298185760517789</v>
      </c>
      <c r="U377" s="1">
        <f t="shared" si="23"/>
        <v>25.186314239482186</v>
      </c>
    </row>
    <row r="378" spans="1:21" x14ac:dyDescent="0.3">
      <c r="A378" t="s">
        <v>57</v>
      </c>
      <c r="B378" t="s">
        <v>694</v>
      </c>
      <c r="C378" t="s">
        <v>580</v>
      </c>
      <c r="D378" t="s">
        <v>581</v>
      </c>
      <c r="E378" s="2">
        <v>9.0039999999999996</v>
      </c>
      <c r="F378" s="2">
        <v>2.7E-2</v>
      </c>
      <c r="G378" s="2">
        <v>1.5745</v>
      </c>
      <c r="H378" s="2">
        <v>-1.6729999999999901</v>
      </c>
      <c r="I378" s="1">
        <v>0.84823411816970196</v>
      </c>
      <c r="J378" s="1">
        <v>0.87011328298533996</v>
      </c>
      <c r="K378" s="1">
        <v>0.62683714645342803</v>
      </c>
      <c r="L378" s="1">
        <v>0.59300958833111195</v>
      </c>
      <c r="P378" s="1">
        <f>I378-'Passo 2'!I378</f>
        <v>7.9353620613060949E-2</v>
      </c>
      <c r="Q378" s="1">
        <f>J378-'Passo 2'!J378</f>
        <v>7.5521990226566915E-2</v>
      </c>
      <c r="R378" s="1">
        <f t="shared" si="21"/>
        <v>7.6374999999999957</v>
      </c>
      <c r="S378">
        <f t="shared" si="20"/>
        <v>7.8345000000000002</v>
      </c>
      <c r="T378" s="1">
        <f t="shared" si="22"/>
        <v>5.6440416666666655</v>
      </c>
      <c r="U378" s="1">
        <f t="shared" si="23"/>
        <v>5.3394583333333321</v>
      </c>
    </row>
    <row r="379" spans="1:21" x14ac:dyDescent="0.3">
      <c r="A379" t="s">
        <v>57</v>
      </c>
      <c r="B379" t="s">
        <v>695</v>
      </c>
      <c r="C379" t="s">
        <v>580</v>
      </c>
      <c r="D379" t="s">
        <v>581</v>
      </c>
      <c r="E379" s="2">
        <v>7.5579999999999998</v>
      </c>
      <c r="F379" s="2">
        <v>0.161</v>
      </c>
      <c r="G379" s="2">
        <v>1.0827499999999901</v>
      </c>
      <c r="H379" s="2">
        <v>-1.6187499999999999</v>
      </c>
      <c r="I379" s="1">
        <v>0.77586663138396395</v>
      </c>
      <c r="J379" s="1">
        <v>0.91770309605715705</v>
      </c>
      <c r="K379" s="1">
        <v>0.57513010496604</v>
      </c>
      <c r="L379" s="1">
        <v>0.62909058833906595</v>
      </c>
      <c r="P379" s="1">
        <f>I379-'Passo 2'!I379</f>
        <v>1.4289494575284944E-2</v>
      </c>
      <c r="Q379" s="1">
        <f>J379-'Passo 2'!J379</f>
        <v>8.0246096851018023E-2</v>
      </c>
      <c r="R379" s="1">
        <f t="shared" si="21"/>
        <v>5.863999999999999</v>
      </c>
      <c r="S379">
        <f t="shared" si="20"/>
        <v>6.9359999999999928</v>
      </c>
      <c r="T379" s="1">
        <f t="shared" si="22"/>
        <v>4.34683333333333</v>
      </c>
      <c r="U379" s="1">
        <f t="shared" si="23"/>
        <v>4.7546666666666599</v>
      </c>
    </row>
    <row r="380" spans="1:21" x14ac:dyDescent="0.3">
      <c r="A380" t="s">
        <v>57</v>
      </c>
      <c r="B380" t="s">
        <v>283</v>
      </c>
      <c r="C380" t="s">
        <v>574</v>
      </c>
      <c r="D380" t="s">
        <v>575</v>
      </c>
      <c r="E380" s="2">
        <v>482.40300000000002</v>
      </c>
      <c r="F380" s="2">
        <v>0</v>
      </c>
      <c r="G380" s="2">
        <v>95.390749999999997</v>
      </c>
      <c r="H380" s="2">
        <v>-113.6005</v>
      </c>
      <c r="I380" s="1">
        <v>0.89548157868006595</v>
      </c>
      <c r="J380" s="1">
        <v>0.97097758513110399</v>
      </c>
      <c r="K380" s="1">
        <v>0.58696448018085701</v>
      </c>
      <c r="L380" s="1">
        <v>0.77949468363031205</v>
      </c>
      <c r="P380" s="1">
        <f>I380-'Passo 2'!I380</f>
        <v>2.3818259836689837E-3</v>
      </c>
      <c r="Q380" s="1">
        <f>J380-'Passo 2'!J380</f>
        <v>4.4796570502260158E-3</v>
      </c>
      <c r="R380" s="1">
        <f t="shared" si="21"/>
        <v>431.98299999999989</v>
      </c>
      <c r="S380">
        <f t="shared" si="20"/>
        <v>468.40249999999997</v>
      </c>
      <c r="T380" s="1">
        <f t="shared" si="22"/>
        <v>283.15342613268598</v>
      </c>
      <c r="U380" s="1">
        <f t="shared" si="23"/>
        <v>376.03057386731342</v>
      </c>
    </row>
    <row r="381" spans="1:21" x14ac:dyDescent="0.3">
      <c r="A381" t="s">
        <v>57</v>
      </c>
      <c r="B381" t="s">
        <v>696</v>
      </c>
      <c r="C381" t="s">
        <v>34</v>
      </c>
      <c r="D381" t="s">
        <v>35</v>
      </c>
      <c r="E381" s="2">
        <v>48.704999999999998</v>
      </c>
      <c r="F381" s="2">
        <v>0</v>
      </c>
      <c r="G381" s="2">
        <v>11.7105</v>
      </c>
      <c r="H381" s="2">
        <v>-11.657500000000001</v>
      </c>
      <c r="I381" s="1">
        <v>0.98087465352633196</v>
      </c>
      <c r="J381" s="1">
        <v>0.97869828559696104</v>
      </c>
      <c r="K381" s="1">
        <v>0.87771623740653604</v>
      </c>
      <c r="L381" s="1">
        <v>0.58185670171675596</v>
      </c>
      <c r="P381" s="1">
        <f>I381-'Passo 2'!I381</f>
        <v>3.2645518940559448E-3</v>
      </c>
      <c r="Q381" s="1">
        <f>J381-'Passo 2'!J381</f>
        <v>1.6528077199466029E-2</v>
      </c>
      <c r="R381" s="1">
        <f t="shared" si="21"/>
        <v>47.773499999999999</v>
      </c>
      <c r="S381">
        <f t="shared" si="20"/>
        <v>47.667499999999983</v>
      </c>
      <c r="T381" s="1">
        <f t="shared" si="22"/>
        <v>42.749169342885338</v>
      </c>
      <c r="U381" s="1">
        <f t="shared" si="23"/>
        <v>28.339330657114598</v>
      </c>
    </row>
    <row r="382" spans="1:21" x14ac:dyDescent="0.3">
      <c r="A382" t="s">
        <v>57</v>
      </c>
      <c r="B382" t="s">
        <v>284</v>
      </c>
      <c r="C382" t="s">
        <v>576</v>
      </c>
      <c r="D382" t="s">
        <v>583</v>
      </c>
      <c r="E382" s="2">
        <v>380.51100000000002</v>
      </c>
      <c r="F382" s="2">
        <v>0</v>
      </c>
      <c r="G382" s="2">
        <v>94.933499999999995</v>
      </c>
      <c r="H382" s="2">
        <v>-95.127750000000006</v>
      </c>
      <c r="I382" s="1">
        <v>0.99897900454914501</v>
      </c>
      <c r="J382" s="1">
        <v>1</v>
      </c>
      <c r="K382" s="1">
        <v>0.99685525561653299</v>
      </c>
      <c r="L382" s="1">
        <v>0.50212374893261102</v>
      </c>
      <c r="P382" s="1">
        <f>I382-'Passo 2'!I382</f>
        <v>1.8473841754902964E-2</v>
      </c>
      <c r="Q382" s="1">
        <f>J382-'Passo 2'!J382</f>
        <v>8.2520610442304854E-4</v>
      </c>
      <c r="R382" s="1">
        <f t="shared" si="21"/>
        <v>380.12249999999972</v>
      </c>
      <c r="S382">
        <f t="shared" si="20"/>
        <v>380.51100000000002</v>
      </c>
      <c r="T382" s="1">
        <f t="shared" si="22"/>
        <v>379.31439016990259</v>
      </c>
      <c r="U382" s="1">
        <f t="shared" si="23"/>
        <v>191.06360983009677</v>
      </c>
    </row>
    <row r="383" spans="1:21" x14ac:dyDescent="0.3">
      <c r="A383" t="s">
        <v>57</v>
      </c>
      <c r="B383" t="s">
        <v>697</v>
      </c>
      <c r="C383" t="s">
        <v>576</v>
      </c>
      <c r="D383" t="s">
        <v>14</v>
      </c>
      <c r="E383" s="2">
        <v>0</v>
      </c>
      <c r="F383" s="2">
        <v>0</v>
      </c>
      <c r="G383" s="2">
        <v>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P383" s="1">
        <f>I383-'Passo 2'!I383</f>
        <v>0</v>
      </c>
      <c r="Q383" s="1">
        <f>J383-'Passo 2'!J383</f>
        <v>0</v>
      </c>
      <c r="R383" s="1">
        <f t="shared" si="21"/>
        <v>0</v>
      </c>
      <c r="S383">
        <f t="shared" si="20"/>
        <v>0</v>
      </c>
      <c r="T383" s="1">
        <f t="shared" si="22"/>
        <v>0</v>
      </c>
      <c r="U383" s="1">
        <f t="shared" si="23"/>
        <v>0</v>
      </c>
    </row>
    <row r="384" spans="1:21" x14ac:dyDescent="0.3">
      <c r="A384" t="s">
        <v>57</v>
      </c>
      <c r="B384" t="s">
        <v>698</v>
      </c>
      <c r="C384" t="s">
        <v>580</v>
      </c>
      <c r="D384" t="s">
        <v>581</v>
      </c>
      <c r="E384" s="2">
        <v>105</v>
      </c>
      <c r="F384" s="2">
        <v>0</v>
      </c>
      <c r="G384" s="2">
        <v>26.25</v>
      </c>
      <c r="H384" s="2">
        <v>-22.25</v>
      </c>
      <c r="I384" s="1">
        <v>1</v>
      </c>
      <c r="J384" s="1">
        <v>0.92380952380952297</v>
      </c>
      <c r="K384" s="1">
        <v>0.89812326090306605</v>
      </c>
      <c r="L384" s="1">
        <v>0.52568626290645704</v>
      </c>
      <c r="P384" s="1">
        <f>I384-'Passo 2'!I384</f>
        <v>0</v>
      </c>
      <c r="Q384" s="1">
        <f>J384-'Passo 2'!J384</f>
        <v>0</v>
      </c>
      <c r="R384" s="1">
        <f t="shared" si="21"/>
        <v>105</v>
      </c>
      <c r="S384">
        <f t="shared" si="20"/>
        <v>96.999999999999915</v>
      </c>
      <c r="T384" s="1">
        <f t="shared" si="22"/>
        <v>94.30294239482194</v>
      </c>
      <c r="U384" s="1">
        <f t="shared" si="23"/>
        <v>55.197057605177989</v>
      </c>
    </row>
    <row r="385" spans="1:21" x14ac:dyDescent="0.3">
      <c r="A385" t="s">
        <v>57</v>
      </c>
      <c r="B385" t="s">
        <v>699</v>
      </c>
      <c r="C385" t="s">
        <v>580</v>
      </c>
      <c r="D385" t="s">
        <v>581</v>
      </c>
      <c r="E385" s="2">
        <v>6.2279999999999998</v>
      </c>
      <c r="F385" s="2">
        <v>3.6999999999999998E-2</v>
      </c>
      <c r="G385" s="2">
        <v>1.2815000000000001</v>
      </c>
      <c r="H385" s="2">
        <v>-1.1607499999999999</v>
      </c>
      <c r="I385" s="1">
        <v>0.90855812459858698</v>
      </c>
      <c r="J385" s="1">
        <v>0.869781631342325</v>
      </c>
      <c r="K385" s="1">
        <v>0.66902496788696197</v>
      </c>
      <c r="L385" s="1">
        <v>0.61228524405908802</v>
      </c>
      <c r="P385" s="1">
        <f>I385-'Passo 2'!I385</f>
        <v>0.16361592806679504</v>
      </c>
      <c r="Q385" s="1">
        <f>J385-'Passo 2'!J385</f>
        <v>5.8766859344894007E-2</v>
      </c>
      <c r="R385" s="1">
        <f t="shared" si="21"/>
        <v>5.6584999999999992</v>
      </c>
      <c r="S385">
        <f t="shared" si="20"/>
        <v>5.4169999999999998</v>
      </c>
      <c r="T385" s="1">
        <f t="shared" si="22"/>
        <v>4.1666874999999992</v>
      </c>
      <c r="U385" s="1">
        <f t="shared" si="23"/>
        <v>3.8133124999999999</v>
      </c>
    </row>
    <row r="386" spans="1:21" x14ac:dyDescent="0.3">
      <c r="A386" t="s">
        <v>57</v>
      </c>
      <c r="B386" t="s">
        <v>285</v>
      </c>
      <c r="C386" t="s">
        <v>576</v>
      </c>
      <c r="D386" t="s">
        <v>577</v>
      </c>
      <c r="E386" s="2">
        <v>172.44</v>
      </c>
      <c r="F386" s="2">
        <v>0</v>
      </c>
      <c r="G386" s="2">
        <v>40.727499999999999</v>
      </c>
      <c r="H386" s="2">
        <v>-40.49</v>
      </c>
      <c r="I386" s="1">
        <v>0.97236720018557099</v>
      </c>
      <c r="J386" s="1">
        <v>0.96961261888192896</v>
      </c>
      <c r="K386" s="1">
        <v>0.92308852936230701</v>
      </c>
      <c r="L386" s="1">
        <v>0.51889128970519405</v>
      </c>
      <c r="P386" s="1">
        <f>I386-'Passo 2'!I386</f>
        <v>5.5445372303409957E-2</v>
      </c>
      <c r="Q386" s="1">
        <f>J386-'Passo 2'!J386</f>
        <v>9.4873579215949411E-3</v>
      </c>
      <c r="R386" s="1">
        <f t="shared" si="21"/>
        <v>167.67499999999987</v>
      </c>
      <c r="S386">
        <f t="shared" ref="S386:S449" si="24">J386*E386</f>
        <v>167.19999999999982</v>
      </c>
      <c r="T386" s="1">
        <f t="shared" si="22"/>
        <v>159.17738600323622</v>
      </c>
      <c r="U386" s="1">
        <f t="shared" si="23"/>
        <v>89.477613996763665</v>
      </c>
    </row>
    <row r="387" spans="1:21" x14ac:dyDescent="0.3">
      <c r="A387" t="s">
        <v>57</v>
      </c>
      <c r="B387" t="s">
        <v>286</v>
      </c>
      <c r="C387" t="s">
        <v>576</v>
      </c>
      <c r="D387" t="s">
        <v>583</v>
      </c>
      <c r="E387" s="2">
        <v>49.982999999999997</v>
      </c>
      <c r="F387" s="2">
        <v>0</v>
      </c>
      <c r="G387" s="2">
        <v>12.494999999999999</v>
      </c>
      <c r="H387" s="2">
        <v>-12.495749999999999</v>
      </c>
      <c r="I387" s="1">
        <v>0.99996998979652996</v>
      </c>
      <c r="J387" s="1">
        <v>1</v>
      </c>
      <c r="K387" s="1">
        <v>0.99439491627800702</v>
      </c>
      <c r="L387" s="1">
        <v>0.50557507351852304</v>
      </c>
      <c r="P387" s="1">
        <f>I387-'Passo 2'!I387</f>
        <v>0</v>
      </c>
      <c r="Q387" s="1">
        <f>J387-'Passo 2'!J387</f>
        <v>5.0017005781999302E-5</v>
      </c>
      <c r="R387" s="1">
        <f t="shared" ref="R387:R450" si="25">I387*E387</f>
        <v>49.981499999999954</v>
      </c>
      <c r="S387">
        <f t="shared" si="24"/>
        <v>49.982999999999997</v>
      </c>
      <c r="T387" s="1">
        <f t="shared" ref="T387:T450" si="26">K387*E387</f>
        <v>49.702841100323624</v>
      </c>
      <c r="U387" s="1">
        <f t="shared" ref="U387:U450" si="27">L387*E387</f>
        <v>25.270158899676336</v>
      </c>
    </row>
    <row r="388" spans="1:21" x14ac:dyDescent="0.3">
      <c r="A388" t="s">
        <v>57</v>
      </c>
      <c r="B388" t="s">
        <v>700</v>
      </c>
      <c r="C388" t="s">
        <v>576</v>
      </c>
      <c r="D388" t="s">
        <v>577</v>
      </c>
      <c r="E388" s="2">
        <v>0</v>
      </c>
      <c r="F388" s="2">
        <v>0</v>
      </c>
      <c r="G388" s="2">
        <v>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P388" s="1">
        <f>I388-'Passo 2'!I388</f>
        <v>0</v>
      </c>
      <c r="Q388" s="1">
        <f>J388-'Passo 2'!J388</f>
        <v>0</v>
      </c>
      <c r="R388" s="1">
        <f t="shared" si="25"/>
        <v>0</v>
      </c>
      <c r="S388">
        <f t="shared" si="24"/>
        <v>0</v>
      </c>
      <c r="T388" s="1">
        <f t="shared" si="26"/>
        <v>0</v>
      </c>
      <c r="U388" s="1">
        <f t="shared" si="27"/>
        <v>0</v>
      </c>
    </row>
    <row r="389" spans="1:21" x14ac:dyDescent="0.3">
      <c r="A389" t="s">
        <v>57</v>
      </c>
      <c r="B389" t="s">
        <v>701</v>
      </c>
      <c r="C389" t="s">
        <v>576</v>
      </c>
      <c r="D389" t="s">
        <v>577</v>
      </c>
      <c r="E389" s="2">
        <v>202.52799999999999</v>
      </c>
      <c r="F389" s="2">
        <v>0</v>
      </c>
      <c r="G389" s="2">
        <v>50.631999999999998</v>
      </c>
      <c r="H389" s="2">
        <v>-50.631999999999998</v>
      </c>
      <c r="I389" s="1">
        <v>1</v>
      </c>
      <c r="J389" s="1">
        <v>1</v>
      </c>
      <c r="K389" s="1">
        <v>0.98613343259484898</v>
      </c>
      <c r="L389" s="1">
        <v>0.51386656740515102</v>
      </c>
      <c r="P389" s="1">
        <f>I389-'Passo 2'!I389</f>
        <v>4.1915191973455945E-2</v>
      </c>
      <c r="Q389" s="1">
        <f>J389-'Passo 2'!J389</f>
        <v>3.0188418391531968E-2</v>
      </c>
      <c r="R389" s="1">
        <f t="shared" si="25"/>
        <v>202.52799999999999</v>
      </c>
      <c r="S389">
        <f t="shared" si="24"/>
        <v>202.52799999999999</v>
      </c>
      <c r="T389" s="1">
        <f t="shared" si="26"/>
        <v>199.71963183656956</v>
      </c>
      <c r="U389" s="1">
        <f t="shared" si="27"/>
        <v>104.07236816343043</v>
      </c>
    </row>
    <row r="390" spans="1:21" x14ac:dyDescent="0.3">
      <c r="A390" t="s">
        <v>57</v>
      </c>
      <c r="B390" t="s">
        <v>287</v>
      </c>
      <c r="C390" t="s">
        <v>576</v>
      </c>
      <c r="D390" t="s">
        <v>589</v>
      </c>
      <c r="E390" s="2">
        <v>0</v>
      </c>
      <c r="F390" s="2">
        <v>0</v>
      </c>
      <c r="G390" s="2">
        <v>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P390" s="1">
        <f>I390-'Passo 2'!I390</f>
        <v>0</v>
      </c>
      <c r="Q390" s="1">
        <f>J390-'Passo 2'!J390</f>
        <v>0</v>
      </c>
      <c r="R390" s="1">
        <f t="shared" si="25"/>
        <v>0</v>
      </c>
      <c r="S390">
        <f t="shared" si="24"/>
        <v>0</v>
      </c>
      <c r="T390" s="1">
        <f t="shared" si="26"/>
        <v>0</v>
      </c>
      <c r="U390" s="1">
        <f t="shared" si="27"/>
        <v>0</v>
      </c>
    </row>
    <row r="391" spans="1:21" x14ac:dyDescent="0.3">
      <c r="A391" t="s">
        <v>57</v>
      </c>
      <c r="B391" t="s">
        <v>288</v>
      </c>
      <c r="C391" t="s">
        <v>576</v>
      </c>
      <c r="D391" t="s">
        <v>583</v>
      </c>
      <c r="E391" s="2">
        <v>160.072</v>
      </c>
      <c r="F391" s="2">
        <v>0</v>
      </c>
      <c r="G391" s="2">
        <v>37.665999999999997</v>
      </c>
      <c r="H391" s="2">
        <v>-40.018000000000001</v>
      </c>
      <c r="I391" s="1">
        <v>0.97061322404917705</v>
      </c>
      <c r="J391" s="1">
        <v>1</v>
      </c>
      <c r="K391" s="1">
        <v>0.96703421736899597</v>
      </c>
      <c r="L391" s="1">
        <v>0.50357900668018096</v>
      </c>
      <c r="P391" s="1">
        <f>I391-'Passo 2'!I391</f>
        <v>0.10516829926533</v>
      </c>
      <c r="Q391" s="1">
        <f>J391-'Passo 2'!J391</f>
        <v>2.2599205357589969E-2</v>
      </c>
      <c r="R391" s="1">
        <f t="shared" si="25"/>
        <v>155.36799999999988</v>
      </c>
      <c r="S391">
        <f t="shared" si="24"/>
        <v>160.072</v>
      </c>
      <c r="T391" s="1">
        <f t="shared" si="26"/>
        <v>154.79510124268992</v>
      </c>
      <c r="U391" s="1">
        <f t="shared" si="27"/>
        <v>80.60889875730993</v>
      </c>
    </row>
    <row r="392" spans="1:21" x14ac:dyDescent="0.3">
      <c r="A392" t="s">
        <v>57</v>
      </c>
      <c r="B392" t="s">
        <v>702</v>
      </c>
      <c r="C392" t="s">
        <v>576</v>
      </c>
      <c r="D392" t="s">
        <v>583</v>
      </c>
      <c r="E392" s="2">
        <v>158.97800000000001</v>
      </c>
      <c r="F392" s="2">
        <v>0</v>
      </c>
      <c r="G392" s="2">
        <v>37.347249999999903</v>
      </c>
      <c r="H392" s="2">
        <v>-39.744500000000002</v>
      </c>
      <c r="I392" s="1">
        <v>0.96984173910855498</v>
      </c>
      <c r="J392" s="1">
        <v>1</v>
      </c>
      <c r="K392" s="1">
        <v>0.96628354089532797</v>
      </c>
      <c r="L392" s="1">
        <v>0.503558198213228</v>
      </c>
      <c r="P392" s="1">
        <f>I392-'Passo 2'!I392</f>
        <v>9.1069204544025006E-2</v>
      </c>
      <c r="Q392" s="1">
        <f>J392-'Passo 2'!J392</f>
        <v>1.0514033388267952E-2</v>
      </c>
      <c r="R392" s="1">
        <f t="shared" si="25"/>
        <v>154.18349999999987</v>
      </c>
      <c r="S392">
        <f t="shared" si="24"/>
        <v>158.97800000000001</v>
      </c>
      <c r="T392" s="1">
        <f t="shared" si="26"/>
        <v>153.61782476445745</v>
      </c>
      <c r="U392" s="1">
        <f t="shared" si="27"/>
        <v>80.054675235542561</v>
      </c>
    </row>
    <row r="393" spans="1:21" x14ac:dyDescent="0.3">
      <c r="A393" t="s">
        <v>57</v>
      </c>
      <c r="B393" t="s">
        <v>289</v>
      </c>
      <c r="C393" t="s">
        <v>576</v>
      </c>
      <c r="D393" t="s">
        <v>577</v>
      </c>
      <c r="E393" s="2">
        <v>559.08100000000002</v>
      </c>
      <c r="F393" s="2">
        <v>0</v>
      </c>
      <c r="G393" s="2">
        <v>126.98175000000001</v>
      </c>
      <c r="H393" s="2">
        <v>-139.77025</v>
      </c>
      <c r="I393" s="1">
        <v>0.95425170950184302</v>
      </c>
      <c r="J393" s="1">
        <v>1</v>
      </c>
      <c r="K393" s="1">
        <v>0.94618899212194696</v>
      </c>
      <c r="L393" s="1">
        <v>0.50806271737989495</v>
      </c>
      <c r="P393" s="1">
        <f>I393-'Passo 2'!I393</f>
        <v>5.1234078782860015E-2</v>
      </c>
      <c r="Q393" s="1">
        <f>J393-'Passo 2'!J393</f>
        <v>0</v>
      </c>
      <c r="R393" s="1">
        <f t="shared" si="25"/>
        <v>533.50399999999991</v>
      </c>
      <c r="S393">
        <f t="shared" si="24"/>
        <v>559.08100000000002</v>
      </c>
      <c r="T393" s="1">
        <f t="shared" si="26"/>
        <v>528.99628790453028</v>
      </c>
      <c r="U393" s="1">
        <f t="shared" si="27"/>
        <v>284.04821209546907</v>
      </c>
    </row>
    <row r="394" spans="1:21" x14ac:dyDescent="0.3">
      <c r="A394" t="s">
        <v>57</v>
      </c>
      <c r="B394" t="s">
        <v>290</v>
      </c>
      <c r="C394" t="s">
        <v>576</v>
      </c>
      <c r="D394" t="s">
        <v>583</v>
      </c>
      <c r="E394" s="2">
        <v>18.920999999999999</v>
      </c>
      <c r="F394" s="2">
        <v>0</v>
      </c>
      <c r="G394" s="2">
        <v>2.7422499999999999</v>
      </c>
      <c r="H394" s="2">
        <v>-3.1622499999999998</v>
      </c>
      <c r="I394" s="1">
        <v>0.78986311505734297</v>
      </c>
      <c r="J394" s="1">
        <v>0.83425823159452395</v>
      </c>
      <c r="K394" s="1">
        <v>0.75258041697475198</v>
      </c>
      <c r="L394" s="1">
        <v>0.37154092967711599</v>
      </c>
      <c r="P394" s="1">
        <f>I394-'Passo 2'!I394</f>
        <v>2.5130807039796976E-2</v>
      </c>
      <c r="Q394" s="1">
        <f>J394-'Passo 2'!J394</f>
        <v>5.8136462132019062E-3</v>
      </c>
      <c r="R394" s="1">
        <f t="shared" si="25"/>
        <v>14.944999999999986</v>
      </c>
      <c r="S394">
        <f t="shared" si="24"/>
        <v>15.784999999999988</v>
      </c>
      <c r="T394" s="1">
        <f t="shared" si="26"/>
        <v>14.239574069579282</v>
      </c>
      <c r="U394" s="1">
        <f t="shared" si="27"/>
        <v>7.0299259304207116</v>
      </c>
    </row>
    <row r="395" spans="1:21" x14ac:dyDescent="0.3">
      <c r="A395" t="s">
        <v>57</v>
      </c>
      <c r="B395" t="s">
        <v>703</v>
      </c>
      <c r="C395" t="s">
        <v>576</v>
      </c>
      <c r="D395" t="s">
        <v>577</v>
      </c>
      <c r="E395" s="2">
        <v>111.61</v>
      </c>
      <c r="F395" s="2">
        <v>0</v>
      </c>
      <c r="G395" s="2">
        <v>27.810749999999999</v>
      </c>
      <c r="H395" s="2">
        <v>-27.9</v>
      </c>
      <c r="I395" s="1">
        <v>0.99835588208941795</v>
      </c>
      <c r="J395" s="1">
        <v>0.99995520114684999</v>
      </c>
      <c r="K395" s="1">
        <v>0.97705906801277798</v>
      </c>
      <c r="L395" s="1">
        <v>0.52125201522349096</v>
      </c>
      <c r="P395" s="1">
        <f>I395-'Passo 2'!I395</f>
        <v>0</v>
      </c>
      <c r="Q395" s="1">
        <f>J395-'Passo 2'!J395</f>
        <v>1.8636322910129399E-3</v>
      </c>
      <c r="R395" s="1">
        <f t="shared" si="25"/>
        <v>111.42649999999993</v>
      </c>
      <c r="S395">
        <f t="shared" si="24"/>
        <v>111.60499999999993</v>
      </c>
      <c r="T395" s="1">
        <f t="shared" si="26"/>
        <v>109.04956258090616</v>
      </c>
      <c r="U395" s="1">
        <f t="shared" si="27"/>
        <v>58.176937419093825</v>
      </c>
    </row>
    <row r="396" spans="1:21" x14ac:dyDescent="0.3">
      <c r="A396" t="s">
        <v>57</v>
      </c>
      <c r="B396" t="s">
        <v>291</v>
      </c>
      <c r="C396" t="s">
        <v>576</v>
      </c>
      <c r="D396" t="s">
        <v>577</v>
      </c>
      <c r="E396" s="2">
        <v>120.521</v>
      </c>
      <c r="F396" s="2">
        <v>0</v>
      </c>
      <c r="G396" s="2">
        <v>27.271750000000001</v>
      </c>
      <c r="H396" s="2">
        <v>-27.918749999999999</v>
      </c>
      <c r="I396" s="1">
        <v>0.95256428340289201</v>
      </c>
      <c r="J396" s="1">
        <v>0.96330100148521802</v>
      </c>
      <c r="K396" s="1">
        <v>0.57299294703209902</v>
      </c>
      <c r="L396" s="1">
        <v>0.84287233785601101</v>
      </c>
      <c r="P396" s="1">
        <f>I396-'Passo 2'!I396</f>
        <v>2.4767467910160601E-3</v>
      </c>
      <c r="Q396" s="1">
        <f>J396-'Passo 2'!J396</f>
        <v>2.8791662863729695E-3</v>
      </c>
      <c r="R396" s="1">
        <f t="shared" si="25"/>
        <v>114.80399999999995</v>
      </c>
      <c r="S396">
        <f t="shared" si="24"/>
        <v>116.09799999999996</v>
      </c>
      <c r="T396" s="1">
        <f t="shared" si="26"/>
        <v>69.057682969255609</v>
      </c>
      <c r="U396" s="1">
        <f t="shared" si="27"/>
        <v>101.5838170307443</v>
      </c>
    </row>
    <row r="397" spans="1:21" x14ac:dyDescent="0.3">
      <c r="A397" t="s">
        <v>57</v>
      </c>
      <c r="B397" t="s">
        <v>704</v>
      </c>
      <c r="C397" t="s">
        <v>574</v>
      </c>
      <c r="D397" t="s">
        <v>575</v>
      </c>
      <c r="E397" s="2">
        <v>2489.5219999999999</v>
      </c>
      <c r="F397" s="2">
        <v>847.14499999999998</v>
      </c>
      <c r="G397" s="2">
        <v>223.86399999999901</v>
      </c>
      <c r="H397" s="2">
        <v>-217.0575</v>
      </c>
      <c r="I397" s="1">
        <v>0.50970286665472297</v>
      </c>
      <c r="J397" s="1">
        <v>0.50423474867866203</v>
      </c>
      <c r="K397" s="1">
        <v>0.424680150888533</v>
      </c>
      <c r="L397" s="1">
        <v>0.25939956401255998</v>
      </c>
      <c r="P397" s="1">
        <f>I397-'Passo 2'!I397</f>
        <v>4.0197676501753987E-2</v>
      </c>
      <c r="Q397" s="1">
        <f>J397-'Passo 2'!J397</f>
        <v>4.613355495553001E-2</v>
      </c>
      <c r="R397" s="1">
        <f t="shared" si="25"/>
        <v>1268.9164999999991</v>
      </c>
      <c r="S397">
        <f t="shared" si="24"/>
        <v>1255.3035</v>
      </c>
      <c r="T397" s="1">
        <f t="shared" si="26"/>
        <v>1057.2505786003223</v>
      </c>
      <c r="U397" s="1">
        <f t="shared" si="27"/>
        <v>645.78092139967634</v>
      </c>
    </row>
    <row r="398" spans="1:21" x14ac:dyDescent="0.3">
      <c r="A398" t="s">
        <v>292</v>
      </c>
      <c r="B398" t="s">
        <v>293</v>
      </c>
      <c r="C398" t="s">
        <v>574</v>
      </c>
      <c r="D398" t="s">
        <v>575</v>
      </c>
      <c r="E398" s="2">
        <v>98.483000000000004</v>
      </c>
      <c r="F398" s="2">
        <v>0</v>
      </c>
      <c r="G398" s="2">
        <v>24.594000000000001</v>
      </c>
      <c r="H398" s="2">
        <v>-24.524999999999999</v>
      </c>
      <c r="I398" s="1">
        <v>0.999456759034554</v>
      </c>
      <c r="J398" s="1">
        <v>0.99805550196480597</v>
      </c>
      <c r="K398" s="1">
        <v>0.87537486304783996</v>
      </c>
      <c r="L398" s="1">
        <v>0.62213739795152001</v>
      </c>
      <c r="P398" s="1">
        <f>I398-'Passo 2'!I398</f>
        <v>6.4478133281890004E-3</v>
      </c>
      <c r="Q398" s="1">
        <f>J398-'Passo 2'!J398</f>
        <v>1.1052668988556946E-2</v>
      </c>
      <c r="R398" s="1">
        <f t="shared" si="25"/>
        <v>98.42949999999999</v>
      </c>
      <c r="S398">
        <f t="shared" si="24"/>
        <v>98.291499999999985</v>
      </c>
      <c r="T398" s="1">
        <f t="shared" si="26"/>
        <v>86.209542637540423</v>
      </c>
      <c r="U398" s="1">
        <f t="shared" si="27"/>
        <v>61.26995736245955</v>
      </c>
    </row>
    <row r="399" spans="1:21" x14ac:dyDescent="0.3">
      <c r="A399" t="s">
        <v>292</v>
      </c>
      <c r="B399" t="s">
        <v>705</v>
      </c>
      <c r="C399" t="s">
        <v>576</v>
      </c>
      <c r="D399" t="s">
        <v>577</v>
      </c>
      <c r="E399" s="2">
        <v>465.154</v>
      </c>
      <c r="F399" s="2">
        <v>0</v>
      </c>
      <c r="G399" s="2">
        <v>104.78100000000001</v>
      </c>
      <c r="H399" s="2">
        <v>-116.2885</v>
      </c>
      <c r="I399" s="1">
        <v>0.95052176268504596</v>
      </c>
      <c r="J399" s="1">
        <v>1</v>
      </c>
      <c r="K399" s="1">
        <v>0.94938792707034403</v>
      </c>
      <c r="L399" s="1">
        <v>0.50113383561470104</v>
      </c>
      <c r="P399" s="1">
        <f>I399-'Passo 2'!I399</f>
        <v>0.1585464168855909</v>
      </c>
      <c r="Q399" s="1">
        <f>J399-'Passo 2'!J399</f>
        <v>3.3644771409102603E-4</v>
      </c>
      <c r="R399" s="1">
        <f t="shared" si="25"/>
        <v>442.13899999999984</v>
      </c>
      <c r="S399">
        <f t="shared" si="24"/>
        <v>465.154</v>
      </c>
      <c r="T399" s="1">
        <f t="shared" si="26"/>
        <v>441.61159182847882</v>
      </c>
      <c r="U399" s="1">
        <f t="shared" si="27"/>
        <v>233.10440817152065</v>
      </c>
    </row>
    <row r="400" spans="1:21" x14ac:dyDescent="0.3">
      <c r="A400" t="s">
        <v>292</v>
      </c>
      <c r="B400" t="s">
        <v>294</v>
      </c>
      <c r="C400" t="s">
        <v>574</v>
      </c>
      <c r="D400" t="s">
        <v>575</v>
      </c>
      <c r="E400" s="2">
        <v>0</v>
      </c>
      <c r="F400" s="2">
        <v>0</v>
      </c>
      <c r="G400" s="2">
        <v>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P400" s="1">
        <f>I400-'Passo 2'!I400</f>
        <v>0</v>
      </c>
      <c r="Q400" s="1">
        <f>J400-'Passo 2'!J400</f>
        <v>0</v>
      </c>
      <c r="R400" s="1">
        <f t="shared" si="25"/>
        <v>0</v>
      </c>
      <c r="S400">
        <f t="shared" si="24"/>
        <v>0</v>
      </c>
      <c r="T400" s="1">
        <f t="shared" si="26"/>
        <v>0</v>
      </c>
      <c r="U400" s="1">
        <f t="shared" si="27"/>
        <v>0</v>
      </c>
    </row>
    <row r="401" spans="1:21" x14ac:dyDescent="0.3">
      <c r="A401" t="s">
        <v>292</v>
      </c>
      <c r="B401" t="s">
        <v>706</v>
      </c>
      <c r="C401" t="s">
        <v>574</v>
      </c>
      <c r="D401" t="s">
        <v>575</v>
      </c>
      <c r="E401" s="2">
        <v>331.76499999999999</v>
      </c>
      <c r="F401" s="2">
        <v>0</v>
      </c>
      <c r="G401" s="2">
        <v>78.62</v>
      </c>
      <c r="H401" s="2">
        <v>-72.8</v>
      </c>
      <c r="I401" s="1">
        <v>0.97394993444154698</v>
      </c>
      <c r="J401" s="1">
        <v>0.93886485916235796</v>
      </c>
      <c r="K401" s="1">
        <v>0.69739569248557098</v>
      </c>
      <c r="L401" s="1">
        <v>0.71541910111833396</v>
      </c>
      <c r="P401" s="1">
        <f>I401-'Passo 2'!I401</f>
        <v>3.0524618329239028E-2</v>
      </c>
      <c r="Q401" s="1">
        <f>J401-'Passo 2'!J401</f>
        <v>5.897246544993906E-3</v>
      </c>
      <c r="R401" s="1">
        <f t="shared" si="25"/>
        <v>323.12249999999983</v>
      </c>
      <c r="S401">
        <f t="shared" si="24"/>
        <v>311.48249999999967</v>
      </c>
      <c r="T401" s="1">
        <f t="shared" si="26"/>
        <v>231.37148191747545</v>
      </c>
      <c r="U401" s="1">
        <f t="shared" si="27"/>
        <v>237.35101808252406</v>
      </c>
    </row>
    <row r="402" spans="1:21" x14ac:dyDescent="0.3">
      <c r="A402" t="s">
        <v>292</v>
      </c>
      <c r="B402" t="s">
        <v>295</v>
      </c>
      <c r="C402" t="s">
        <v>576</v>
      </c>
      <c r="D402" t="s">
        <v>577</v>
      </c>
      <c r="E402" s="2">
        <v>9.6969999999999992</v>
      </c>
      <c r="F402" s="2">
        <v>0</v>
      </c>
      <c r="G402" s="2">
        <v>2.3995000000000002</v>
      </c>
      <c r="H402" s="2">
        <v>-2.39425</v>
      </c>
      <c r="I402" s="1">
        <v>0.99489532845209805</v>
      </c>
      <c r="J402" s="1">
        <v>0.993812519335877</v>
      </c>
      <c r="K402" s="1">
        <v>0.86217766029129195</v>
      </c>
      <c r="L402" s="1">
        <v>0.62653018749668299</v>
      </c>
      <c r="P402" s="1">
        <f>I402-'Passo 2'!I402</f>
        <v>6.2390430029900523E-3</v>
      </c>
      <c r="Q402" s="1">
        <f>J402-'Passo 2'!J402</f>
        <v>2.2171805713110393E-3</v>
      </c>
      <c r="R402" s="1">
        <f t="shared" si="25"/>
        <v>9.6474999999999937</v>
      </c>
      <c r="S402">
        <f t="shared" si="24"/>
        <v>9.6369999999999987</v>
      </c>
      <c r="T402" s="1">
        <f t="shared" si="26"/>
        <v>8.3605367718446573</v>
      </c>
      <c r="U402" s="1">
        <f t="shared" si="27"/>
        <v>6.0754632281553347</v>
      </c>
    </row>
    <row r="403" spans="1:21" x14ac:dyDescent="0.3">
      <c r="A403" t="s">
        <v>292</v>
      </c>
      <c r="B403" t="s">
        <v>296</v>
      </c>
      <c r="C403" t="s">
        <v>574</v>
      </c>
      <c r="D403" t="s">
        <v>575</v>
      </c>
      <c r="E403" s="2">
        <v>692.64099999999996</v>
      </c>
      <c r="F403" s="2">
        <v>0</v>
      </c>
      <c r="G403" s="2">
        <v>172.52975000000001</v>
      </c>
      <c r="H403" s="2">
        <v>-172.54650000000001</v>
      </c>
      <c r="I403" s="1">
        <v>0.99817943205787696</v>
      </c>
      <c r="J403" s="1">
        <v>0.99822779766141401</v>
      </c>
      <c r="K403" s="1">
        <v>0.70581804026639305</v>
      </c>
      <c r="L403" s="1">
        <v>0.79058918945289802</v>
      </c>
      <c r="P403" s="1">
        <f>I403-'Passo 2'!I403</f>
        <v>4.6921854178982869E-5</v>
      </c>
      <c r="Q403" s="1">
        <f>J403-'Passo 2'!J403</f>
        <v>8.1860588674298462E-4</v>
      </c>
      <c r="R403" s="1">
        <f t="shared" si="25"/>
        <v>691.37999999999988</v>
      </c>
      <c r="S403">
        <f t="shared" si="24"/>
        <v>691.41349999999943</v>
      </c>
      <c r="T403" s="1">
        <f t="shared" si="26"/>
        <v>488.8785132281547</v>
      </c>
      <c r="U403" s="1">
        <f t="shared" si="27"/>
        <v>547.59448677184469</v>
      </c>
    </row>
    <row r="404" spans="1:21" x14ac:dyDescent="0.3">
      <c r="A404" t="s">
        <v>292</v>
      </c>
      <c r="B404" t="s">
        <v>297</v>
      </c>
      <c r="C404" t="s">
        <v>576</v>
      </c>
      <c r="D404" t="s">
        <v>577</v>
      </c>
      <c r="E404" s="2">
        <v>0.1</v>
      </c>
      <c r="F404" s="2">
        <v>0</v>
      </c>
      <c r="G404" s="2">
        <v>2.5000000000000001E-2</v>
      </c>
      <c r="H404" s="2">
        <v>-2.5000000000000001E-2</v>
      </c>
      <c r="I404" s="1">
        <v>1</v>
      </c>
      <c r="J404" s="1">
        <v>1</v>
      </c>
      <c r="K404" s="1">
        <v>0.99991909385113198</v>
      </c>
      <c r="L404" s="1">
        <v>0.50008090614886702</v>
      </c>
      <c r="P404" s="1">
        <f>I404-'Passo 2'!I404</f>
        <v>0</v>
      </c>
      <c r="Q404" s="1">
        <f>J404-'Passo 2'!J404</f>
        <v>0</v>
      </c>
      <c r="R404" s="1">
        <f t="shared" si="25"/>
        <v>0.1</v>
      </c>
      <c r="S404">
        <f t="shared" si="24"/>
        <v>0.1</v>
      </c>
      <c r="T404" s="1">
        <f t="shared" si="26"/>
        <v>9.9991909385113209E-2</v>
      </c>
      <c r="U404" s="1">
        <f t="shared" si="27"/>
        <v>5.0008090614886702E-2</v>
      </c>
    </row>
    <row r="405" spans="1:21" x14ac:dyDescent="0.3">
      <c r="A405" t="s">
        <v>292</v>
      </c>
      <c r="B405" t="s">
        <v>298</v>
      </c>
      <c r="C405" t="s">
        <v>576</v>
      </c>
      <c r="D405" t="s">
        <v>598</v>
      </c>
      <c r="E405" s="2">
        <v>13.125999999999999</v>
      </c>
      <c r="F405" s="2">
        <v>0</v>
      </c>
      <c r="G405" s="2">
        <v>2.12</v>
      </c>
      <c r="H405" s="2">
        <v>-2.12575</v>
      </c>
      <c r="I405" s="1">
        <v>0.82302300777083603</v>
      </c>
      <c r="J405" s="1">
        <v>0.82389913149474303</v>
      </c>
      <c r="K405" s="1">
        <v>0.70395372557837399</v>
      </c>
      <c r="L405" s="1">
        <v>0.44296841368720402</v>
      </c>
      <c r="P405" s="1">
        <f>I405-'Passo 2'!I405</f>
        <v>1.1084869724211077E-2</v>
      </c>
      <c r="Q405" s="1">
        <f>J405-'Passo 2'!J405</f>
        <v>1.6341612067652056E-2</v>
      </c>
      <c r="R405" s="1">
        <f t="shared" si="25"/>
        <v>10.802999999999994</v>
      </c>
      <c r="S405">
        <f t="shared" si="24"/>
        <v>10.814499999999997</v>
      </c>
      <c r="T405" s="1">
        <f t="shared" si="26"/>
        <v>9.2400966019417368</v>
      </c>
      <c r="U405" s="1">
        <f t="shared" si="27"/>
        <v>5.8144033980582401</v>
      </c>
    </row>
    <row r="406" spans="1:21" x14ac:dyDescent="0.3">
      <c r="A406" t="s">
        <v>292</v>
      </c>
      <c r="B406" t="s">
        <v>299</v>
      </c>
      <c r="C406" t="s">
        <v>576</v>
      </c>
      <c r="D406" t="s">
        <v>598</v>
      </c>
      <c r="E406" s="2">
        <v>31.344999999999999</v>
      </c>
      <c r="F406" s="2">
        <v>0</v>
      </c>
      <c r="G406" s="2">
        <v>6.8639999999999999</v>
      </c>
      <c r="H406" s="2">
        <v>-7.056</v>
      </c>
      <c r="I406" s="1">
        <v>0.93796458765353297</v>
      </c>
      <c r="J406" s="1">
        <v>0.95021534535013497</v>
      </c>
      <c r="K406" s="1">
        <v>0.88520419220069302</v>
      </c>
      <c r="L406" s="1">
        <v>0.50297574080297502</v>
      </c>
      <c r="P406" s="1">
        <f>I406-'Passo 2'!I406</f>
        <v>2.0912426224277914E-2</v>
      </c>
      <c r="Q406" s="1">
        <f>J406-'Passo 2'!J406</f>
        <v>1.8344233530067977E-2</v>
      </c>
      <c r="R406" s="1">
        <f t="shared" si="25"/>
        <v>29.40049999999999</v>
      </c>
      <c r="S406">
        <f t="shared" si="24"/>
        <v>29.78449999999998</v>
      </c>
      <c r="T406" s="1">
        <f t="shared" si="26"/>
        <v>27.746725404530721</v>
      </c>
      <c r="U406" s="1">
        <f t="shared" si="27"/>
        <v>15.765774595469251</v>
      </c>
    </row>
    <row r="407" spans="1:21" x14ac:dyDescent="0.3">
      <c r="A407" t="s">
        <v>292</v>
      </c>
      <c r="B407" t="s">
        <v>300</v>
      </c>
      <c r="C407" t="s">
        <v>574</v>
      </c>
      <c r="D407" t="s">
        <v>575</v>
      </c>
      <c r="E407" s="2">
        <v>878.35400000000004</v>
      </c>
      <c r="F407" s="2">
        <v>0</v>
      </c>
      <c r="G407" s="2">
        <v>219.35</v>
      </c>
      <c r="H407" s="2">
        <v>-219.327</v>
      </c>
      <c r="I407" s="1">
        <v>0.99945693877411601</v>
      </c>
      <c r="J407" s="1">
        <v>0.999404568089859</v>
      </c>
      <c r="K407" s="1">
        <v>0.71420701382255103</v>
      </c>
      <c r="L407" s="1">
        <v>0.78465449304142298</v>
      </c>
      <c r="P407" s="1">
        <f>I407-'Passo 2'!I407</f>
        <v>1.102630602240029E-3</v>
      </c>
      <c r="Q407" s="1">
        <f>J407-'Passo 2'!J407</f>
        <v>1.8045116206000245E-3</v>
      </c>
      <c r="R407" s="1">
        <f t="shared" si="25"/>
        <v>877.87699999999995</v>
      </c>
      <c r="S407">
        <f t="shared" si="24"/>
        <v>877.83100000000002</v>
      </c>
      <c r="T407" s="1">
        <f t="shared" si="26"/>
        <v>627.32658741909302</v>
      </c>
      <c r="U407" s="1">
        <f t="shared" si="27"/>
        <v>689.20441258090602</v>
      </c>
    </row>
    <row r="408" spans="1:21" x14ac:dyDescent="0.3">
      <c r="A408" t="s">
        <v>292</v>
      </c>
      <c r="B408" t="s">
        <v>301</v>
      </c>
      <c r="C408" t="s">
        <v>574</v>
      </c>
      <c r="D408" t="s">
        <v>575</v>
      </c>
      <c r="E408" s="2">
        <v>38.875999999999998</v>
      </c>
      <c r="F408" s="2">
        <v>0</v>
      </c>
      <c r="G408" s="2">
        <v>9.7189999999999994</v>
      </c>
      <c r="H408" s="2">
        <v>-7.6769999999999996</v>
      </c>
      <c r="I408" s="1">
        <v>1</v>
      </c>
      <c r="J408" s="1">
        <v>0.89494803992180205</v>
      </c>
      <c r="K408" s="1">
        <v>0.89422726220051996</v>
      </c>
      <c r="L408" s="1">
        <v>0.50072077772128198</v>
      </c>
      <c r="P408" s="1">
        <f>I408-'Passo 2'!I408</f>
        <v>2.4565284494289963E-2</v>
      </c>
      <c r="Q408" s="1">
        <f>J408-'Passo 2'!J408</f>
        <v>-4.4912027986418912E-2</v>
      </c>
      <c r="R408" s="1">
        <f t="shared" si="25"/>
        <v>38.875999999999998</v>
      </c>
      <c r="S408">
        <f t="shared" si="24"/>
        <v>34.791999999999973</v>
      </c>
      <c r="T408" s="1">
        <f t="shared" si="26"/>
        <v>34.763979045307408</v>
      </c>
      <c r="U408" s="1">
        <f t="shared" si="27"/>
        <v>19.466020954692556</v>
      </c>
    </row>
    <row r="409" spans="1:21" x14ac:dyDescent="0.3">
      <c r="A409" t="s">
        <v>292</v>
      </c>
      <c r="B409" t="s">
        <v>302</v>
      </c>
      <c r="C409" t="s">
        <v>576</v>
      </c>
      <c r="D409" t="s">
        <v>595</v>
      </c>
      <c r="E409" s="2">
        <v>355.61599999999999</v>
      </c>
      <c r="F409" s="2">
        <v>0</v>
      </c>
      <c r="G409" s="2">
        <v>62.176499999999997</v>
      </c>
      <c r="H409" s="2">
        <v>-81.399749999999997</v>
      </c>
      <c r="I409" s="1">
        <v>0.84968336632772401</v>
      </c>
      <c r="J409" s="1">
        <v>0.95779576846935999</v>
      </c>
      <c r="K409" s="1">
        <v>0.66545028573146203</v>
      </c>
      <c r="L409" s="1">
        <v>0.64202884906562196</v>
      </c>
      <c r="P409" s="1">
        <f>I409-'Passo 2'!I409</f>
        <v>0.13463679924412897</v>
      </c>
      <c r="Q409" s="1">
        <f>J409-'Passo 2'!J409</f>
        <v>6.5084248177810222E-3</v>
      </c>
      <c r="R409" s="1">
        <f t="shared" si="25"/>
        <v>302.16099999999989</v>
      </c>
      <c r="S409">
        <f t="shared" si="24"/>
        <v>340.6074999999999</v>
      </c>
      <c r="T409" s="1">
        <f t="shared" si="26"/>
        <v>236.64476881067958</v>
      </c>
      <c r="U409" s="1">
        <f t="shared" si="27"/>
        <v>228.31573118932022</v>
      </c>
    </row>
    <row r="410" spans="1:21" x14ac:dyDescent="0.3">
      <c r="A410" t="s">
        <v>292</v>
      </c>
      <c r="B410" t="s">
        <v>303</v>
      </c>
      <c r="C410" t="s">
        <v>576</v>
      </c>
      <c r="D410" t="s">
        <v>589</v>
      </c>
      <c r="E410" s="2">
        <v>251.523</v>
      </c>
      <c r="F410" s="2">
        <v>0</v>
      </c>
      <c r="G410" s="2">
        <v>59.963749999999997</v>
      </c>
      <c r="H410" s="2">
        <v>-62.372500000000002</v>
      </c>
      <c r="I410" s="1">
        <v>0.97680530209960903</v>
      </c>
      <c r="J410" s="1">
        <v>0.99595862008643299</v>
      </c>
      <c r="K410" s="1">
        <v>0.96311595954854001</v>
      </c>
      <c r="L410" s="1">
        <v>0.50964796263750201</v>
      </c>
      <c r="P410" s="1">
        <f>I410-'Passo 2'!I410</f>
        <v>2.1449330677512979E-2</v>
      </c>
      <c r="Q410" s="1">
        <f>J410-'Passo 2'!J410</f>
        <v>0</v>
      </c>
      <c r="R410" s="1">
        <f t="shared" si="25"/>
        <v>245.68899999999996</v>
      </c>
      <c r="S410">
        <f t="shared" si="24"/>
        <v>250.50649999999987</v>
      </c>
      <c r="T410" s="1">
        <f t="shared" si="26"/>
        <v>242.24581549352743</v>
      </c>
      <c r="U410" s="1">
        <f t="shared" si="27"/>
        <v>128.18818450647242</v>
      </c>
    </row>
    <row r="411" spans="1:21" x14ac:dyDescent="0.3">
      <c r="A411" t="s">
        <v>292</v>
      </c>
      <c r="B411" t="s">
        <v>304</v>
      </c>
      <c r="C411" t="s">
        <v>574</v>
      </c>
      <c r="D411" t="s">
        <v>575</v>
      </c>
      <c r="E411" s="2">
        <v>128.816</v>
      </c>
      <c r="F411" s="2">
        <v>0</v>
      </c>
      <c r="G411" s="2">
        <v>32.061250000000001</v>
      </c>
      <c r="H411" s="2">
        <v>-32.024999999999999</v>
      </c>
      <c r="I411" s="1">
        <v>0.997783660414855</v>
      </c>
      <c r="J411" s="1">
        <v>0.99722084213141204</v>
      </c>
      <c r="K411" s="1">
        <v>0.75714460032101105</v>
      </c>
      <c r="L411" s="1">
        <v>0.73785990222525499</v>
      </c>
      <c r="P411" s="1">
        <f>I411-'Passo 2'!I411</f>
        <v>1.6302322692895999E-4</v>
      </c>
      <c r="Q411" s="1">
        <f>J411-'Passo 2'!J411</f>
        <v>5.6669978884604788E-4</v>
      </c>
      <c r="R411" s="1">
        <f t="shared" si="25"/>
        <v>128.53049999999996</v>
      </c>
      <c r="S411">
        <f t="shared" si="24"/>
        <v>128.45799999999997</v>
      </c>
      <c r="T411" s="1">
        <f t="shared" si="26"/>
        <v>97.532338834951361</v>
      </c>
      <c r="U411" s="1">
        <f t="shared" si="27"/>
        <v>95.048161165048455</v>
      </c>
    </row>
    <row r="412" spans="1:21" x14ac:dyDescent="0.3">
      <c r="A412" t="s">
        <v>292</v>
      </c>
      <c r="B412" t="s">
        <v>707</v>
      </c>
      <c r="C412" t="s">
        <v>580</v>
      </c>
      <c r="D412" t="s">
        <v>581</v>
      </c>
      <c r="E412" s="2">
        <v>118.60299999999999</v>
      </c>
      <c r="F412" s="2">
        <v>0</v>
      </c>
      <c r="G412" s="2">
        <v>28.815999999999999</v>
      </c>
      <c r="H412" s="2">
        <v>-28.296500000000002</v>
      </c>
      <c r="I412" s="1">
        <v>0.98592362756422702</v>
      </c>
      <c r="J412" s="1">
        <v>0.97716330952842601</v>
      </c>
      <c r="K412" s="1">
        <v>0.79132502897062595</v>
      </c>
      <c r="L412" s="1">
        <v>0.67176190812202696</v>
      </c>
      <c r="P412" s="1">
        <f>I412-'Passo 2'!I412</f>
        <v>3.8430731094492021E-2</v>
      </c>
      <c r="Q412" s="1">
        <f>J412-'Passo 2'!J412</f>
        <v>1.1930558248947953E-2</v>
      </c>
      <c r="R412" s="1">
        <f t="shared" si="25"/>
        <v>116.93350000000001</v>
      </c>
      <c r="S412">
        <f t="shared" si="24"/>
        <v>115.89449999999991</v>
      </c>
      <c r="T412" s="1">
        <f t="shared" si="26"/>
        <v>93.853522411003141</v>
      </c>
      <c r="U412" s="1">
        <f t="shared" si="27"/>
        <v>79.672977588996758</v>
      </c>
    </row>
    <row r="413" spans="1:21" x14ac:dyDescent="0.3">
      <c r="A413" t="s">
        <v>292</v>
      </c>
      <c r="B413" t="s">
        <v>305</v>
      </c>
      <c r="C413" t="s">
        <v>574</v>
      </c>
      <c r="D413" t="s">
        <v>575</v>
      </c>
      <c r="E413" s="2">
        <v>30.146999999999998</v>
      </c>
      <c r="F413" s="2">
        <v>0</v>
      </c>
      <c r="G413" s="2">
        <v>7.5095000000000001</v>
      </c>
      <c r="H413" s="2">
        <v>-6.1172500000000003</v>
      </c>
      <c r="I413" s="1">
        <v>0.99819219159452</v>
      </c>
      <c r="J413" s="1">
        <v>0.905828108932895</v>
      </c>
      <c r="K413" s="1">
        <v>0.91985516519217603</v>
      </c>
      <c r="L413" s="1">
        <v>0.48416513533523903</v>
      </c>
      <c r="P413" s="1">
        <f>I413-'Passo 2'!I413</f>
        <v>0.11803827909908104</v>
      </c>
      <c r="Q413" s="1">
        <f>J413-'Passo 2'!J413</f>
        <v>7.2196238431684989E-2</v>
      </c>
      <c r="R413" s="1">
        <f t="shared" si="25"/>
        <v>30.092499999999994</v>
      </c>
      <c r="S413">
        <f t="shared" si="24"/>
        <v>27.307999999999986</v>
      </c>
      <c r="T413" s="1">
        <f t="shared" si="26"/>
        <v>27.730873665048531</v>
      </c>
      <c r="U413" s="1">
        <f t="shared" si="27"/>
        <v>14.59612633495145</v>
      </c>
    </row>
    <row r="414" spans="1:21" x14ac:dyDescent="0.3">
      <c r="A414" t="s">
        <v>292</v>
      </c>
      <c r="B414" t="s">
        <v>306</v>
      </c>
      <c r="C414" t="s">
        <v>580</v>
      </c>
      <c r="D414" t="s">
        <v>581</v>
      </c>
      <c r="E414" s="2">
        <v>90.988</v>
      </c>
      <c r="F414" s="2">
        <v>0</v>
      </c>
      <c r="G414" s="2">
        <v>22.44725</v>
      </c>
      <c r="H414" s="2">
        <v>-21.493499999999901</v>
      </c>
      <c r="I414" s="1">
        <v>0.99341121906185403</v>
      </c>
      <c r="J414" s="1">
        <v>0.97244691607684497</v>
      </c>
      <c r="K414" s="1">
        <v>0.87228359348001705</v>
      </c>
      <c r="L414" s="1">
        <v>0.59357454165868095</v>
      </c>
      <c r="P414" s="1">
        <f>I414-'Passo 2'!I414</f>
        <v>1.0941003209214983E-2</v>
      </c>
      <c r="Q414" s="1">
        <f>J414-'Passo 2'!J414</f>
        <v>8.4351782652659635E-3</v>
      </c>
      <c r="R414" s="1">
        <f t="shared" si="25"/>
        <v>90.388499999999979</v>
      </c>
      <c r="S414">
        <f t="shared" si="24"/>
        <v>88.480999999999966</v>
      </c>
      <c r="T414" s="1">
        <f t="shared" si="26"/>
        <v>79.367339603559785</v>
      </c>
      <c r="U414" s="1">
        <f t="shared" si="27"/>
        <v>54.008160396440061</v>
      </c>
    </row>
    <row r="415" spans="1:21" x14ac:dyDescent="0.3">
      <c r="A415" t="s">
        <v>292</v>
      </c>
      <c r="B415" t="s">
        <v>307</v>
      </c>
      <c r="C415" t="s">
        <v>580</v>
      </c>
      <c r="D415" t="s">
        <v>581</v>
      </c>
      <c r="E415" s="2">
        <v>151.41399999999999</v>
      </c>
      <c r="F415" s="2">
        <v>0</v>
      </c>
      <c r="G415" s="2">
        <v>35.844749999999998</v>
      </c>
      <c r="H415" s="2">
        <v>-34.048749999999998</v>
      </c>
      <c r="I415" s="1">
        <v>0.97346678642661799</v>
      </c>
      <c r="J415" s="1">
        <v>0.94974374892678304</v>
      </c>
      <c r="K415" s="1">
        <v>0.78247602011724304</v>
      </c>
      <c r="L415" s="1">
        <v>0.64073451523615799</v>
      </c>
      <c r="P415" s="1">
        <f>I415-'Passo 2'!I415</f>
        <v>4.7320591226702957E-2</v>
      </c>
      <c r="Q415" s="1">
        <f>J415-'Passo 2'!J415</f>
        <v>4.9675063072107006E-2</v>
      </c>
      <c r="R415" s="1">
        <f t="shared" si="25"/>
        <v>147.39649999999992</v>
      </c>
      <c r="S415">
        <f t="shared" si="24"/>
        <v>143.8044999999999</v>
      </c>
      <c r="T415" s="1">
        <f t="shared" si="26"/>
        <v>118.47782411003223</v>
      </c>
      <c r="U415" s="1">
        <f t="shared" si="27"/>
        <v>97.016175889967613</v>
      </c>
    </row>
    <row r="416" spans="1:21" x14ac:dyDescent="0.3">
      <c r="A416" t="s">
        <v>292</v>
      </c>
      <c r="B416" t="s">
        <v>708</v>
      </c>
      <c r="C416" t="s">
        <v>580</v>
      </c>
      <c r="D416" t="s">
        <v>581</v>
      </c>
      <c r="E416" s="2">
        <v>127.265</v>
      </c>
      <c r="F416" s="2">
        <v>0</v>
      </c>
      <c r="G416" s="2">
        <v>27.781749999999999</v>
      </c>
      <c r="H416" s="2">
        <v>-25.477</v>
      </c>
      <c r="I416" s="1">
        <v>0.93659686480964899</v>
      </c>
      <c r="J416" s="1">
        <v>0.90037716575649196</v>
      </c>
      <c r="K416" s="1">
        <v>0.824724453179701</v>
      </c>
      <c r="L416" s="1">
        <v>0.51224957738643995</v>
      </c>
      <c r="P416" s="1">
        <f>I416-'Passo 2'!I416</f>
        <v>6.3957097395198947E-2</v>
      </c>
      <c r="Q416" s="1">
        <f>J416-'Passo 2'!J416</f>
        <v>2.3863591718068955E-2</v>
      </c>
      <c r="R416" s="1">
        <f t="shared" si="25"/>
        <v>119.19599999999998</v>
      </c>
      <c r="S416">
        <f t="shared" si="24"/>
        <v>114.58649999999994</v>
      </c>
      <c r="T416" s="1">
        <f t="shared" si="26"/>
        <v>104.95855753391464</v>
      </c>
      <c r="U416" s="1">
        <f t="shared" si="27"/>
        <v>65.191442466085277</v>
      </c>
    </row>
    <row r="417" spans="1:21" x14ac:dyDescent="0.3">
      <c r="A417" t="s">
        <v>292</v>
      </c>
      <c r="B417" t="s">
        <v>308</v>
      </c>
      <c r="C417" t="s">
        <v>576</v>
      </c>
      <c r="D417" t="s">
        <v>598</v>
      </c>
      <c r="E417" s="2">
        <v>109.166</v>
      </c>
      <c r="F417" s="2">
        <v>0</v>
      </c>
      <c r="G417" s="2">
        <v>21.687249999999999</v>
      </c>
      <c r="H417" s="2">
        <v>-25.47</v>
      </c>
      <c r="I417" s="1">
        <v>0.89732609054101098</v>
      </c>
      <c r="J417" s="1">
        <v>0.96662880384002303</v>
      </c>
      <c r="K417" s="1">
        <v>0.83194731063947203</v>
      </c>
      <c r="L417" s="1">
        <v>0.53200758374156198</v>
      </c>
      <c r="P417" s="1">
        <f>I417-'Passo 2'!I417</f>
        <v>4.3639961160068963E-2</v>
      </c>
      <c r="Q417" s="1">
        <f>J417-'Passo 2'!J417</f>
        <v>7.8916512467252065E-2</v>
      </c>
      <c r="R417" s="1">
        <f t="shared" si="25"/>
        <v>97.957499999999996</v>
      </c>
      <c r="S417">
        <f t="shared" si="24"/>
        <v>105.52299999999995</v>
      </c>
      <c r="T417" s="1">
        <f t="shared" si="26"/>
        <v>90.820360113268606</v>
      </c>
      <c r="U417" s="1">
        <f t="shared" si="27"/>
        <v>58.077139886731352</v>
      </c>
    </row>
    <row r="418" spans="1:21" x14ac:dyDescent="0.3">
      <c r="A418" t="s">
        <v>292</v>
      </c>
      <c r="B418" t="s">
        <v>309</v>
      </c>
      <c r="C418" t="s">
        <v>580</v>
      </c>
      <c r="D418" t="s">
        <v>581</v>
      </c>
      <c r="E418" s="2">
        <v>313.82400000000001</v>
      </c>
      <c r="F418" s="2">
        <v>0</v>
      </c>
      <c r="G418" s="2">
        <v>75.397499999999994</v>
      </c>
      <c r="H418" s="2">
        <v>-66.002249999999904</v>
      </c>
      <c r="I418" s="1">
        <v>0.98050818293055897</v>
      </c>
      <c r="J418" s="1">
        <v>0.92063226521872099</v>
      </c>
      <c r="K418" s="1">
        <v>0.83554489026974599</v>
      </c>
      <c r="L418" s="1">
        <v>0.56559555787953397</v>
      </c>
      <c r="P418" s="1">
        <f>I418-'Passo 2'!I418</f>
        <v>1.4638778423574972E-2</v>
      </c>
      <c r="Q418" s="1">
        <f>J418-'Passo 2'!J418</f>
        <v>4.0125994187825031E-2</v>
      </c>
      <c r="R418" s="1">
        <f t="shared" si="25"/>
        <v>307.70699999999977</v>
      </c>
      <c r="S418">
        <f t="shared" si="24"/>
        <v>288.91649999999993</v>
      </c>
      <c r="T418" s="1">
        <f t="shared" si="26"/>
        <v>262.21403964401276</v>
      </c>
      <c r="U418" s="1">
        <f t="shared" si="27"/>
        <v>177.49746035598687</v>
      </c>
    </row>
    <row r="419" spans="1:21" x14ac:dyDescent="0.3">
      <c r="A419" t="s">
        <v>292</v>
      </c>
      <c r="B419" t="s">
        <v>310</v>
      </c>
      <c r="C419" t="s">
        <v>574</v>
      </c>
      <c r="D419" t="s">
        <v>575</v>
      </c>
      <c r="E419" s="2">
        <v>96.665000000000006</v>
      </c>
      <c r="F419" s="2">
        <v>0</v>
      </c>
      <c r="G419" s="2">
        <v>17.4055</v>
      </c>
      <c r="H419" s="2">
        <v>-20.543749999999999</v>
      </c>
      <c r="I419" s="1">
        <v>0.86012000206900097</v>
      </c>
      <c r="J419" s="1">
        <v>0.92505043190399805</v>
      </c>
      <c r="K419" s="1">
        <v>0.62094172489080401</v>
      </c>
      <c r="L419" s="1">
        <v>0.664228709082195</v>
      </c>
      <c r="P419" s="1">
        <f>I419-'Passo 2'!I419</f>
        <v>0.11432266073552999</v>
      </c>
      <c r="Q419" s="1">
        <f>J419-'Passo 2'!J419</f>
        <v>8.7327367713237014E-2</v>
      </c>
      <c r="R419" s="1">
        <f t="shared" si="25"/>
        <v>83.143499999999989</v>
      </c>
      <c r="S419">
        <f t="shared" si="24"/>
        <v>89.419999999999973</v>
      </c>
      <c r="T419" s="1">
        <f t="shared" si="26"/>
        <v>60.023331836569575</v>
      </c>
      <c r="U419" s="1">
        <f t="shared" si="27"/>
        <v>64.207668163430384</v>
      </c>
    </row>
    <row r="420" spans="1:21" x14ac:dyDescent="0.3">
      <c r="A420" t="s">
        <v>292</v>
      </c>
      <c r="B420" t="s">
        <v>311</v>
      </c>
      <c r="C420" t="s">
        <v>580</v>
      </c>
      <c r="D420" t="s">
        <v>581</v>
      </c>
      <c r="E420" s="2">
        <v>237.26400000000001</v>
      </c>
      <c r="F420" s="2">
        <v>0</v>
      </c>
      <c r="G420" s="2">
        <v>55.335000000000001</v>
      </c>
      <c r="H420" s="2">
        <v>-50.426000000000002</v>
      </c>
      <c r="I420" s="1">
        <v>0.966442443860004</v>
      </c>
      <c r="J420" s="1">
        <v>0.92506237777328204</v>
      </c>
      <c r="K420" s="1">
        <v>0.82329971306843397</v>
      </c>
      <c r="L420" s="1">
        <v>0.56820510856485196</v>
      </c>
      <c r="P420" s="1">
        <f>I420-'Passo 2'!I420</f>
        <v>5.8514987524445949E-2</v>
      </c>
      <c r="Q420" s="1">
        <f>J420-'Passo 2'!J420</f>
        <v>6.4963500573201993E-2</v>
      </c>
      <c r="R420" s="1">
        <f t="shared" si="25"/>
        <v>229.30199999999999</v>
      </c>
      <c r="S420">
        <f t="shared" si="24"/>
        <v>219.48400000000001</v>
      </c>
      <c r="T420" s="1">
        <f t="shared" si="26"/>
        <v>195.33938312146893</v>
      </c>
      <c r="U420" s="1">
        <f t="shared" si="27"/>
        <v>134.81461687853104</v>
      </c>
    </row>
    <row r="421" spans="1:21" x14ac:dyDescent="0.3">
      <c r="A421" t="s">
        <v>292</v>
      </c>
      <c r="B421" t="s">
        <v>312</v>
      </c>
      <c r="C421" t="s">
        <v>580</v>
      </c>
      <c r="D421" t="s">
        <v>581</v>
      </c>
      <c r="E421" s="2">
        <v>200.74199999999999</v>
      </c>
      <c r="F421" s="2">
        <v>0</v>
      </c>
      <c r="G421" s="2">
        <v>49.025500000000001</v>
      </c>
      <c r="H421" s="2">
        <v>-49.406500000000001</v>
      </c>
      <c r="I421" s="1">
        <v>0.98844287692660204</v>
      </c>
      <c r="J421" s="1">
        <v>0.99223879407398496</v>
      </c>
      <c r="K421" s="1">
        <v>0.78873292181475896</v>
      </c>
      <c r="L421" s="1">
        <v>0.69194874918582805</v>
      </c>
      <c r="P421" s="1">
        <f>I421-'Passo 2'!I421</f>
        <v>3.290293012922052E-3</v>
      </c>
      <c r="Q421" s="1">
        <f>J421-'Passo 2'!J421</f>
        <v>8.9169182333492802E-4</v>
      </c>
      <c r="R421" s="1">
        <f t="shared" si="25"/>
        <v>198.42199999999994</v>
      </c>
      <c r="S421">
        <f t="shared" si="24"/>
        <v>199.18399999999988</v>
      </c>
      <c r="T421" s="1">
        <f t="shared" si="26"/>
        <v>158.33182419093833</v>
      </c>
      <c r="U421" s="1">
        <f t="shared" si="27"/>
        <v>138.90317580906148</v>
      </c>
    </row>
    <row r="422" spans="1:21" x14ac:dyDescent="0.3">
      <c r="A422" t="s">
        <v>292</v>
      </c>
      <c r="B422" t="s">
        <v>313</v>
      </c>
      <c r="C422" t="s">
        <v>580</v>
      </c>
      <c r="D422" t="s">
        <v>581</v>
      </c>
      <c r="E422" s="2">
        <v>102.246</v>
      </c>
      <c r="F422" s="2">
        <v>1.7000000000000001E-2</v>
      </c>
      <c r="G422" s="2">
        <v>22.4755</v>
      </c>
      <c r="H422" s="2">
        <v>-20.838999999999999</v>
      </c>
      <c r="I422" s="1">
        <v>0.93955264753633305</v>
      </c>
      <c r="J422" s="1">
        <v>0.90754161531991395</v>
      </c>
      <c r="K422" s="1">
        <v>0.76121040998462497</v>
      </c>
      <c r="L422" s="1">
        <v>0.58596698570811501</v>
      </c>
      <c r="P422" s="1">
        <f>I422-'Passo 2'!I422</f>
        <v>1.6861295307394997E-2</v>
      </c>
      <c r="Q422" s="1">
        <f>J422-'Passo 2'!J422</f>
        <v>-1.9096101558986001E-2</v>
      </c>
      <c r="R422" s="1">
        <f t="shared" si="25"/>
        <v>96.065499999999901</v>
      </c>
      <c r="S422">
        <f t="shared" si="24"/>
        <v>92.792499999999919</v>
      </c>
      <c r="T422" s="1">
        <f t="shared" si="26"/>
        <v>77.830719579287958</v>
      </c>
      <c r="U422" s="1">
        <f t="shared" si="27"/>
        <v>59.912780420711925</v>
      </c>
    </row>
    <row r="423" spans="1:21" x14ac:dyDescent="0.3">
      <c r="A423" t="s">
        <v>292</v>
      </c>
      <c r="B423" t="s">
        <v>314</v>
      </c>
      <c r="C423" t="s">
        <v>580</v>
      </c>
      <c r="D423" t="s">
        <v>581</v>
      </c>
      <c r="E423" s="2">
        <v>64.103999999999999</v>
      </c>
      <c r="F423" s="2">
        <v>0</v>
      </c>
      <c r="G423" s="2">
        <v>15.83225</v>
      </c>
      <c r="H423" s="2">
        <v>-15.23075</v>
      </c>
      <c r="I423" s="1">
        <v>0.99395513540496605</v>
      </c>
      <c r="J423" s="1">
        <v>0.97518875577187003</v>
      </c>
      <c r="K423" s="1">
        <v>0.81960085681459305</v>
      </c>
      <c r="L423" s="1">
        <v>0.64954303436224403</v>
      </c>
      <c r="P423" s="1">
        <f>I423-'Passo 2'!I423</f>
        <v>2.8835954074628023E-2</v>
      </c>
      <c r="Q423" s="1">
        <f>J423-'Passo 2'!J423</f>
        <v>3.5224010982153997E-2</v>
      </c>
      <c r="R423" s="1">
        <f t="shared" si="25"/>
        <v>63.71649999999994</v>
      </c>
      <c r="S423">
        <f t="shared" si="24"/>
        <v>62.513499999999958</v>
      </c>
      <c r="T423" s="1">
        <f t="shared" si="26"/>
        <v>52.539693325242673</v>
      </c>
      <c r="U423" s="1">
        <f t="shared" si="27"/>
        <v>41.638306674757288</v>
      </c>
    </row>
    <row r="424" spans="1:21" x14ac:dyDescent="0.3">
      <c r="A424" t="s">
        <v>292</v>
      </c>
      <c r="B424" t="s">
        <v>709</v>
      </c>
      <c r="C424" t="s">
        <v>580</v>
      </c>
      <c r="D424" t="s">
        <v>581</v>
      </c>
      <c r="E424" s="2">
        <v>560.98400000000004</v>
      </c>
      <c r="F424" s="2">
        <v>0</v>
      </c>
      <c r="G424" s="2">
        <v>124.8385</v>
      </c>
      <c r="H424" s="2">
        <v>-127.84775</v>
      </c>
      <c r="I424" s="1">
        <v>0.94506973460918597</v>
      </c>
      <c r="J424" s="1">
        <v>0.95579820458337394</v>
      </c>
      <c r="K424" s="1">
        <v>0.77482458354383899</v>
      </c>
      <c r="L424" s="1">
        <v>0.62604335564872204</v>
      </c>
      <c r="P424" s="1">
        <f>I424-'Passo 2'!I424</f>
        <v>4.7327553013989387E-3</v>
      </c>
      <c r="Q424" s="1">
        <f>J424-'Passo 2'!J424</f>
        <v>2.5963307331399177E-3</v>
      </c>
      <c r="R424" s="1">
        <f t="shared" si="25"/>
        <v>530.16899999999964</v>
      </c>
      <c r="S424">
        <f t="shared" si="24"/>
        <v>536.18749999999943</v>
      </c>
      <c r="T424" s="1">
        <f t="shared" si="26"/>
        <v>434.66419417475697</v>
      </c>
      <c r="U424" s="1">
        <f t="shared" si="27"/>
        <v>351.20030582524271</v>
      </c>
    </row>
    <row r="425" spans="1:21" x14ac:dyDescent="0.3">
      <c r="A425" t="s">
        <v>292</v>
      </c>
      <c r="B425" t="s">
        <v>710</v>
      </c>
      <c r="C425" t="s">
        <v>580</v>
      </c>
      <c r="D425" t="s">
        <v>581</v>
      </c>
      <c r="E425" s="2">
        <v>58.96</v>
      </c>
      <c r="F425" s="2">
        <v>0</v>
      </c>
      <c r="G425" s="2">
        <v>13.8215</v>
      </c>
      <c r="H425" s="2">
        <v>-14.125499999999899</v>
      </c>
      <c r="I425" s="1">
        <v>0.96884328358208904</v>
      </c>
      <c r="J425" s="1">
        <v>0.97915535956580702</v>
      </c>
      <c r="K425" s="1">
        <v>0.78533102909986696</v>
      </c>
      <c r="L425" s="1">
        <v>0.66266761404802899</v>
      </c>
      <c r="P425" s="1">
        <f>I425-'Passo 2'!I425</f>
        <v>-2.450814111261912E-3</v>
      </c>
      <c r="Q425" s="1">
        <f>J425-'Passo 2'!J425</f>
        <v>2.3227611940298987E-2</v>
      </c>
      <c r="R425" s="1">
        <f t="shared" si="25"/>
        <v>57.122999999999969</v>
      </c>
      <c r="S425">
        <f t="shared" si="24"/>
        <v>57.73099999999998</v>
      </c>
      <c r="T425" s="1">
        <f t="shared" si="26"/>
        <v>46.303117475728158</v>
      </c>
      <c r="U425" s="1">
        <f t="shared" si="27"/>
        <v>39.070882524271788</v>
      </c>
    </row>
    <row r="426" spans="1:21" x14ac:dyDescent="0.3">
      <c r="A426" t="s">
        <v>292</v>
      </c>
      <c r="B426" t="s">
        <v>711</v>
      </c>
      <c r="C426" t="s">
        <v>580</v>
      </c>
      <c r="D426" t="s">
        <v>581</v>
      </c>
      <c r="E426" s="2">
        <v>127.253</v>
      </c>
      <c r="F426" s="2">
        <v>0</v>
      </c>
      <c r="G426" s="2">
        <v>29.190249999999999</v>
      </c>
      <c r="H426" s="2">
        <v>-30.362500000000001</v>
      </c>
      <c r="I426" s="1">
        <v>0.95877503870242697</v>
      </c>
      <c r="J426" s="1">
        <v>0.977198965839705</v>
      </c>
      <c r="K426" s="1">
        <v>0.80193968602465704</v>
      </c>
      <c r="L426" s="1">
        <v>0.63403431851747405</v>
      </c>
      <c r="P426" s="1">
        <f>I426-'Passo 2'!I426</f>
        <v>8.0618924504726963E-2</v>
      </c>
      <c r="Q426" s="1">
        <f>J426-'Passo 2'!J426</f>
        <v>8.8760186400319574E-3</v>
      </c>
      <c r="R426" s="1">
        <f t="shared" si="25"/>
        <v>122.00699999999993</v>
      </c>
      <c r="S426">
        <f t="shared" si="24"/>
        <v>124.35149999999999</v>
      </c>
      <c r="T426" s="1">
        <f t="shared" si="26"/>
        <v>102.04923086569568</v>
      </c>
      <c r="U426" s="1">
        <f t="shared" si="27"/>
        <v>80.682769134304124</v>
      </c>
    </row>
    <row r="427" spans="1:21" x14ac:dyDescent="0.3">
      <c r="A427" t="s">
        <v>292</v>
      </c>
      <c r="B427" t="s">
        <v>315</v>
      </c>
      <c r="C427" t="s">
        <v>574</v>
      </c>
      <c r="D427" t="s">
        <v>575</v>
      </c>
      <c r="E427" s="2">
        <v>124.45699999999999</v>
      </c>
      <c r="F427" s="2">
        <v>0</v>
      </c>
      <c r="G427" s="2">
        <v>30.673749999999998</v>
      </c>
      <c r="H427" s="2">
        <v>-26.515750000000001</v>
      </c>
      <c r="I427" s="1">
        <v>0.99292124990960695</v>
      </c>
      <c r="J427" s="1">
        <v>0.92610299139461805</v>
      </c>
      <c r="K427" s="1">
        <v>0.65039251901847395</v>
      </c>
      <c r="L427" s="1">
        <v>0.76863172228575105</v>
      </c>
      <c r="P427" s="1">
        <f>I427-'Passo 2'!I427</f>
        <v>0</v>
      </c>
      <c r="Q427" s="1">
        <f>J427-'Passo 2'!J427</f>
        <v>4.0174518110003277E-6</v>
      </c>
      <c r="R427" s="1">
        <f t="shared" si="25"/>
        <v>123.57599999999995</v>
      </c>
      <c r="S427">
        <f t="shared" si="24"/>
        <v>115.25999999999998</v>
      </c>
      <c r="T427" s="1">
        <f t="shared" si="26"/>
        <v>80.94590173948221</v>
      </c>
      <c r="U427" s="1">
        <f t="shared" si="27"/>
        <v>95.661598260517707</v>
      </c>
    </row>
    <row r="428" spans="1:21" x14ac:dyDescent="0.3">
      <c r="A428" t="s">
        <v>292</v>
      </c>
      <c r="B428" t="s">
        <v>712</v>
      </c>
      <c r="C428" t="s">
        <v>580</v>
      </c>
      <c r="D428" t="s">
        <v>581</v>
      </c>
      <c r="E428" s="2">
        <v>71.594999999999999</v>
      </c>
      <c r="F428" s="2">
        <v>0</v>
      </c>
      <c r="G428" s="2">
        <v>16.441500000000001</v>
      </c>
      <c r="H428" s="2">
        <v>-17.81775</v>
      </c>
      <c r="I428" s="1">
        <v>0.95929184998952399</v>
      </c>
      <c r="J428" s="1">
        <v>0.99773727215587604</v>
      </c>
      <c r="K428" s="1">
        <v>0.80152037338761195</v>
      </c>
      <c r="L428" s="1">
        <v>0.65550874875778897</v>
      </c>
      <c r="P428" s="1">
        <f>I428-'Passo 2'!I428</f>
        <v>2.0657867169495026E-2</v>
      </c>
      <c r="Q428" s="1">
        <f>J428-'Passo 2'!J428</f>
        <v>4.9367972623786005E-2</v>
      </c>
      <c r="R428" s="1">
        <f t="shared" si="25"/>
        <v>68.680499999999967</v>
      </c>
      <c r="S428">
        <f t="shared" si="24"/>
        <v>71.43299999999995</v>
      </c>
      <c r="T428" s="1">
        <f t="shared" si="26"/>
        <v>57.38485113268608</v>
      </c>
      <c r="U428" s="1">
        <f t="shared" si="27"/>
        <v>46.931148867313901</v>
      </c>
    </row>
    <row r="429" spans="1:21" x14ac:dyDescent="0.3">
      <c r="A429" t="s">
        <v>292</v>
      </c>
      <c r="B429" t="s">
        <v>316</v>
      </c>
      <c r="C429" t="s">
        <v>576</v>
      </c>
      <c r="D429" t="s">
        <v>14</v>
      </c>
      <c r="E429" s="2">
        <v>1.3360000000000001</v>
      </c>
      <c r="F429" s="2">
        <v>0</v>
      </c>
      <c r="G429" s="2">
        <v>0.24249999999999999</v>
      </c>
      <c r="H429" s="2">
        <v>-0.33400000000000002</v>
      </c>
      <c r="I429" s="1">
        <v>0.86302395209580796</v>
      </c>
      <c r="J429" s="1">
        <v>1</v>
      </c>
      <c r="K429" s="1">
        <v>0.77588138506092796</v>
      </c>
      <c r="L429" s="1">
        <v>0.58714256703487999</v>
      </c>
      <c r="P429" s="1">
        <f>I429-'Passo 2'!I429</f>
        <v>0</v>
      </c>
      <c r="Q429" s="1">
        <f>J429-'Passo 2'!J429</f>
        <v>7.9341317365269948E-2</v>
      </c>
      <c r="R429" s="1">
        <f t="shared" si="25"/>
        <v>1.1529999999999996</v>
      </c>
      <c r="S429">
        <f t="shared" si="24"/>
        <v>1.3360000000000001</v>
      </c>
      <c r="T429" s="1">
        <f t="shared" si="26"/>
        <v>1.0365775304413998</v>
      </c>
      <c r="U429" s="1">
        <f t="shared" si="27"/>
        <v>0.78442246955859973</v>
      </c>
    </row>
    <row r="430" spans="1:21" x14ac:dyDescent="0.3">
      <c r="A430" t="s">
        <v>292</v>
      </c>
      <c r="B430" t="s">
        <v>317</v>
      </c>
      <c r="C430" t="s">
        <v>574</v>
      </c>
      <c r="D430" t="s">
        <v>575</v>
      </c>
      <c r="E430" s="2">
        <v>17.3</v>
      </c>
      <c r="F430" s="2">
        <v>17.3</v>
      </c>
      <c r="G430" s="2">
        <v>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P430" s="1">
        <f>I430-'Passo 2'!I430</f>
        <v>0</v>
      </c>
      <c r="Q430" s="1">
        <f>J430-'Passo 2'!J430</f>
        <v>0</v>
      </c>
      <c r="R430" s="1">
        <f t="shared" si="25"/>
        <v>0</v>
      </c>
      <c r="S430">
        <f t="shared" si="24"/>
        <v>0</v>
      </c>
      <c r="T430" s="1">
        <f t="shared" si="26"/>
        <v>0</v>
      </c>
      <c r="U430" s="1">
        <f t="shared" si="27"/>
        <v>0</v>
      </c>
    </row>
    <row r="431" spans="1:21" x14ac:dyDescent="0.3">
      <c r="A431" t="s">
        <v>292</v>
      </c>
      <c r="B431" t="s">
        <v>318</v>
      </c>
      <c r="C431" t="s">
        <v>574</v>
      </c>
      <c r="D431" t="s">
        <v>575</v>
      </c>
      <c r="E431" s="2">
        <v>0</v>
      </c>
      <c r="F431" s="2">
        <v>0</v>
      </c>
      <c r="G431" s="2">
        <v>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P431" s="1">
        <f>I431-'Passo 2'!I431</f>
        <v>0</v>
      </c>
      <c r="Q431" s="1">
        <f>J431-'Passo 2'!J431</f>
        <v>0</v>
      </c>
      <c r="R431" s="1">
        <f t="shared" si="25"/>
        <v>0</v>
      </c>
      <c r="S431">
        <f t="shared" si="24"/>
        <v>0</v>
      </c>
      <c r="T431" s="1">
        <f t="shared" si="26"/>
        <v>0</v>
      </c>
      <c r="U431" s="1">
        <f t="shared" si="27"/>
        <v>0</v>
      </c>
    </row>
    <row r="432" spans="1:21" x14ac:dyDescent="0.3">
      <c r="A432" t="s">
        <v>292</v>
      </c>
      <c r="B432" t="s">
        <v>319</v>
      </c>
      <c r="C432" t="s">
        <v>576</v>
      </c>
      <c r="D432" t="s">
        <v>595</v>
      </c>
      <c r="E432" s="2">
        <v>18.574000000000002</v>
      </c>
      <c r="F432" s="2">
        <v>0</v>
      </c>
      <c r="G432" s="2">
        <v>2.3302499999999999</v>
      </c>
      <c r="H432" s="2">
        <v>-4.2735000000000003</v>
      </c>
      <c r="I432" s="1">
        <v>0.75091525788736901</v>
      </c>
      <c r="J432" s="1">
        <v>0.96015936254980006</v>
      </c>
      <c r="K432" s="1">
        <v>0.74526972360710197</v>
      </c>
      <c r="L432" s="1">
        <v>0.46580489683006698</v>
      </c>
      <c r="P432" s="1">
        <f>I432-'Passo 2'!I432</f>
        <v>0.11666846128997499</v>
      </c>
      <c r="Q432" s="1">
        <f>J432-'Passo 2'!J432</f>
        <v>0</v>
      </c>
      <c r="R432" s="1">
        <f t="shared" si="25"/>
        <v>13.947499999999993</v>
      </c>
      <c r="S432">
        <f t="shared" si="24"/>
        <v>17.833999999999989</v>
      </c>
      <c r="T432" s="1">
        <f t="shared" si="26"/>
        <v>13.842639846278313</v>
      </c>
      <c r="U432" s="1">
        <f t="shared" si="27"/>
        <v>8.6518601537216657</v>
      </c>
    </row>
    <row r="433" spans="1:21" x14ac:dyDescent="0.3">
      <c r="A433" t="s">
        <v>292</v>
      </c>
      <c r="B433" t="s">
        <v>713</v>
      </c>
      <c r="C433" t="s">
        <v>574</v>
      </c>
      <c r="D433" t="s">
        <v>575</v>
      </c>
      <c r="E433" s="2">
        <v>853.37199999999996</v>
      </c>
      <c r="F433" s="2">
        <v>0</v>
      </c>
      <c r="G433" s="2">
        <v>212.9735</v>
      </c>
      <c r="H433" s="2">
        <v>-212.24674999999999</v>
      </c>
      <c r="I433" s="1">
        <v>0.99913402361455494</v>
      </c>
      <c r="J433" s="1">
        <v>0.99743078048025902</v>
      </c>
      <c r="K433" s="1">
        <v>0.70364952625515897</v>
      </c>
      <c r="L433" s="1">
        <v>0.79291527783965499</v>
      </c>
      <c r="P433" s="1">
        <f>I433-'Passo 2'!I433</f>
        <v>3.9544301898820966E-2</v>
      </c>
      <c r="Q433" s="1">
        <f>J433-'Passo 2'!J433</f>
        <v>1.4810657017104045E-2</v>
      </c>
      <c r="R433" s="1">
        <f t="shared" si="25"/>
        <v>852.63299999999992</v>
      </c>
      <c r="S433">
        <f t="shared" si="24"/>
        <v>851.17949999999951</v>
      </c>
      <c r="T433" s="1">
        <f t="shared" si="26"/>
        <v>600.47480351941749</v>
      </c>
      <c r="U433" s="1">
        <f t="shared" si="27"/>
        <v>676.65169648058202</v>
      </c>
    </row>
    <row r="434" spans="1:21" x14ac:dyDescent="0.3">
      <c r="A434" t="s">
        <v>292</v>
      </c>
      <c r="B434" t="s">
        <v>714</v>
      </c>
      <c r="C434" t="s">
        <v>574</v>
      </c>
      <c r="D434" t="s">
        <v>575</v>
      </c>
      <c r="E434" s="2">
        <v>120.229</v>
      </c>
      <c r="F434" s="2">
        <v>0</v>
      </c>
      <c r="G434" s="2">
        <v>30.015750000000001</v>
      </c>
      <c r="H434" s="2">
        <v>-30.023250000000001</v>
      </c>
      <c r="I434" s="1">
        <v>0.99930965074981903</v>
      </c>
      <c r="J434" s="1">
        <v>0.99943441266250199</v>
      </c>
      <c r="K434" s="1">
        <v>0.73534130431406197</v>
      </c>
      <c r="L434" s="1">
        <v>0.76340275909825905</v>
      </c>
      <c r="P434" s="1">
        <f>I434-'Passo 2'!I434</f>
        <v>1.0812699099205236E-4</v>
      </c>
      <c r="Q434" s="1">
        <f>J434-'Passo 2'!J434</f>
        <v>0</v>
      </c>
      <c r="R434" s="1">
        <f t="shared" si="25"/>
        <v>120.14599999999999</v>
      </c>
      <c r="S434">
        <f t="shared" si="24"/>
        <v>120.16099999999994</v>
      </c>
      <c r="T434" s="1">
        <f t="shared" si="26"/>
        <v>88.409349676375356</v>
      </c>
      <c r="U434" s="1">
        <f t="shared" si="27"/>
        <v>91.783150323624582</v>
      </c>
    </row>
    <row r="435" spans="1:21" x14ac:dyDescent="0.3">
      <c r="A435" t="s">
        <v>292</v>
      </c>
      <c r="B435" t="s">
        <v>320</v>
      </c>
      <c r="C435" t="s">
        <v>574</v>
      </c>
      <c r="D435" t="s">
        <v>575</v>
      </c>
      <c r="E435" s="2">
        <v>189.28100000000001</v>
      </c>
      <c r="F435" s="2">
        <v>0</v>
      </c>
      <c r="G435" s="2">
        <v>46.996000000000002</v>
      </c>
      <c r="H435" s="2">
        <v>-36.061500000000002</v>
      </c>
      <c r="I435" s="1">
        <v>0.996573876934293</v>
      </c>
      <c r="J435" s="1">
        <v>0.88103665978096002</v>
      </c>
      <c r="K435" s="1">
        <v>0.72669569851874605</v>
      </c>
      <c r="L435" s="1">
        <v>0.65091483819650697</v>
      </c>
      <c r="P435" s="1">
        <f>I435-'Passo 2'!I435</f>
        <v>0</v>
      </c>
      <c r="Q435" s="1">
        <f>J435-'Passo 2'!J435</f>
        <v>5.1774874393106796E-4</v>
      </c>
      <c r="R435" s="1">
        <f t="shared" si="25"/>
        <v>188.63249999999991</v>
      </c>
      <c r="S435">
        <f t="shared" si="24"/>
        <v>166.76349999999991</v>
      </c>
      <c r="T435" s="1">
        <f t="shared" si="26"/>
        <v>137.54968851132676</v>
      </c>
      <c r="U435" s="1">
        <f t="shared" si="27"/>
        <v>123.20581148867304</v>
      </c>
    </row>
    <row r="436" spans="1:21" x14ac:dyDescent="0.3">
      <c r="A436" t="s">
        <v>292</v>
      </c>
      <c r="B436" t="s">
        <v>321</v>
      </c>
      <c r="C436" t="s">
        <v>574</v>
      </c>
      <c r="D436" t="s">
        <v>575</v>
      </c>
      <c r="E436" s="2">
        <v>1674.9829999999999</v>
      </c>
      <c r="F436" s="2">
        <v>0</v>
      </c>
      <c r="G436" s="2">
        <v>418.74574999999999</v>
      </c>
      <c r="H436" s="2">
        <v>-410.75675000000001</v>
      </c>
      <c r="I436" s="1">
        <v>1</v>
      </c>
      <c r="J436" s="1">
        <v>0.99046079870661297</v>
      </c>
      <c r="K436" s="1">
        <v>0.77532091283534699</v>
      </c>
      <c r="L436" s="1">
        <v>0.71513988587126598</v>
      </c>
      <c r="P436" s="1">
        <f>I436-'Passo 2'!I436</f>
        <v>3.0727177529562999E-2</v>
      </c>
      <c r="Q436" s="1">
        <f>J436-'Passo 2'!J436</f>
        <v>4.6109423200116018E-2</v>
      </c>
      <c r="R436" s="1">
        <f t="shared" si="25"/>
        <v>1674.9829999999999</v>
      </c>
      <c r="S436">
        <f t="shared" si="24"/>
        <v>1659.0049999999987</v>
      </c>
      <c r="T436" s="1">
        <f t="shared" si="26"/>
        <v>1298.6493485436879</v>
      </c>
      <c r="U436" s="1">
        <f t="shared" si="27"/>
        <v>1197.8471514563107</v>
      </c>
    </row>
    <row r="437" spans="1:21" x14ac:dyDescent="0.3">
      <c r="A437" t="s">
        <v>292</v>
      </c>
      <c r="B437" t="s">
        <v>322</v>
      </c>
      <c r="C437" t="s">
        <v>574</v>
      </c>
      <c r="D437" t="s">
        <v>575</v>
      </c>
      <c r="E437" s="2">
        <v>363.28399999999999</v>
      </c>
      <c r="F437" s="2">
        <v>10.6</v>
      </c>
      <c r="G437" s="2">
        <v>72.787499999999994</v>
      </c>
      <c r="H437" s="2">
        <v>-72.656499999999994</v>
      </c>
      <c r="I437" s="1">
        <v>0.88613041036764595</v>
      </c>
      <c r="J437" s="1">
        <v>0.88540921152596797</v>
      </c>
      <c r="K437" s="1">
        <v>0.66429167642571796</v>
      </c>
      <c r="L437" s="1">
        <v>0.62183708234152602</v>
      </c>
      <c r="P437" s="1">
        <f>I437-'Passo 2'!I437</f>
        <v>9.8133966813842899E-2</v>
      </c>
      <c r="Q437" s="1">
        <f>J437-'Passo 2'!J437</f>
        <v>8.9677772761805996E-2</v>
      </c>
      <c r="R437" s="1">
        <f t="shared" si="25"/>
        <v>321.91699999999986</v>
      </c>
      <c r="S437">
        <f t="shared" si="24"/>
        <v>321.65499999999975</v>
      </c>
      <c r="T437" s="1">
        <f t="shared" si="26"/>
        <v>241.32653737864052</v>
      </c>
      <c r="U437" s="1">
        <f t="shared" si="27"/>
        <v>225.90346262135893</v>
      </c>
    </row>
    <row r="438" spans="1:21" x14ac:dyDescent="0.3">
      <c r="A438" t="s">
        <v>292</v>
      </c>
      <c r="B438" t="s">
        <v>715</v>
      </c>
      <c r="C438" t="s">
        <v>574</v>
      </c>
      <c r="D438" t="s">
        <v>575</v>
      </c>
      <c r="E438" s="2">
        <v>1236.364</v>
      </c>
      <c r="F438" s="2">
        <v>0</v>
      </c>
      <c r="G438" s="2">
        <v>304.83375000000001</v>
      </c>
      <c r="H438" s="2">
        <v>-303.06799999999998</v>
      </c>
      <c r="I438" s="1">
        <v>0.99311327408433103</v>
      </c>
      <c r="J438" s="1">
        <v>0.99025691463031895</v>
      </c>
      <c r="K438" s="1">
        <v>0.69613033036667404</v>
      </c>
      <c r="L438" s="1">
        <v>0.78723985834797605</v>
      </c>
      <c r="P438" s="1">
        <f>I438-'Passo 2'!I438</f>
        <v>3.3711754790660686E-3</v>
      </c>
      <c r="Q438" s="1">
        <f>J438-'Passo 2'!J438</f>
        <v>4.2070943508549785E-3</v>
      </c>
      <c r="R438" s="1">
        <f t="shared" si="25"/>
        <v>1227.8494999999998</v>
      </c>
      <c r="S438">
        <f t="shared" si="24"/>
        <v>1224.3179999999998</v>
      </c>
      <c r="T438" s="1">
        <f t="shared" si="26"/>
        <v>860.6704797734626</v>
      </c>
      <c r="U438" s="1">
        <f t="shared" si="27"/>
        <v>973.31502022653706</v>
      </c>
    </row>
    <row r="439" spans="1:21" x14ac:dyDescent="0.3">
      <c r="A439" t="s">
        <v>292</v>
      </c>
      <c r="B439" t="s">
        <v>323</v>
      </c>
      <c r="C439" t="s">
        <v>574</v>
      </c>
      <c r="D439" t="s">
        <v>575</v>
      </c>
      <c r="E439" s="2">
        <v>1228.673</v>
      </c>
      <c r="F439" s="2">
        <v>0</v>
      </c>
      <c r="G439" s="2">
        <v>303.15075000000002</v>
      </c>
      <c r="H439" s="2">
        <v>-298.57850000000002</v>
      </c>
      <c r="I439" s="1">
        <v>0.99346042437654203</v>
      </c>
      <c r="J439" s="1">
        <v>0.98601784201329401</v>
      </c>
      <c r="K439" s="1">
        <v>0.68093445143070497</v>
      </c>
      <c r="L439" s="1">
        <v>0.79854381495913196</v>
      </c>
      <c r="P439" s="1">
        <f>I439-'Passo 2'!I439</f>
        <v>3.2238846300032042E-2</v>
      </c>
      <c r="Q439" s="1">
        <f>J439-'Passo 2'!J439</f>
        <v>4.576034469708401E-2</v>
      </c>
      <c r="R439" s="1">
        <f t="shared" si="25"/>
        <v>1220.637999999999</v>
      </c>
      <c r="S439">
        <f t="shared" si="24"/>
        <v>1211.4935</v>
      </c>
      <c r="T439" s="1">
        <f t="shared" si="26"/>
        <v>836.64577524271851</v>
      </c>
      <c r="U439" s="1">
        <f t="shared" si="27"/>
        <v>981.14922475728156</v>
      </c>
    </row>
    <row r="440" spans="1:21" x14ac:dyDescent="0.3">
      <c r="A440" t="s">
        <v>292</v>
      </c>
      <c r="B440" t="s">
        <v>324</v>
      </c>
      <c r="C440" t="s">
        <v>574</v>
      </c>
      <c r="D440" t="s">
        <v>575</v>
      </c>
      <c r="E440" s="2">
        <v>261.23099999999999</v>
      </c>
      <c r="F440" s="2">
        <v>4.9729999999999999</v>
      </c>
      <c r="G440" s="2">
        <v>61.436499999999903</v>
      </c>
      <c r="H440" s="2">
        <v>-61.421500000000002</v>
      </c>
      <c r="I440" s="1">
        <v>0.96084308523873496</v>
      </c>
      <c r="J440" s="1">
        <v>0.96072824435078497</v>
      </c>
      <c r="K440" s="1">
        <v>0.70318946842407604</v>
      </c>
      <c r="L440" s="1">
        <v>0.72790025676167802</v>
      </c>
      <c r="P440" s="1">
        <f>I440-'Passo 2'!I440</f>
        <v>1.3398103594197686E-4</v>
      </c>
      <c r="Q440" s="1">
        <f>J440-'Passo 2'!J440</f>
        <v>-1.1407528203010164E-3</v>
      </c>
      <c r="R440" s="1">
        <f t="shared" si="25"/>
        <v>251.00199999999998</v>
      </c>
      <c r="S440">
        <f t="shared" si="24"/>
        <v>250.97199999999989</v>
      </c>
      <c r="T440" s="1">
        <f t="shared" si="26"/>
        <v>183.69488802588981</v>
      </c>
      <c r="U440" s="1">
        <f t="shared" si="27"/>
        <v>190.1501119741099</v>
      </c>
    </row>
    <row r="441" spans="1:21" x14ac:dyDescent="0.3">
      <c r="A441" t="s">
        <v>292</v>
      </c>
      <c r="B441" t="s">
        <v>716</v>
      </c>
      <c r="C441" t="s">
        <v>574</v>
      </c>
      <c r="D441" t="s">
        <v>575</v>
      </c>
      <c r="E441" s="2">
        <v>498.84</v>
      </c>
      <c r="F441" s="2">
        <v>4.5999999999999999E-2</v>
      </c>
      <c r="G441" s="2">
        <v>119.2885</v>
      </c>
      <c r="H441" s="2">
        <v>-120.16425</v>
      </c>
      <c r="I441" s="1">
        <v>0.97821746451768099</v>
      </c>
      <c r="J441" s="1">
        <v>0.98172861037607195</v>
      </c>
      <c r="K441" s="1">
        <v>0.75040250784733198</v>
      </c>
      <c r="L441" s="1">
        <v>0.70958967401458695</v>
      </c>
      <c r="P441" s="1">
        <f>I441-'Passo 2'!I441</f>
        <v>-3.1422901130619962E-3</v>
      </c>
      <c r="Q441" s="1">
        <f>J441-'Passo 2'!J441</f>
        <v>3.4199342474539041E-3</v>
      </c>
      <c r="R441" s="1">
        <f t="shared" si="25"/>
        <v>487.97399999999993</v>
      </c>
      <c r="S441">
        <f t="shared" si="24"/>
        <v>489.72549999999973</v>
      </c>
      <c r="T441" s="1">
        <f t="shared" si="26"/>
        <v>374.33078701456304</v>
      </c>
      <c r="U441" s="1">
        <f t="shared" si="27"/>
        <v>353.97171298543651</v>
      </c>
    </row>
    <row r="442" spans="1:21" x14ac:dyDescent="0.3">
      <c r="A442" t="s">
        <v>292</v>
      </c>
      <c r="B442" t="s">
        <v>717</v>
      </c>
      <c r="C442" t="s">
        <v>574</v>
      </c>
      <c r="D442" t="s">
        <v>575</v>
      </c>
      <c r="E442" s="2">
        <v>1452.2370000000001</v>
      </c>
      <c r="F442" s="2">
        <v>0</v>
      </c>
      <c r="G442" s="2">
        <v>357.55700000000002</v>
      </c>
      <c r="H442" s="2">
        <v>-362.637</v>
      </c>
      <c r="I442" s="1">
        <v>0.99242238009360695</v>
      </c>
      <c r="J442" s="1">
        <v>0.99941848334672601</v>
      </c>
      <c r="K442" s="1">
        <v>0.68049034623145399</v>
      </c>
      <c r="L442" s="1">
        <v>0.81135051720887796</v>
      </c>
      <c r="P442" s="1">
        <f>I442-'Passo 2'!I442</f>
        <v>6.2044624947580895E-2</v>
      </c>
      <c r="Q442" s="1">
        <f>J442-'Passo 2'!J442</f>
        <v>7.4401423459119043E-2</v>
      </c>
      <c r="R442" s="1">
        <f t="shared" si="25"/>
        <v>1441.2324999999996</v>
      </c>
      <c r="S442">
        <f t="shared" si="24"/>
        <v>1451.3924999999995</v>
      </c>
      <c r="T442" s="1">
        <f t="shared" si="26"/>
        <v>988.23325894012805</v>
      </c>
      <c r="U442" s="1">
        <f t="shared" si="27"/>
        <v>1178.2732410598694</v>
      </c>
    </row>
    <row r="443" spans="1:21" x14ac:dyDescent="0.3">
      <c r="A443" t="s">
        <v>292</v>
      </c>
      <c r="B443" t="s">
        <v>718</v>
      </c>
      <c r="C443" t="s">
        <v>574</v>
      </c>
      <c r="D443" t="s">
        <v>575</v>
      </c>
      <c r="E443" s="2">
        <v>176.815</v>
      </c>
      <c r="F443" s="2">
        <v>0</v>
      </c>
      <c r="G443" s="2">
        <v>41.564499999999903</v>
      </c>
      <c r="H443" s="2">
        <v>-41.153499999999902</v>
      </c>
      <c r="I443" s="1">
        <v>0.97014676356643903</v>
      </c>
      <c r="J443" s="1">
        <v>0.96549783672199696</v>
      </c>
      <c r="K443" s="1">
        <v>0.87488734042409999</v>
      </c>
      <c r="L443" s="1">
        <v>0.560757259864336</v>
      </c>
      <c r="P443" s="1">
        <f>I443-'Passo 2'!I443</f>
        <v>2.7656024658540002E-3</v>
      </c>
      <c r="Q443" s="1">
        <f>J443-'Passo 2'!J443</f>
        <v>1.2951389870770047E-3</v>
      </c>
      <c r="R443" s="1">
        <f t="shared" si="25"/>
        <v>171.5364999999999</v>
      </c>
      <c r="S443">
        <f t="shared" si="24"/>
        <v>170.7144999999999</v>
      </c>
      <c r="T443" s="1">
        <f t="shared" si="26"/>
        <v>154.69320509708723</v>
      </c>
      <c r="U443" s="1">
        <f t="shared" si="27"/>
        <v>99.150294902912563</v>
      </c>
    </row>
    <row r="444" spans="1:21" x14ac:dyDescent="0.3">
      <c r="A444" t="s">
        <v>292</v>
      </c>
      <c r="B444" t="s">
        <v>325</v>
      </c>
      <c r="C444" t="s">
        <v>576</v>
      </c>
      <c r="D444" t="s">
        <v>595</v>
      </c>
      <c r="E444" s="2">
        <v>182.553</v>
      </c>
      <c r="F444" s="2">
        <v>0</v>
      </c>
      <c r="G444" s="2">
        <v>7.9077500000000001</v>
      </c>
      <c r="H444" s="2">
        <v>-19.478999999999999</v>
      </c>
      <c r="I444" s="1">
        <v>0.58663511418601699</v>
      </c>
      <c r="J444" s="1">
        <v>0.71340651755928397</v>
      </c>
      <c r="K444" s="1">
        <v>0.49797988006331101</v>
      </c>
      <c r="L444" s="1">
        <v>0.30206175168198901</v>
      </c>
      <c r="P444" s="1">
        <f>I444-'Passo 2'!I444</f>
        <v>1.9120474601897031E-2</v>
      </c>
      <c r="Q444" s="1">
        <f>J444-'Passo 2'!J444</f>
        <v>-9.8601502029005417E-5</v>
      </c>
      <c r="R444" s="1">
        <f t="shared" si="25"/>
        <v>107.09199999999996</v>
      </c>
      <c r="S444">
        <f t="shared" si="24"/>
        <v>130.23449999999997</v>
      </c>
      <c r="T444" s="1">
        <f t="shared" si="26"/>
        <v>90.907721045197619</v>
      </c>
      <c r="U444" s="1">
        <f t="shared" si="27"/>
        <v>55.142278954802137</v>
      </c>
    </row>
    <row r="445" spans="1:21" x14ac:dyDescent="0.3">
      <c r="A445" t="s">
        <v>292</v>
      </c>
      <c r="B445" t="s">
        <v>326</v>
      </c>
      <c r="C445" t="s">
        <v>576</v>
      </c>
      <c r="D445" t="s">
        <v>595</v>
      </c>
      <c r="E445" s="2">
        <v>221.489</v>
      </c>
      <c r="F445" s="2">
        <v>0</v>
      </c>
      <c r="G445" s="2">
        <v>27.639749999999999</v>
      </c>
      <c r="H445" s="2">
        <v>-27.76</v>
      </c>
      <c r="I445" s="1">
        <v>0.74958124331230802</v>
      </c>
      <c r="J445" s="1">
        <v>0.75066707601731897</v>
      </c>
      <c r="K445" s="1">
        <v>0.62409233992133295</v>
      </c>
      <c r="L445" s="1">
        <v>0.37615597940829398</v>
      </c>
      <c r="P445" s="1">
        <f>I445-'Passo 2'!I445</f>
        <v>3.483017215301798E-2</v>
      </c>
      <c r="Q445" s="1">
        <f>J445-'Passo 2'!J445</f>
        <v>0</v>
      </c>
      <c r="R445" s="1">
        <f t="shared" si="25"/>
        <v>166.0239999999998</v>
      </c>
      <c r="S445">
        <f t="shared" si="24"/>
        <v>166.26449999999997</v>
      </c>
      <c r="T445" s="1">
        <f t="shared" si="26"/>
        <v>138.22958827683613</v>
      </c>
      <c r="U445" s="1">
        <f t="shared" si="27"/>
        <v>83.31441172316363</v>
      </c>
    </row>
    <row r="446" spans="1:21" x14ac:dyDescent="0.3">
      <c r="A446" t="s">
        <v>292</v>
      </c>
      <c r="B446" t="s">
        <v>327</v>
      </c>
      <c r="C446" t="s">
        <v>576</v>
      </c>
      <c r="D446" t="s">
        <v>595</v>
      </c>
      <c r="E446" s="2">
        <v>336.35899999999998</v>
      </c>
      <c r="F446" s="2">
        <v>0</v>
      </c>
      <c r="G446" s="2">
        <v>82.200249999999997</v>
      </c>
      <c r="H446" s="2">
        <v>-82.757750000000001</v>
      </c>
      <c r="I446" s="1">
        <v>0.98876498027405202</v>
      </c>
      <c r="J446" s="1">
        <v>0.99207989083092696</v>
      </c>
      <c r="K446" s="1">
        <v>0.61502573765053203</v>
      </c>
      <c r="L446" s="1">
        <v>0.86581913345444705</v>
      </c>
      <c r="P446" s="1">
        <f>I446-'Passo 2'!I446</f>
        <v>0.199999108095814</v>
      </c>
      <c r="Q446" s="1">
        <f>J446-'Passo 2'!J446</f>
        <v>6.0274884870033962E-2</v>
      </c>
      <c r="R446" s="1">
        <f t="shared" si="25"/>
        <v>332.57999999999987</v>
      </c>
      <c r="S446">
        <f t="shared" si="24"/>
        <v>333.69499999999977</v>
      </c>
      <c r="T446" s="1">
        <f t="shared" si="26"/>
        <v>206.8694420903953</v>
      </c>
      <c r="U446" s="1">
        <f t="shared" si="27"/>
        <v>291.22605790960432</v>
      </c>
    </row>
    <row r="447" spans="1:21" x14ac:dyDescent="0.3">
      <c r="A447" t="s">
        <v>292</v>
      </c>
      <c r="B447" t="s">
        <v>328</v>
      </c>
      <c r="C447" t="s">
        <v>576</v>
      </c>
      <c r="D447" t="s">
        <v>595</v>
      </c>
      <c r="E447" s="2">
        <v>192.94800000000001</v>
      </c>
      <c r="F447" s="2">
        <v>0</v>
      </c>
      <c r="G447" s="2">
        <v>13.09675</v>
      </c>
      <c r="H447" s="2">
        <v>-37.786999999999999</v>
      </c>
      <c r="I447" s="1">
        <v>0.63575419283952095</v>
      </c>
      <c r="J447" s="1">
        <v>0.89168066007421598</v>
      </c>
      <c r="K447" s="1">
        <v>0.41997194880787497</v>
      </c>
      <c r="L447" s="1">
        <v>0.60746290410586301</v>
      </c>
      <c r="P447" s="1">
        <f>I447-'Passo 2'!I447</f>
        <v>2.5994050210418895E-2</v>
      </c>
      <c r="Q447" s="1">
        <f>J447-'Passo 2'!J447</f>
        <v>1.5905839915416942E-2</v>
      </c>
      <c r="R447" s="1">
        <f t="shared" si="25"/>
        <v>122.66749999999989</v>
      </c>
      <c r="S447">
        <f t="shared" si="24"/>
        <v>172.04799999999983</v>
      </c>
      <c r="T447" s="1">
        <f t="shared" si="26"/>
        <v>81.032747578581862</v>
      </c>
      <c r="U447" s="1">
        <f t="shared" si="27"/>
        <v>117.20875242141805</v>
      </c>
    </row>
    <row r="448" spans="1:21" x14ac:dyDescent="0.3">
      <c r="A448" t="s">
        <v>292</v>
      </c>
      <c r="B448" t="s">
        <v>329</v>
      </c>
      <c r="C448" t="s">
        <v>576</v>
      </c>
      <c r="D448" t="s">
        <v>595</v>
      </c>
      <c r="E448" s="2">
        <v>224.57400000000001</v>
      </c>
      <c r="F448" s="2">
        <v>0</v>
      </c>
      <c r="G448" s="2">
        <v>53.029249999999998</v>
      </c>
      <c r="H448" s="2">
        <v>-55.826250000000002</v>
      </c>
      <c r="I448" s="1">
        <v>0.97226526668269697</v>
      </c>
      <c r="J448" s="1">
        <v>0.997174650671938</v>
      </c>
      <c r="K448" s="1">
        <v>0.67764057095599295</v>
      </c>
      <c r="L448" s="1">
        <v>0.79179934639864202</v>
      </c>
      <c r="P448" s="1">
        <f>I448-'Passo 2'!I448</f>
        <v>0.18716547774898296</v>
      </c>
      <c r="Q448" s="1">
        <f>J448-'Passo 2'!J448</f>
        <v>5.281110012735013E-3</v>
      </c>
      <c r="R448" s="1">
        <f t="shared" si="25"/>
        <v>218.34550000000002</v>
      </c>
      <c r="S448">
        <f t="shared" si="24"/>
        <v>223.93949999999981</v>
      </c>
      <c r="T448" s="1">
        <f t="shared" si="26"/>
        <v>152.18045358187118</v>
      </c>
      <c r="U448" s="1">
        <f t="shared" si="27"/>
        <v>177.81754641812864</v>
      </c>
    </row>
    <row r="449" spans="1:21" x14ac:dyDescent="0.3">
      <c r="A449" t="s">
        <v>292</v>
      </c>
      <c r="B449" t="s">
        <v>330</v>
      </c>
      <c r="C449" t="s">
        <v>576</v>
      </c>
      <c r="D449" t="s">
        <v>595</v>
      </c>
      <c r="E449" s="2">
        <v>335.33499999999998</v>
      </c>
      <c r="F449" s="2">
        <v>0</v>
      </c>
      <c r="G449" s="2">
        <v>81.248750000000001</v>
      </c>
      <c r="H449" s="2">
        <v>-83.504750000000001</v>
      </c>
      <c r="I449" s="1">
        <v>0.984582581597506</v>
      </c>
      <c r="J449" s="1">
        <v>0.99803778311240998</v>
      </c>
      <c r="K449" s="1">
        <v>0.63670803753285998</v>
      </c>
      <c r="L449" s="1">
        <v>0.845912327177056</v>
      </c>
      <c r="P449" s="1">
        <f>I449-'Passo 2'!I449</f>
        <v>0.11533541085779797</v>
      </c>
      <c r="Q449" s="1">
        <f>J449-'Passo 2'!J449</f>
        <v>5.9433104209229981E-3</v>
      </c>
      <c r="R449" s="1">
        <f t="shared" si="25"/>
        <v>330.16499999999968</v>
      </c>
      <c r="S449">
        <f t="shared" si="24"/>
        <v>334.67699999999996</v>
      </c>
      <c r="T449" s="1">
        <f t="shared" si="26"/>
        <v>213.51048976608158</v>
      </c>
      <c r="U449" s="1">
        <f t="shared" si="27"/>
        <v>283.66401023391808</v>
      </c>
    </row>
    <row r="450" spans="1:21" x14ac:dyDescent="0.3">
      <c r="A450" t="s">
        <v>292</v>
      </c>
      <c r="B450" t="s">
        <v>331</v>
      </c>
      <c r="C450" t="s">
        <v>576</v>
      </c>
      <c r="D450" t="s">
        <v>598</v>
      </c>
      <c r="E450" s="2">
        <v>82.944999999999993</v>
      </c>
      <c r="F450" s="2">
        <v>0</v>
      </c>
      <c r="G450" s="2">
        <v>19.622</v>
      </c>
      <c r="H450" s="2">
        <v>-20.734999999999999</v>
      </c>
      <c r="I450" s="1">
        <v>0.97313279884260595</v>
      </c>
      <c r="J450" s="1">
        <v>0.99996985954548201</v>
      </c>
      <c r="K450" s="1">
        <v>0.89386236472129599</v>
      </c>
      <c r="L450" s="1">
        <v>0.57924029366679197</v>
      </c>
      <c r="P450" s="1">
        <f>I450-'Passo 2'!I450</f>
        <v>7.637591174874947E-3</v>
      </c>
      <c r="Q450" s="1">
        <f>J450-'Passo 2'!J450</f>
        <v>4.1557658689494015E-2</v>
      </c>
      <c r="R450" s="1">
        <f t="shared" si="25"/>
        <v>80.71649999999994</v>
      </c>
      <c r="S450">
        <f t="shared" ref="S450:S513" si="28">J450*E450</f>
        <v>82.942499999999995</v>
      </c>
      <c r="T450" s="1">
        <f t="shared" si="26"/>
        <v>74.141413841807889</v>
      </c>
      <c r="U450" s="1">
        <f t="shared" si="27"/>
        <v>48.045086158192056</v>
      </c>
    </row>
    <row r="451" spans="1:21" x14ac:dyDescent="0.3">
      <c r="A451" t="s">
        <v>292</v>
      </c>
      <c r="B451" t="s">
        <v>332</v>
      </c>
      <c r="C451" t="s">
        <v>574</v>
      </c>
      <c r="D451" t="s">
        <v>575</v>
      </c>
      <c r="E451" s="2">
        <v>1142.3309999999999</v>
      </c>
      <c r="F451" s="2">
        <v>0</v>
      </c>
      <c r="G451" s="2">
        <v>219.86499999999899</v>
      </c>
      <c r="H451" s="2">
        <v>-284.13574999999997</v>
      </c>
      <c r="I451" s="1">
        <v>0.88494096719777304</v>
      </c>
      <c r="J451" s="1">
        <v>0.99746658367846097</v>
      </c>
      <c r="K451" s="1">
        <v>0.59497787895538501</v>
      </c>
      <c r="L451" s="1">
        <v>0.78742967192084901</v>
      </c>
      <c r="P451" s="1">
        <f>I451-'Passo 2'!I451</f>
        <v>6.4714167784990506E-3</v>
      </c>
      <c r="Q451" s="1">
        <f>J451-'Passo 2'!J451</f>
        <v>0.14275765955751896</v>
      </c>
      <c r="R451" s="1">
        <f t="shared" ref="R451:R514" si="29">I451*E451</f>
        <v>1010.8954999999992</v>
      </c>
      <c r="S451">
        <f t="shared" si="28"/>
        <v>1139.4369999999999</v>
      </c>
      <c r="T451" s="1">
        <f t="shared" ref="T451:T514" si="30">K451*E451</f>
        <v>679.66167544498387</v>
      </c>
      <c r="U451" s="1">
        <f t="shared" ref="U451:U514" si="31">L451*E451</f>
        <v>899.50532455501525</v>
      </c>
    </row>
    <row r="452" spans="1:21" x14ac:dyDescent="0.3">
      <c r="A452" t="s">
        <v>292</v>
      </c>
      <c r="B452" t="s">
        <v>333</v>
      </c>
      <c r="C452" t="s">
        <v>574</v>
      </c>
      <c r="D452" t="s">
        <v>575</v>
      </c>
      <c r="E452" s="2">
        <v>76.515000000000001</v>
      </c>
      <c r="F452" s="2">
        <v>0</v>
      </c>
      <c r="G452" s="2">
        <v>19.08925</v>
      </c>
      <c r="H452" s="2">
        <v>-19.12875</v>
      </c>
      <c r="I452" s="1">
        <v>0.99896752270796496</v>
      </c>
      <c r="J452" s="1">
        <v>1</v>
      </c>
      <c r="K452" s="1">
        <v>0.63640271636988899</v>
      </c>
      <c r="L452" s="1">
        <v>0.86256480633807597</v>
      </c>
      <c r="P452" s="1">
        <f>I452-'Passo 2'!I452</f>
        <v>1.9603999215966894E-5</v>
      </c>
      <c r="Q452" s="1">
        <f>J452-'Passo 2'!J452</f>
        <v>8.1683330065995818E-4</v>
      </c>
      <c r="R452" s="1">
        <f t="shared" si="29"/>
        <v>76.435999999999936</v>
      </c>
      <c r="S452">
        <f t="shared" si="28"/>
        <v>76.515000000000001</v>
      </c>
      <c r="T452" s="1">
        <f t="shared" si="30"/>
        <v>48.694353843042059</v>
      </c>
      <c r="U452" s="1">
        <f t="shared" si="31"/>
        <v>65.999146156957877</v>
      </c>
    </row>
    <row r="453" spans="1:21" x14ac:dyDescent="0.3">
      <c r="A453" t="s">
        <v>292</v>
      </c>
      <c r="B453" t="s">
        <v>334</v>
      </c>
      <c r="C453" t="s">
        <v>574</v>
      </c>
      <c r="D453" t="s">
        <v>575</v>
      </c>
      <c r="E453" s="2">
        <v>128.464</v>
      </c>
      <c r="F453" s="2">
        <v>0</v>
      </c>
      <c r="G453" s="2">
        <v>30.0335</v>
      </c>
      <c r="H453" s="2">
        <v>-30.98725</v>
      </c>
      <c r="I453" s="1">
        <v>0.96757846556233595</v>
      </c>
      <c r="J453" s="1">
        <v>0.98242698343504797</v>
      </c>
      <c r="K453" s="1">
        <v>0.91126823153155101</v>
      </c>
      <c r="L453" s="1">
        <v>0.53873721746583203</v>
      </c>
      <c r="P453" s="1">
        <f>I453-'Passo 2'!I453</f>
        <v>3.9466309627599339E-3</v>
      </c>
      <c r="Q453" s="1">
        <f>J453-'Passo 2'!J453</f>
        <v>0.13115347490347495</v>
      </c>
      <c r="R453" s="1">
        <f t="shared" si="29"/>
        <v>124.29899999999992</v>
      </c>
      <c r="S453">
        <f t="shared" si="28"/>
        <v>126.20650000000001</v>
      </c>
      <c r="T453" s="1">
        <f t="shared" si="30"/>
        <v>117.06516209546916</v>
      </c>
      <c r="U453" s="1">
        <f t="shared" si="31"/>
        <v>69.208337904530651</v>
      </c>
    </row>
    <row r="454" spans="1:21" x14ac:dyDescent="0.3">
      <c r="A454" t="s">
        <v>292</v>
      </c>
      <c r="B454" t="s">
        <v>335</v>
      </c>
      <c r="C454" t="s">
        <v>580</v>
      </c>
      <c r="D454" t="s">
        <v>581</v>
      </c>
      <c r="E454" s="2">
        <v>1</v>
      </c>
      <c r="F454" s="2">
        <v>0</v>
      </c>
      <c r="G454" s="2">
        <v>0.25</v>
      </c>
      <c r="H454" s="2">
        <v>-0.25</v>
      </c>
      <c r="I454" s="1">
        <v>1</v>
      </c>
      <c r="J454" s="1">
        <v>1</v>
      </c>
      <c r="K454" s="1">
        <v>0.98153058252427094</v>
      </c>
      <c r="L454" s="1">
        <v>0.51846941747572795</v>
      </c>
      <c r="P454" s="1">
        <f>I454-'Passo 2'!I454</f>
        <v>0</v>
      </c>
      <c r="Q454" s="1">
        <f>J454-'Passo 2'!J454</f>
        <v>0</v>
      </c>
      <c r="R454" s="1">
        <f t="shared" si="29"/>
        <v>1</v>
      </c>
      <c r="S454">
        <f t="shared" si="28"/>
        <v>1</v>
      </c>
      <c r="T454" s="1">
        <f t="shared" si="30"/>
        <v>0.98153058252427094</v>
      </c>
      <c r="U454" s="1">
        <f t="shared" si="31"/>
        <v>0.51846941747572795</v>
      </c>
    </row>
    <row r="455" spans="1:21" x14ac:dyDescent="0.3">
      <c r="A455" t="s">
        <v>292</v>
      </c>
      <c r="B455" t="s">
        <v>336</v>
      </c>
      <c r="C455" t="s">
        <v>34</v>
      </c>
      <c r="D455" t="s">
        <v>35</v>
      </c>
      <c r="E455" s="2">
        <v>2488.42</v>
      </c>
      <c r="F455" s="2">
        <v>0</v>
      </c>
      <c r="G455" s="2">
        <v>515.3845</v>
      </c>
      <c r="H455" s="2">
        <v>-484.30724999999899</v>
      </c>
      <c r="I455" s="1">
        <v>0.91422629620401696</v>
      </c>
      <c r="J455" s="1">
        <v>0.88924880044365395</v>
      </c>
      <c r="K455" s="1">
        <v>0.818602623744771</v>
      </c>
      <c r="L455" s="1">
        <v>0.48487247290289998</v>
      </c>
      <c r="P455" s="1">
        <f>I455-'Passo 2'!I455</f>
        <v>0.17908532321714199</v>
      </c>
      <c r="Q455" s="1">
        <f>J455-'Passo 2'!J455</f>
        <v>0.13419599585278996</v>
      </c>
      <c r="R455" s="1">
        <f t="shared" si="29"/>
        <v>2274.9789999999998</v>
      </c>
      <c r="S455">
        <f t="shared" si="28"/>
        <v>2212.8244999999974</v>
      </c>
      <c r="T455" s="1">
        <f t="shared" si="30"/>
        <v>2037.0271409789632</v>
      </c>
      <c r="U455" s="1">
        <f t="shared" si="31"/>
        <v>1206.5663590210345</v>
      </c>
    </row>
    <row r="456" spans="1:21" x14ac:dyDescent="0.3">
      <c r="A456" t="s">
        <v>292</v>
      </c>
      <c r="B456" t="s">
        <v>337</v>
      </c>
      <c r="C456" t="s">
        <v>574</v>
      </c>
      <c r="D456" t="s">
        <v>575</v>
      </c>
      <c r="E456" s="2">
        <v>406</v>
      </c>
      <c r="F456" s="2">
        <v>1.224</v>
      </c>
      <c r="G456" s="2">
        <v>55.182249999999897</v>
      </c>
      <c r="H456" s="2">
        <v>-67.444000000000003</v>
      </c>
      <c r="I456" s="1">
        <v>0.77032635467980204</v>
      </c>
      <c r="J456" s="1">
        <v>0.83072906403940805</v>
      </c>
      <c r="K456" s="1">
        <v>0.46214542461778801</v>
      </c>
      <c r="L456" s="1">
        <v>0.64041738326398501</v>
      </c>
      <c r="P456" s="1">
        <f>I456-'Passo 2'!I456</f>
        <v>-1.2315270935969735E-3</v>
      </c>
      <c r="Q456" s="1">
        <f>J456-'Passo 2'!J456</f>
        <v>0</v>
      </c>
      <c r="R456" s="1">
        <f t="shared" si="29"/>
        <v>312.7524999999996</v>
      </c>
      <c r="S456">
        <f t="shared" si="28"/>
        <v>337.27599999999967</v>
      </c>
      <c r="T456" s="1">
        <f t="shared" si="30"/>
        <v>187.63104239482195</v>
      </c>
      <c r="U456" s="1">
        <f t="shared" si="31"/>
        <v>260.00945760517789</v>
      </c>
    </row>
    <row r="457" spans="1:21" x14ac:dyDescent="0.3">
      <c r="A457" t="s">
        <v>292</v>
      </c>
      <c r="B457" t="s">
        <v>338</v>
      </c>
      <c r="C457" t="s">
        <v>576</v>
      </c>
      <c r="D457" t="s">
        <v>591</v>
      </c>
      <c r="E457" s="2">
        <v>172</v>
      </c>
      <c r="F457" s="2">
        <v>0.15</v>
      </c>
      <c r="G457" s="2">
        <v>34.469250000000002</v>
      </c>
      <c r="H457" s="2">
        <v>-36.344250000000002</v>
      </c>
      <c r="I457" s="1">
        <v>0.90036918604651095</v>
      </c>
      <c r="J457" s="1">
        <v>0.922171511627906</v>
      </c>
      <c r="K457" s="1">
        <v>0.68666874435538405</v>
      </c>
      <c r="L457" s="1">
        <v>0.636307999830661</v>
      </c>
      <c r="P457" s="1">
        <f>I457-'Passo 2'!I457</f>
        <v>-2.9069767441860517E-3</v>
      </c>
      <c r="Q457" s="1">
        <f>J457-'Passo 2'!J457</f>
        <v>-7.2674418604660174E-3</v>
      </c>
      <c r="R457" s="1">
        <f t="shared" si="29"/>
        <v>154.86349999999987</v>
      </c>
      <c r="S457">
        <f t="shared" si="28"/>
        <v>158.61349999999985</v>
      </c>
      <c r="T457" s="1">
        <f t="shared" si="30"/>
        <v>118.10702402912605</v>
      </c>
      <c r="U457" s="1">
        <f t="shared" si="31"/>
        <v>109.44497597087368</v>
      </c>
    </row>
    <row r="458" spans="1:21" x14ac:dyDescent="0.3">
      <c r="A458" t="s">
        <v>292</v>
      </c>
      <c r="B458" t="s">
        <v>339</v>
      </c>
      <c r="C458" t="s">
        <v>580</v>
      </c>
      <c r="D458" t="s">
        <v>581</v>
      </c>
      <c r="E458" s="2">
        <v>16.82</v>
      </c>
      <c r="F458" s="2">
        <v>3.0000000000000001E-3</v>
      </c>
      <c r="G458" s="2">
        <v>3.9550000000000001</v>
      </c>
      <c r="H458" s="2">
        <v>-3.9550000000000001</v>
      </c>
      <c r="I458" s="1">
        <v>0.97018430439952397</v>
      </c>
      <c r="J458" s="1">
        <v>0.97018430439952397</v>
      </c>
      <c r="K458" s="1">
        <v>0.91511345139281697</v>
      </c>
      <c r="L458" s="1">
        <v>0.52534433695438798</v>
      </c>
      <c r="P458" s="1">
        <f>I458-'Passo 2'!I458</f>
        <v>0</v>
      </c>
      <c r="Q458" s="1">
        <f>J458-'Passo 2'!J458</f>
        <v>0</v>
      </c>
      <c r="R458" s="1">
        <f t="shared" si="29"/>
        <v>16.318499999999993</v>
      </c>
      <c r="S458">
        <f t="shared" si="28"/>
        <v>16.318499999999993</v>
      </c>
      <c r="T458" s="1">
        <f t="shared" si="30"/>
        <v>15.392208252427181</v>
      </c>
      <c r="U458" s="1">
        <f t="shared" si="31"/>
        <v>8.8362917475728064</v>
      </c>
    </row>
    <row r="459" spans="1:21" x14ac:dyDescent="0.3">
      <c r="A459" t="s">
        <v>292</v>
      </c>
      <c r="B459" t="s">
        <v>340</v>
      </c>
      <c r="C459" t="s">
        <v>574</v>
      </c>
      <c r="D459" t="s">
        <v>575</v>
      </c>
      <c r="E459" s="2">
        <v>108</v>
      </c>
      <c r="F459" s="2">
        <v>7.9000000000000001E-2</v>
      </c>
      <c r="G459" s="2">
        <v>20.212499999999999</v>
      </c>
      <c r="H459" s="2">
        <v>-23.730250000000002</v>
      </c>
      <c r="I459" s="1">
        <v>0.87393981481481398</v>
      </c>
      <c r="J459" s="1">
        <v>0.93908333333333305</v>
      </c>
      <c r="K459" s="1">
        <v>0.55181036984597798</v>
      </c>
      <c r="L459" s="1">
        <v>0.76157851904290996</v>
      </c>
      <c r="P459" s="1">
        <f>I459-'Passo 2'!I459</f>
        <v>0</v>
      </c>
      <c r="Q459" s="1">
        <f>J459-'Passo 2'!J459</f>
        <v>0</v>
      </c>
      <c r="R459" s="1">
        <f t="shared" si="29"/>
        <v>94.385499999999908</v>
      </c>
      <c r="S459">
        <f t="shared" si="28"/>
        <v>101.42099999999996</v>
      </c>
      <c r="T459" s="1">
        <f t="shared" si="30"/>
        <v>59.595519943365623</v>
      </c>
      <c r="U459" s="1">
        <f t="shared" si="31"/>
        <v>82.250480056634274</v>
      </c>
    </row>
    <row r="460" spans="1:21" x14ac:dyDescent="0.3">
      <c r="A460" t="s">
        <v>292</v>
      </c>
      <c r="B460" t="s">
        <v>341</v>
      </c>
      <c r="C460" t="s">
        <v>580</v>
      </c>
      <c r="D460" t="s">
        <v>581</v>
      </c>
      <c r="E460" s="2">
        <v>40</v>
      </c>
      <c r="F460" s="2">
        <v>0</v>
      </c>
      <c r="G460" s="2">
        <v>6.2450000000000001</v>
      </c>
      <c r="H460" s="2">
        <v>-7.25</v>
      </c>
      <c r="I460" s="1">
        <v>0.81225000000000003</v>
      </c>
      <c r="J460" s="1">
        <v>0.86250000000000004</v>
      </c>
      <c r="K460" s="1">
        <v>0.604565095064725</v>
      </c>
      <c r="L460" s="1">
        <v>0.57018490493527496</v>
      </c>
      <c r="P460" s="1">
        <f>I460-'Passo 2'!I460</f>
        <v>0</v>
      </c>
      <c r="Q460" s="1">
        <f>J460-'Passo 2'!J460</f>
        <v>1.8750000000000044E-2</v>
      </c>
      <c r="R460" s="1">
        <f t="shared" si="29"/>
        <v>32.49</v>
      </c>
      <c r="S460">
        <f t="shared" si="28"/>
        <v>34.5</v>
      </c>
      <c r="T460" s="1">
        <f t="shared" si="30"/>
        <v>24.182603802589</v>
      </c>
      <c r="U460" s="1">
        <f t="shared" si="31"/>
        <v>22.807396197410998</v>
      </c>
    </row>
    <row r="461" spans="1:21" x14ac:dyDescent="0.3">
      <c r="A461" t="s">
        <v>292</v>
      </c>
      <c r="B461" t="s">
        <v>342</v>
      </c>
      <c r="C461" t="s">
        <v>34</v>
      </c>
      <c r="D461" t="s">
        <v>35</v>
      </c>
      <c r="E461" s="2">
        <v>2556.5810000000001</v>
      </c>
      <c r="F461" s="2">
        <v>0</v>
      </c>
      <c r="G461" s="2">
        <v>522.61324999999999</v>
      </c>
      <c r="H461" s="2">
        <v>-497.54225000000002</v>
      </c>
      <c r="I461" s="1">
        <v>0.90883762337277696</v>
      </c>
      <c r="J461" s="1">
        <v>0.88922471065849196</v>
      </c>
      <c r="K461" s="1">
        <v>0.81932929053511905</v>
      </c>
      <c r="L461" s="1">
        <v>0.47873304349615098</v>
      </c>
      <c r="P461" s="1">
        <f>I461-'Passo 2'!I461</f>
        <v>0.17822005248415695</v>
      </c>
      <c r="Q461" s="1">
        <f>J461-'Passo 2'!J461</f>
        <v>0.13937540019267891</v>
      </c>
      <c r="R461" s="1">
        <f t="shared" si="29"/>
        <v>2323.5169999999976</v>
      </c>
      <c r="S461">
        <f t="shared" si="28"/>
        <v>2273.3749999999982</v>
      </c>
      <c r="T461" s="1">
        <f t="shared" si="30"/>
        <v>2094.6816969255651</v>
      </c>
      <c r="U461" s="1">
        <f t="shared" si="31"/>
        <v>1223.9198030744333</v>
      </c>
    </row>
    <row r="462" spans="1:21" x14ac:dyDescent="0.3">
      <c r="A462" t="s">
        <v>292</v>
      </c>
      <c r="B462" t="s">
        <v>343</v>
      </c>
      <c r="C462" t="s">
        <v>574</v>
      </c>
      <c r="D462" t="s">
        <v>575</v>
      </c>
      <c r="E462" s="2">
        <v>407</v>
      </c>
      <c r="F462" s="2">
        <v>6.2050000000000001</v>
      </c>
      <c r="G462" s="2">
        <v>65.698750000000004</v>
      </c>
      <c r="H462" s="2">
        <v>-62.448749999999997</v>
      </c>
      <c r="I462" s="1">
        <v>0.81522113022112996</v>
      </c>
      <c r="J462" s="1">
        <v>0.79925061425061406</v>
      </c>
      <c r="K462" s="1">
        <v>0.55091067305169195</v>
      </c>
      <c r="L462" s="1">
        <v>0.57118392154290198</v>
      </c>
      <c r="P462" s="1">
        <f>I462-'Passo 2'!I462</f>
        <v>-2.4570024570020887E-3</v>
      </c>
      <c r="Q462" s="1">
        <f>J462-'Passo 2'!J462</f>
        <v>4.2997542997540439E-3</v>
      </c>
      <c r="R462" s="1">
        <f t="shared" si="29"/>
        <v>331.7949999999999</v>
      </c>
      <c r="S462">
        <f t="shared" si="28"/>
        <v>325.2949999999999</v>
      </c>
      <c r="T462" s="1">
        <f t="shared" si="30"/>
        <v>224.22064393203863</v>
      </c>
      <c r="U462" s="1">
        <f t="shared" si="31"/>
        <v>232.47185606796111</v>
      </c>
    </row>
    <row r="463" spans="1:21" x14ac:dyDescent="0.3">
      <c r="A463" t="s">
        <v>292</v>
      </c>
      <c r="B463" t="s">
        <v>344</v>
      </c>
      <c r="C463" t="s">
        <v>576</v>
      </c>
      <c r="D463" t="s">
        <v>591</v>
      </c>
      <c r="E463" s="2">
        <v>23</v>
      </c>
      <c r="F463" s="2">
        <v>0.01</v>
      </c>
      <c r="G463" s="2">
        <v>3.3725000000000001</v>
      </c>
      <c r="H463" s="2">
        <v>-2.9975000000000001</v>
      </c>
      <c r="I463" s="1">
        <v>0.79304347826086896</v>
      </c>
      <c r="J463" s="1">
        <v>0.76043478260869501</v>
      </c>
      <c r="K463" s="1">
        <v>0.57771647495427003</v>
      </c>
      <c r="L463" s="1">
        <v>0.475979177219642</v>
      </c>
      <c r="P463" s="1">
        <f>I463-'Passo 2'!I463</f>
        <v>1.0869565217390909E-2</v>
      </c>
      <c r="Q463" s="1">
        <f>J463-'Passo 2'!J463</f>
        <v>0</v>
      </c>
      <c r="R463" s="1">
        <f t="shared" si="29"/>
        <v>18.239999999999988</v>
      </c>
      <c r="S463">
        <f t="shared" si="28"/>
        <v>17.489999999999984</v>
      </c>
      <c r="T463" s="1">
        <f t="shared" si="30"/>
        <v>13.287478923948211</v>
      </c>
      <c r="U463" s="1">
        <f t="shared" si="31"/>
        <v>10.947521076051766</v>
      </c>
    </row>
    <row r="464" spans="1:21" x14ac:dyDescent="0.3">
      <c r="A464" t="s">
        <v>292</v>
      </c>
      <c r="B464" t="s">
        <v>345</v>
      </c>
      <c r="C464" t="s">
        <v>574</v>
      </c>
      <c r="D464" t="s">
        <v>575</v>
      </c>
      <c r="E464" s="2">
        <v>34</v>
      </c>
      <c r="F464" s="2">
        <v>1.6E-2</v>
      </c>
      <c r="G464" s="2">
        <v>5.1779999999999999</v>
      </c>
      <c r="H464" s="2">
        <v>-5.1779999999999999</v>
      </c>
      <c r="I464" s="1">
        <v>0.80435294117647005</v>
      </c>
      <c r="J464" s="1">
        <v>0.80435294117647005</v>
      </c>
      <c r="K464" s="1">
        <v>0.58080353488482706</v>
      </c>
      <c r="L464" s="1">
        <v>0.52813764158576004</v>
      </c>
      <c r="P464" s="1">
        <f>I464-'Passo 2'!I464</f>
        <v>0</v>
      </c>
      <c r="Q464" s="1">
        <f>J464-'Passo 2'!J464</f>
        <v>0</v>
      </c>
      <c r="R464" s="1">
        <f t="shared" si="29"/>
        <v>27.347999999999981</v>
      </c>
      <c r="S464">
        <f t="shared" si="28"/>
        <v>27.347999999999981</v>
      </c>
      <c r="T464" s="1">
        <f t="shared" si="30"/>
        <v>19.747320186084121</v>
      </c>
      <c r="U464" s="1">
        <f t="shared" si="31"/>
        <v>17.956679813915841</v>
      </c>
    </row>
    <row r="465" spans="1:21" x14ac:dyDescent="0.3">
      <c r="A465" t="s">
        <v>292</v>
      </c>
      <c r="B465" t="s">
        <v>346</v>
      </c>
      <c r="C465" t="s">
        <v>580</v>
      </c>
      <c r="D465" t="s">
        <v>581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P465" s="1">
        <f>I465-'Passo 2'!I465</f>
        <v>0</v>
      </c>
      <c r="Q465" s="1">
        <f>J465-'Passo 2'!J465</f>
        <v>0</v>
      </c>
      <c r="R465" s="1">
        <f t="shared" si="29"/>
        <v>0</v>
      </c>
      <c r="S465">
        <f t="shared" si="28"/>
        <v>0</v>
      </c>
      <c r="T465" s="1">
        <f t="shared" si="30"/>
        <v>0</v>
      </c>
      <c r="U465" s="1">
        <f t="shared" si="31"/>
        <v>0</v>
      </c>
    </row>
    <row r="466" spans="1:21" x14ac:dyDescent="0.3">
      <c r="A466" t="s">
        <v>292</v>
      </c>
      <c r="B466" t="s">
        <v>347</v>
      </c>
      <c r="C466" t="s">
        <v>34</v>
      </c>
      <c r="D466" t="s">
        <v>35</v>
      </c>
      <c r="E466" s="2">
        <v>3</v>
      </c>
      <c r="F466" s="2">
        <v>0</v>
      </c>
      <c r="G466" s="2">
        <v>0.75</v>
      </c>
      <c r="H466" s="2">
        <v>-0.5</v>
      </c>
      <c r="I466" s="1">
        <v>1</v>
      </c>
      <c r="J466" s="1">
        <v>0.83333333333333304</v>
      </c>
      <c r="K466" s="1">
        <v>0.81837075242718404</v>
      </c>
      <c r="L466" s="1">
        <v>0.51496258090614799</v>
      </c>
      <c r="P466" s="1">
        <f>I466-'Passo 2'!I466</f>
        <v>0</v>
      </c>
      <c r="Q466" s="1">
        <f>J466-'Passo 2'!J466</f>
        <v>-0.16666666666666696</v>
      </c>
      <c r="R466" s="1">
        <f t="shared" si="29"/>
        <v>3</v>
      </c>
      <c r="S466">
        <f t="shared" si="28"/>
        <v>2.4999999999999991</v>
      </c>
      <c r="T466" s="1">
        <f t="shared" si="30"/>
        <v>2.4551122572815522</v>
      </c>
      <c r="U466" s="1">
        <f t="shared" si="31"/>
        <v>1.544887742718444</v>
      </c>
    </row>
    <row r="467" spans="1:21" x14ac:dyDescent="0.3">
      <c r="A467" t="s">
        <v>292</v>
      </c>
      <c r="B467" t="s">
        <v>348</v>
      </c>
      <c r="C467" t="s">
        <v>34</v>
      </c>
      <c r="D467" t="s">
        <v>35</v>
      </c>
      <c r="E467" s="2">
        <v>1126.22</v>
      </c>
      <c r="F467" s="2">
        <v>0</v>
      </c>
      <c r="G467" s="2">
        <v>225.66249999999999</v>
      </c>
      <c r="H467" s="2">
        <v>-251.447</v>
      </c>
      <c r="I467" s="1">
        <v>0.90074319404734404</v>
      </c>
      <c r="J467" s="1">
        <v>0.94653264903837597</v>
      </c>
      <c r="K467" s="1">
        <v>0.80353033562481402</v>
      </c>
      <c r="L467" s="1">
        <v>0.543745507460905</v>
      </c>
      <c r="P467" s="1">
        <f>I467-'Passo 2'!I467</f>
        <v>0.169356786418284</v>
      </c>
      <c r="Q467" s="1">
        <f>J467-'Passo 2'!J467</f>
        <v>0.12380263181261197</v>
      </c>
      <c r="R467" s="1">
        <f t="shared" si="29"/>
        <v>1014.4349999999998</v>
      </c>
      <c r="S467">
        <f t="shared" si="28"/>
        <v>1066.0039999999999</v>
      </c>
      <c r="T467" s="1">
        <f t="shared" si="30"/>
        <v>904.9519345873781</v>
      </c>
      <c r="U467" s="1">
        <f t="shared" si="31"/>
        <v>612.37706541262048</v>
      </c>
    </row>
    <row r="468" spans="1:21" x14ac:dyDescent="0.3">
      <c r="A468" t="s">
        <v>292</v>
      </c>
      <c r="B468" t="s">
        <v>349</v>
      </c>
      <c r="C468" t="s">
        <v>574</v>
      </c>
      <c r="D468" t="s">
        <v>575</v>
      </c>
      <c r="E468" s="2">
        <v>618</v>
      </c>
      <c r="F468" s="2">
        <v>8.3940000000000001</v>
      </c>
      <c r="G468" s="2">
        <v>87.401499999999999</v>
      </c>
      <c r="H468" s="2">
        <v>-118.9015</v>
      </c>
      <c r="I468" s="1">
        <v>0.77606148867313896</v>
      </c>
      <c r="J468" s="1">
        <v>0.878003236245954</v>
      </c>
      <c r="K468" s="1">
        <v>0.49346260270367898</v>
      </c>
      <c r="L468" s="1">
        <v>0.66739338435133599</v>
      </c>
      <c r="P468" s="1">
        <f>I468-'Passo 2'!I468</f>
        <v>-8.0906148867299077E-4</v>
      </c>
      <c r="Q468" s="1">
        <f>J468-'Passo 2'!J468</f>
        <v>1.6181229773459815E-3</v>
      </c>
      <c r="R468" s="1">
        <f t="shared" si="29"/>
        <v>479.60599999999988</v>
      </c>
      <c r="S468">
        <f t="shared" si="28"/>
        <v>542.60599999999954</v>
      </c>
      <c r="T468" s="1">
        <f t="shared" si="30"/>
        <v>304.95988847087358</v>
      </c>
      <c r="U468" s="1">
        <f t="shared" si="31"/>
        <v>412.44911152912562</v>
      </c>
    </row>
    <row r="469" spans="1:21" x14ac:dyDescent="0.3">
      <c r="A469" t="s">
        <v>292</v>
      </c>
      <c r="B469" t="s">
        <v>350</v>
      </c>
      <c r="C469" t="s">
        <v>576</v>
      </c>
      <c r="D469" t="s">
        <v>591</v>
      </c>
      <c r="E469" s="2">
        <v>28</v>
      </c>
      <c r="F469" s="2">
        <v>0</v>
      </c>
      <c r="G469" s="2">
        <v>4.5</v>
      </c>
      <c r="H469" s="2">
        <v>-2.5</v>
      </c>
      <c r="I469" s="1">
        <v>0.82142857142857095</v>
      </c>
      <c r="J469" s="1">
        <v>0.67857142857142805</v>
      </c>
      <c r="K469" s="1">
        <v>0.65669827207581999</v>
      </c>
      <c r="L469" s="1">
        <v>0.34330172792417901</v>
      </c>
      <c r="P469" s="1">
        <f>I469-'Passo 2'!I469</f>
        <v>0</v>
      </c>
      <c r="Q469" s="1">
        <f>J469-'Passo 2'!J469</f>
        <v>0</v>
      </c>
      <c r="R469" s="1">
        <f t="shared" si="29"/>
        <v>22.999999999999986</v>
      </c>
      <c r="S469">
        <f t="shared" si="28"/>
        <v>18.999999999999986</v>
      </c>
      <c r="T469" s="1">
        <f t="shared" si="30"/>
        <v>18.387551618122959</v>
      </c>
      <c r="U469" s="1">
        <f t="shared" si="31"/>
        <v>9.6124483818770123</v>
      </c>
    </row>
    <row r="470" spans="1:21" x14ac:dyDescent="0.3">
      <c r="A470" t="s">
        <v>292</v>
      </c>
      <c r="B470" t="s">
        <v>351</v>
      </c>
      <c r="C470" t="s">
        <v>576</v>
      </c>
      <c r="D470" t="s">
        <v>595</v>
      </c>
      <c r="E470" s="2">
        <v>347.46899999999999</v>
      </c>
      <c r="F470" s="2">
        <v>0</v>
      </c>
      <c r="G470" s="2">
        <v>71.273750000000007</v>
      </c>
      <c r="H470" s="2">
        <v>-86.283500000000004</v>
      </c>
      <c r="I470" s="1">
        <v>0.91024523050977202</v>
      </c>
      <c r="J470" s="1">
        <v>0.99663998802770903</v>
      </c>
      <c r="K470" s="1">
        <v>0.57487238576594901</v>
      </c>
      <c r="L470" s="1">
        <v>0.83201283277153104</v>
      </c>
      <c r="P470" s="1">
        <f>I470-'Passo 2'!I470</f>
        <v>0.18717784895918799</v>
      </c>
      <c r="Q470" s="1">
        <f>J470-'Passo 2'!J470</f>
        <v>7.2380557690099323E-4</v>
      </c>
      <c r="R470" s="1">
        <f t="shared" si="29"/>
        <v>316.28199999999998</v>
      </c>
      <c r="S470">
        <f t="shared" si="28"/>
        <v>346.30150000000003</v>
      </c>
      <c r="T470" s="1">
        <f t="shared" si="30"/>
        <v>199.75033300970853</v>
      </c>
      <c r="U470" s="1">
        <f t="shared" si="31"/>
        <v>289.09866699029112</v>
      </c>
    </row>
    <row r="471" spans="1:21" x14ac:dyDescent="0.3">
      <c r="A471" t="s">
        <v>292</v>
      </c>
      <c r="B471" t="s">
        <v>352</v>
      </c>
      <c r="C471" t="s">
        <v>574</v>
      </c>
      <c r="D471" t="s">
        <v>575</v>
      </c>
      <c r="E471" s="2">
        <v>226.97800000000001</v>
      </c>
      <c r="F471" s="2">
        <v>0</v>
      </c>
      <c r="G471" s="2">
        <v>56.722499999999997</v>
      </c>
      <c r="H471" s="2">
        <v>-56.393250000000002</v>
      </c>
      <c r="I471" s="1">
        <v>0.99980614861352202</v>
      </c>
      <c r="J471" s="1">
        <v>0.99690498638634495</v>
      </c>
      <c r="K471" s="1">
        <v>0.66144410770916795</v>
      </c>
      <c r="L471" s="1">
        <v>0.83526702729069902</v>
      </c>
      <c r="P471" s="1">
        <f>I471-'Passo 2'!I471</f>
        <v>0</v>
      </c>
      <c r="Q471" s="1">
        <f>J471-'Passo 2'!J471</f>
        <v>6.7627699600791846E-4</v>
      </c>
      <c r="R471" s="1">
        <f t="shared" si="29"/>
        <v>226.934</v>
      </c>
      <c r="S471">
        <f t="shared" si="28"/>
        <v>226.27549999999982</v>
      </c>
      <c r="T471" s="1">
        <f t="shared" si="30"/>
        <v>150.13326067961154</v>
      </c>
      <c r="U471" s="1">
        <f t="shared" si="31"/>
        <v>189.58723932038828</v>
      </c>
    </row>
    <row r="472" spans="1:21" x14ac:dyDescent="0.3">
      <c r="A472" t="s">
        <v>292</v>
      </c>
      <c r="B472" t="s">
        <v>353</v>
      </c>
      <c r="C472" t="s">
        <v>574</v>
      </c>
      <c r="D472" t="s">
        <v>575</v>
      </c>
      <c r="E472" s="2">
        <v>158.75200000000001</v>
      </c>
      <c r="F472" s="2">
        <v>0</v>
      </c>
      <c r="G472" s="2">
        <v>39.07</v>
      </c>
      <c r="H472" s="2">
        <v>-38.881</v>
      </c>
      <c r="I472" s="1">
        <v>0.99221427131626605</v>
      </c>
      <c r="J472" s="1">
        <v>0.98983319895182398</v>
      </c>
      <c r="K472" s="1">
        <v>0.71130913153340303</v>
      </c>
      <c r="L472" s="1">
        <v>0.770738338734687</v>
      </c>
      <c r="P472" s="1">
        <f>I472-'Passo 2'!I472</f>
        <v>0</v>
      </c>
      <c r="Q472" s="1">
        <f>J472-'Passo 2'!J472</f>
        <v>6.2991332390183175E-6</v>
      </c>
      <c r="R472" s="1">
        <f t="shared" si="29"/>
        <v>157.51599999999988</v>
      </c>
      <c r="S472">
        <f t="shared" si="28"/>
        <v>157.13799999999998</v>
      </c>
      <c r="T472" s="1">
        <f t="shared" si="30"/>
        <v>112.9217472491908</v>
      </c>
      <c r="U472" s="1">
        <f t="shared" si="31"/>
        <v>122.35625275080903</v>
      </c>
    </row>
    <row r="473" spans="1:21" x14ac:dyDescent="0.3">
      <c r="A473" t="s">
        <v>292</v>
      </c>
      <c r="B473" t="s">
        <v>719</v>
      </c>
      <c r="C473" t="s">
        <v>574</v>
      </c>
      <c r="D473" t="s">
        <v>575</v>
      </c>
      <c r="E473" s="2">
        <v>77.637</v>
      </c>
      <c r="F473" s="2">
        <v>0</v>
      </c>
      <c r="G473" s="2">
        <v>19.324249999999999</v>
      </c>
      <c r="H473" s="2">
        <v>-19.150749999999999</v>
      </c>
      <c r="I473" s="1">
        <v>0.99781032239782497</v>
      </c>
      <c r="J473" s="1">
        <v>0.99334080399809299</v>
      </c>
      <c r="K473" s="1">
        <v>0.73134812464096699</v>
      </c>
      <c r="L473" s="1">
        <v>0.75980300175495097</v>
      </c>
      <c r="P473" s="1">
        <f>I473-'Passo 2'!I473</f>
        <v>3.0977497842519242E-3</v>
      </c>
      <c r="Q473" s="1">
        <f>J473-'Passo 2'!J473</f>
        <v>1.7259811687729831E-3</v>
      </c>
      <c r="R473" s="1">
        <f t="shared" si="29"/>
        <v>77.466999999999942</v>
      </c>
      <c r="S473">
        <f t="shared" si="28"/>
        <v>77.119999999999948</v>
      </c>
      <c r="T473" s="1">
        <f t="shared" si="30"/>
        <v>56.779674352750753</v>
      </c>
      <c r="U473" s="1">
        <f t="shared" si="31"/>
        <v>58.988825647249129</v>
      </c>
    </row>
    <row r="474" spans="1:21" x14ac:dyDescent="0.3">
      <c r="A474" t="s">
        <v>292</v>
      </c>
      <c r="B474" t="s">
        <v>720</v>
      </c>
      <c r="C474" t="s">
        <v>574</v>
      </c>
      <c r="D474" t="s">
        <v>575</v>
      </c>
      <c r="E474" s="2">
        <v>0</v>
      </c>
      <c r="F474" s="2">
        <v>0</v>
      </c>
      <c r="G474" s="2">
        <v>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P474" s="1">
        <f>I474-'Passo 2'!I474</f>
        <v>0</v>
      </c>
      <c r="Q474" s="1">
        <f>J474-'Passo 2'!J474</f>
        <v>0</v>
      </c>
      <c r="R474" s="1">
        <f t="shared" si="29"/>
        <v>0</v>
      </c>
      <c r="S474">
        <f t="shared" si="28"/>
        <v>0</v>
      </c>
      <c r="T474" s="1">
        <f t="shared" si="30"/>
        <v>0</v>
      </c>
      <c r="U474" s="1">
        <f t="shared" si="31"/>
        <v>0</v>
      </c>
    </row>
    <row r="475" spans="1:21" x14ac:dyDescent="0.3">
      <c r="A475" t="s">
        <v>292</v>
      </c>
      <c r="B475" t="s">
        <v>354</v>
      </c>
      <c r="C475" t="s">
        <v>576</v>
      </c>
      <c r="D475" t="s">
        <v>598</v>
      </c>
      <c r="E475" s="2">
        <v>0</v>
      </c>
      <c r="F475" s="2">
        <v>0</v>
      </c>
      <c r="G475" s="2">
        <v>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P475" s="1">
        <f>I475-'Passo 2'!I475</f>
        <v>0</v>
      </c>
      <c r="Q475" s="1">
        <f>J475-'Passo 2'!J475</f>
        <v>0</v>
      </c>
      <c r="R475" s="1">
        <f t="shared" si="29"/>
        <v>0</v>
      </c>
      <c r="S475">
        <f t="shared" si="28"/>
        <v>0</v>
      </c>
      <c r="T475" s="1">
        <f t="shared" si="30"/>
        <v>0</v>
      </c>
      <c r="U475" s="1">
        <f t="shared" si="31"/>
        <v>0</v>
      </c>
    </row>
    <row r="476" spans="1:21" x14ac:dyDescent="0.3">
      <c r="A476" t="s">
        <v>292</v>
      </c>
      <c r="B476" t="s">
        <v>355</v>
      </c>
      <c r="C476" t="s">
        <v>574</v>
      </c>
      <c r="D476" t="s">
        <v>575</v>
      </c>
      <c r="E476" s="2">
        <v>122.598</v>
      </c>
      <c r="F476" s="2">
        <v>0</v>
      </c>
      <c r="G476" s="2">
        <v>30.57375</v>
      </c>
      <c r="H476" s="2">
        <v>-30.6495</v>
      </c>
      <c r="I476" s="1">
        <v>0.99876425390300005</v>
      </c>
      <c r="J476" s="1">
        <v>1</v>
      </c>
      <c r="K476" s="1">
        <v>0.70036103011125195</v>
      </c>
      <c r="L476" s="1">
        <v>0.798403223791748</v>
      </c>
      <c r="P476" s="1">
        <f>I476-'Passo 2'!I476</f>
        <v>1.8352664807008701E-4</v>
      </c>
      <c r="Q476" s="1">
        <f>J476-'Passo 2'!J476</f>
        <v>0</v>
      </c>
      <c r="R476" s="1">
        <f t="shared" si="29"/>
        <v>122.4465</v>
      </c>
      <c r="S476">
        <f t="shared" si="28"/>
        <v>122.598</v>
      </c>
      <c r="T476" s="1">
        <f t="shared" si="30"/>
        <v>85.862861569579266</v>
      </c>
      <c r="U476" s="1">
        <f t="shared" si="31"/>
        <v>97.882638430420727</v>
      </c>
    </row>
    <row r="477" spans="1:21" x14ac:dyDescent="0.3">
      <c r="A477" t="s">
        <v>292</v>
      </c>
      <c r="B477" t="s">
        <v>721</v>
      </c>
      <c r="C477" t="s">
        <v>574</v>
      </c>
      <c r="D477" t="s">
        <v>575</v>
      </c>
      <c r="E477" s="2">
        <v>1099.386</v>
      </c>
      <c r="F477" s="2">
        <v>0</v>
      </c>
      <c r="G477" s="2">
        <v>237.01074999999901</v>
      </c>
      <c r="H477" s="2">
        <v>-226.58074999999999</v>
      </c>
      <c r="I477" s="1">
        <v>0.93116930723149105</v>
      </c>
      <c r="J477" s="1">
        <v>0.91219507979908698</v>
      </c>
      <c r="K477" s="1">
        <v>0.64157771189457702</v>
      </c>
      <c r="L477" s="1">
        <v>0.70178667513600101</v>
      </c>
      <c r="P477" s="1">
        <f>I477-'Passo 2'!I477</f>
        <v>4.9467611921564014E-2</v>
      </c>
      <c r="Q477" s="1">
        <f>J477-'Passo 2'!J477</f>
        <v>6.0893080319378012E-2</v>
      </c>
      <c r="R477" s="1">
        <f t="shared" si="29"/>
        <v>1023.7145</v>
      </c>
      <c r="S477">
        <f t="shared" si="28"/>
        <v>1002.854499999999</v>
      </c>
      <c r="T477" s="1">
        <f t="shared" si="30"/>
        <v>705.34155436893138</v>
      </c>
      <c r="U477" s="1">
        <f t="shared" si="31"/>
        <v>771.53444563106757</v>
      </c>
    </row>
    <row r="478" spans="1:21" x14ac:dyDescent="0.3">
      <c r="A478" t="s">
        <v>292</v>
      </c>
      <c r="B478" t="s">
        <v>722</v>
      </c>
      <c r="C478" t="s">
        <v>574</v>
      </c>
      <c r="D478" t="s">
        <v>575</v>
      </c>
      <c r="E478" s="2">
        <v>192.047</v>
      </c>
      <c r="F478" s="2">
        <v>0</v>
      </c>
      <c r="G478" s="2">
        <v>47.816249999999997</v>
      </c>
      <c r="H478" s="2">
        <v>-47.908000000000001</v>
      </c>
      <c r="I478" s="1">
        <v>0.99796404005269501</v>
      </c>
      <c r="J478" s="1">
        <v>0.998919535322082</v>
      </c>
      <c r="K478" s="1">
        <v>0.67790141459775799</v>
      </c>
      <c r="L478" s="1">
        <v>0.81898216077701902</v>
      </c>
      <c r="P478" s="1">
        <f>I478-'Passo 2'!I478</f>
        <v>6.5088233608956436E-5</v>
      </c>
      <c r="Q478" s="1">
        <f>J478-'Passo 2'!J478</f>
        <v>1.7573823074560346E-3</v>
      </c>
      <c r="R478" s="1">
        <f t="shared" si="29"/>
        <v>191.65599999999992</v>
      </c>
      <c r="S478">
        <f t="shared" si="28"/>
        <v>191.83949999999987</v>
      </c>
      <c r="T478" s="1">
        <f t="shared" si="30"/>
        <v>130.18893296925563</v>
      </c>
      <c r="U478" s="1">
        <f t="shared" si="31"/>
        <v>157.28306703074418</v>
      </c>
    </row>
    <row r="479" spans="1:21" x14ac:dyDescent="0.3">
      <c r="A479" t="s">
        <v>292</v>
      </c>
      <c r="B479" t="s">
        <v>356</v>
      </c>
      <c r="C479" t="s">
        <v>574</v>
      </c>
      <c r="D479" t="s">
        <v>575</v>
      </c>
      <c r="E479" s="2">
        <v>1421.5260000000001</v>
      </c>
      <c r="F479" s="2">
        <v>0</v>
      </c>
      <c r="G479" s="2">
        <v>354.74824999999998</v>
      </c>
      <c r="H479" s="2">
        <v>-353.67099999999999</v>
      </c>
      <c r="I479" s="1">
        <v>0.99910905604259004</v>
      </c>
      <c r="J479" s="1">
        <v>0.99759343128440803</v>
      </c>
      <c r="K479" s="1">
        <v>0.68783080018224796</v>
      </c>
      <c r="L479" s="1">
        <v>0.80887168714475099</v>
      </c>
      <c r="P479" s="1">
        <f>I479-'Passo 2'!I479</f>
        <v>3.1662452885139025E-2</v>
      </c>
      <c r="Q479" s="1">
        <f>J479-'Passo 2'!J479</f>
        <v>2.1566260483452004E-2</v>
      </c>
      <c r="R479" s="1">
        <f t="shared" si="29"/>
        <v>1420.259499999999</v>
      </c>
      <c r="S479">
        <f t="shared" si="28"/>
        <v>1418.1049999999996</v>
      </c>
      <c r="T479" s="1">
        <f t="shared" si="30"/>
        <v>977.76936605987021</v>
      </c>
      <c r="U479" s="1">
        <f t="shared" si="31"/>
        <v>1149.8321339401293</v>
      </c>
    </row>
    <row r="480" spans="1:21" x14ac:dyDescent="0.3">
      <c r="A480" t="s">
        <v>292</v>
      </c>
      <c r="B480" t="s">
        <v>357</v>
      </c>
      <c r="C480" t="s">
        <v>574</v>
      </c>
      <c r="D480" t="s">
        <v>575</v>
      </c>
      <c r="E480" s="2">
        <v>121.19</v>
      </c>
      <c r="F480" s="2">
        <v>0</v>
      </c>
      <c r="G480" s="2">
        <v>30.276499999999999</v>
      </c>
      <c r="H480" s="2">
        <v>-30.206250000000001</v>
      </c>
      <c r="I480" s="1">
        <v>0.99965343675220697</v>
      </c>
      <c r="J480" s="1">
        <v>0.998494100173281</v>
      </c>
      <c r="K480" s="1">
        <v>0.74406670761710103</v>
      </c>
      <c r="L480" s="1">
        <v>0.75408082930838705</v>
      </c>
      <c r="P480" s="1">
        <f>I480-'Passo 2'!I480</f>
        <v>1.7328162389695922E-4</v>
      </c>
      <c r="Q480" s="1">
        <f>J480-'Passo 2'!J480</f>
        <v>1.6503011799595679E-4</v>
      </c>
      <c r="R480" s="1">
        <f t="shared" si="29"/>
        <v>121.14799999999995</v>
      </c>
      <c r="S480">
        <f t="shared" si="28"/>
        <v>121.00749999999992</v>
      </c>
      <c r="T480" s="1">
        <f t="shared" si="30"/>
        <v>90.173444296116472</v>
      </c>
      <c r="U480" s="1">
        <f t="shared" si="31"/>
        <v>91.387055703883419</v>
      </c>
    </row>
    <row r="481" spans="1:21" x14ac:dyDescent="0.3">
      <c r="A481" t="s">
        <v>292</v>
      </c>
      <c r="B481" t="s">
        <v>723</v>
      </c>
      <c r="C481" t="s">
        <v>574</v>
      </c>
      <c r="D481" t="s">
        <v>575</v>
      </c>
      <c r="E481" s="2">
        <v>50.994</v>
      </c>
      <c r="F481" s="2">
        <v>0</v>
      </c>
      <c r="G481" s="2">
        <v>12.583</v>
      </c>
      <c r="H481" s="2">
        <v>-12.55725</v>
      </c>
      <c r="I481" s="1">
        <v>0.99350904027924802</v>
      </c>
      <c r="J481" s="1">
        <v>0.99249911754324005</v>
      </c>
      <c r="K481" s="1">
        <v>0.83457603290383697</v>
      </c>
      <c r="L481" s="1">
        <v>0.65143212491865099</v>
      </c>
      <c r="P481" s="1">
        <f>I481-'Passo 2'!I481</f>
        <v>1.8041338196650436E-3</v>
      </c>
      <c r="Q481" s="1">
        <f>J481-'Passo 2'!J481</f>
        <v>2.35321802565025E-4</v>
      </c>
      <c r="R481" s="1">
        <f t="shared" si="29"/>
        <v>50.662999999999975</v>
      </c>
      <c r="S481">
        <f t="shared" si="28"/>
        <v>50.611499999999985</v>
      </c>
      <c r="T481" s="1">
        <f t="shared" si="30"/>
        <v>42.558370221898265</v>
      </c>
      <c r="U481" s="1">
        <f t="shared" si="31"/>
        <v>33.219129778101689</v>
      </c>
    </row>
    <row r="482" spans="1:21" x14ac:dyDescent="0.3">
      <c r="A482" t="s">
        <v>292</v>
      </c>
      <c r="B482" t="s">
        <v>724</v>
      </c>
      <c r="C482" t="s">
        <v>574</v>
      </c>
      <c r="D482" t="s">
        <v>575</v>
      </c>
      <c r="E482" s="2">
        <v>142.078</v>
      </c>
      <c r="F482" s="2">
        <v>0</v>
      </c>
      <c r="G482" s="2">
        <v>35.111750000000001</v>
      </c>
      <c r="H482" s="2">
        <v>-35.130499999999998</v>
      </c>
      <c r="I482" s="1">
        <v>0.99426019510409702</v>
      </c>
      <c r="J482" s="1">
        <v>0.994524134630273</v>
      </c>
      <c r="K482" s="1">
        <v>0.67680912550610905</v>
      </c>
      <c r="L482" s="1">
        <v>0.81197520422826197</v>
      </c>
      <c r="P482" s="1">
        <f>I482-'Passo 2'!I482</f>
        <v>3.9766888610404116E-4</v>
      </c>
      <c r="Q482" s="1">
        <f>J482-'Passo 2'!J482</f>
        <v>0</v>
      </c>
      <c r="R482" s="1">
        <f t="shared" si="29"/>
        <v>141.2624999999999</v>
      </c>
      <c r="S482">
        <f t="shared" si="28"/>
        <v>141.29999999999993</v>
      </c>
      <c r="T482" s="1">
        <f t="shared" si="30"/>
        <v>96.159686933656971</v>
      </c>
      <c r="U482" s="1">
        <f t="shared" si="31"/>
        <v>115.36381306634301</v>
      </c>
    </row>
    <row r="483" spans="1:21" x14ac:dyDescent="0.3">
      <c r="A483" t="s">
        <v>292</v>
      </c>
      <c r="B483" t="s">
        <v>725</v>
      </c>
      <c r="C483" t="s">
        <v>576</v>
      </c>
      <c r="D483" t="s">
        <v>14</v>
      </c>
      <c r="E483" s="2">
        <v>8.1859999999999999</v>
      </c>
      <c r="F483" s="2">
        <v>0</v>
      </c>
      <c r="G483" s="2">
        <v>2.0465</v>
      </c>
      <c r="H483" s="2">
        <v>-2.0465</v>
      </c>
      <c r="I483" s="1">
        <v>1</v>
      </c>
      <c r="J483" s="1">
        <v>1</v>
      </c>
      <c r="K483" s="1">
        <v>0.85828439035151105</v>
      </c>
      <c r="L483" s="1">
        <v>0.64171560964848795</v>
      </c>
      <c r="P483" s="1">
        <f>I483-'Passo 2'!I483</f>
        <v>1.594185194234099E-2</v>
      </c>
      <c r="Q483" s="1">
        <f>J483-'Passo 2'!J483</f>
        <v>0</v>
      </c>
      <c r="R483" s="1">
        <f t="shared" si="29"/>
        <v>8.1859999999999999</v>
      </c>
      <c r="S483">
        <f t="shared" si="28"/>
        <v>8.1859999999999999</v>
      </c>
      <c r="T483" s="1">
        <f t="shared" si="30"/>
        <v>7.025916019417469</v>
      </c>
      <c r="U483" s="1">
        <f t="shared" si="31"/>
        <v>5.253083980582522</v>
      </c>
    </row>
    <row r="484" spans="1:21" x14ac:dyDescent="0.3">
      <c r="A484" t="s">
        <v>292</v>
      </c>
      <c r="B484" t="s">
        <v>358</v>
      </c>
      <c r="C484" t="s">
        <v>576</v>
      </c>
      <c r="D484" t="s">
        <v>577</v>
      </c>
      <c r="E484" s="2">
        <v>0.2</v>
      </c>
      <c r="F484" s="2">
        <v>0</v>
      </c>
      <c r="G484" s="2">
        <v>2.5000000000000001E-2</v>
      </c>
      <c r="H484" s="2">
        <v>-2.5000000000000001E-2</v>
      </c>
      <c r="I484" s="1">
        <v>0.75</v>
      </c>
      <c r="J484" s="1">
        <v>0.75</v>
      </c>
      <c r="K484" s="1">
        <v>0.74863309061488603</v>
      </c>
      <c r="L484" s="1">
        <v>0.25136690938511302</v>
      </c>
      <c r="P484" s="1">
        <f>I484-'Passo 2'!I484</f>
        <v>0</v>
      </c>
      <c r="Q484" s="1">
        <f>J484-'Passo 2'!J484</f>
        <v>0</v>
      </c>
      <c r="R484" s="1">
        <f t="shared" si="29"/>
        <v>0.15000000000000002</v>
      </c>
      <c r="S484">
        <f t="shared" si="28"/>
        <v>0.15000000000000002</v>
      </c>
      <c r="T484" s="1">
        <f t="shared" si="30"/>
        <v>0.14972661812297722</v>
      </c>
      <c r="U484" s="1">
        <f t="shared" si="31"/>
        <v>5.0273381877022606E-2</v>
      </c>
    </row>
    <row r="485" spans="1:21" x14ac:dyDescent="0.3">
      <c r="A485" t="s">
        <v>292</v>
      </c>
      <c r="B485" t="s">
        <v>726</v>
      </c>
      <c r="C485" t="s">
        <v>580</v>
      </c>
      <c r="D485" t="s">
        <v>581</v>
      </c>
      <c r="E485" s="2">
        <v>30.155000000000001</v>
      </c>
      <c r="F485" s="2">
        <v>0</v>
      </c>
      <c r="G485" s="2">
        <v>7.1682499999999996</v>
      </c>
      <c r="H485" s="2">
        <v>-7.0012499999999998</v>
      </c>
      <c r="I485" s="1">
        <v>0.97542696070303403</v>
      </c>
      <c r="J485" s="1">
        <v>0.96435085392140596</v>
      </c>
      <c r="K485" s="1">
        <v>0.82261727165845899</v>
      </c>
      <c r="L485" s="1">
        <v>0.617160542965981</v>
      </c>
      <c r="P485" s="1">
        <f>I485-'Passo 2'!I485</f>
        <v>4.1618305421989854E-3</v>
      </c>
      <c r="Q485" s="1">
        <f>J485-'Passo 2'!J485</f>
        <v>4.0623445531429159E-3</v>
      </c>
      <c r="R485" s="1">
        <f t="shared" si="29"/>
        <v>29.413999999999991</v>
      </c>
      <c r="S485">
        <f t="shared" si="28"/>
        <v>29.08</v>
      </c>
      <c r="T485" s="1">
        <f t="shared" si="30"/>
        <v>24.80602382686083</v>
      </c>
      <c r="U485" s="1">
        <f t="shared" si="31"/>
        <v>18.610476173139158</v>
      </c>
    </row>
    <row r="486" spans="1:21" x14ac:dyDescent="0.3">
      <c r="A486" t="s">
        <v>359</v>
      </c>
      <c r="B486" t="s">
        <v>727</v>
      </c>
      <c r="C486" t="s">
        <v>574</v>
      </c>
      <c r="D486" t="s">
        <v>575</v>
      </c>
      <c r="E486" s="2">
        <v>315.86099999999999</v>
      </c>
      <c r="F486" s="2">
        <v>0</v>
      </c>
      <c r="G486" s="2">
        <v>73.361249999999998</v>
      </c>
      <c r="H486" s="2">
        <v>-75.966499999999996</v>
      </c>
      <c r="I486" s="1">
        <v>0.96451603711759204</v>
      </c>
      <c r="J486" s="1">
        <v>0.98101221739942501</v>
      </c>
      <c r="K486" s="1">
        <v>0.78669283961794301</v>
      </c>
      <c r="L486" s="1">
        <v>0.65883541489907504</v>
      </c>
      <c r="P486" s="1">
        <f>I486-'Passo 2'!I486</f>
        <v>3.0074938026537046E-2</v>
      </c>
      <c r="Q486" s="1">
        <f>J486-'Passo 2'!J486</f>
        <v>1.1334099493131022E-2</v>
      </c>
      <c r="R486" s="1">
        <f t="shared" si="29"/>
        <v>304.65299999999974</v>
      </c>
      <c r="S486">
        <f t="shared" si="28"/>
        <v>309.86349999999976</v>
      </c>
      <c r="T486" s="1">
        <f t="shared" si="30"/>
        <v>248.48558701456309</v>
      </c>
      <c r="U486" s="1">
        <f t="shared" si="31"/>
        <v>208.10041298543675</v>
      </c>
    </row>
    <row r="487" spans="1:21" x14ac:dyDescent="0.3">
      <c r="A487" t="s">
        <v>359</v>
      </c>
      <c r="B487" t="s">
        <v>360</v>
      </c>
      <c r="C487" t="s">
        <v>576</v>
      </c>
      <c r="D487" t="s">
        <v>14</v>
      </c>
      <c r="E487" s="2">
        <v>1</v>
      </c>
      <c r="F487" s="2">
        <v>0</v>
      </c>
      <c r="G487" s="2">
        <v>0.25</v>
      </c>
      <c r="H487" s="2">
        <v>-0.25</v>
      </c>
      <c r="I487" s="1">
        <v>1</v>
      </c>
      <c r="J487" s="1">
        <v>1</v>
      </c>
      <c r="K487" s="1">
        <v>0.99995954692556599</v>
      </c>
      <c r="L487" s="1">
        <v>0.50004045307443301</v>
      </c>
      <c r="P487" s="1">
        <f>I487-'Passo 2'!I487</f>
        <v>0</v>
      </c>
      <c r="Q487" s="1">
        <f>J487-'Passo 2'!J487</f>
        <v>0</v>
      </c>
      <c r="R487" s="1">
        <f t="shared" si="29"/>
        <v>1</v>
      </c>
      <c r="S487">
        <f t="shared" si="28"/>
        <v>1</v>
      </c>
      <c r="T487" s="1">
        <f t="shared" si="30"/>
        <v>0.99995954692556599</v>
      </c>
      <c r="U487" s="1">
        <f t="shared" si="31"/>
        <v>0.50004045307443301</v>
      </c>
    </row>
    <row r="488" spans="1:21" x14ac:dyDescent="0.3">
      <c r="A488" t="s">
        <v>359</v>
      </c>
      <c r="B488" t="s">
        <v>361</v>
      </c>
      <c r="C488" t="s">
        <v>574</v>
      </c>
      <c r="D488" t="s">
        <v>575</v>
      </c>
      <c r="E488" s="2">
        <v>245.01300000000001</v>
      </c>
      <c r="F488" s="2">
        <v>0</v>
      </c>
      <c r="G488" s="2">
        <v>49.307499999999997</v>
      </c>
      <c r="H488" s="2">
        <v>-45.39425</v>
      </c>
      <c r="I488" s="1">
        <v>0.90248884753053904</v>
      </c>
      <c r="J488" s="1">
        <v>0.87054564451682104</v>
      </c>
      <c r="K488" s="1">
        <v>0.63207092459013103</v>
      </c>
      <c r="L488" s="1">
        <v>0.64096356745722904</v>
      </c>
      <c r="P488" s="1">
        <f>I488-'Passo 2'!I488</f>
        <v>4.9283099264120223E-3</v>
      </c>
      <c r="Q488" s="1">
        <f>J488-'Passo 2'!J488</f>
        <v>3.0977948108880105E-3</v>
      </c>
      <c r="R488" s="1">
        <f t="shared" si="29"/>
        <v>221.12149999999997</v>
      </c>
      <c r="S488">
        <f t="shared" si="28"/>
        <v>213.29499999999987</v>
      </c>
      <c r="T488" s="1">
        <f t="shared" si="30"/>
        <v>154.86559344660176</v>
      </c>
      <c r="U488" s="1">
        <f t="shared" si="31"/>
        <v>157.04440655339806</v>
      </c>
    </row>
    <row r="489" spans="1:21" x14ac:dyDescent="0.3">
      <c r="A489" t="s">
        <v>359</v>
      </c>
      <c r="B489" t="s">
        <v>362</v>
      </c>
      <c r="C489" t="s">
        <v>574</v>
      </c>
      <c r="D489" t="s">
        <v>575</v>
      </c>
      <c r="E489" s="2">
        <v>211.64099999999999</v>
      </c>
      <c r="F489" s="2">
        <v>21.594000000000001</v>
      </c>
      <c r="G489" s="2">
        <v>44.689</v>
      </c>
      <c r="H489" s="2">
        <v>-43.214999999999897</v>
      </c>
      <c r="I489" s="1">
        <v>0.87129384193043802</v>
      </c>
      <c r="J489" s="1">
        <v>0.85736459381688801</v>
      </c>
      <c r="K489" s="1">
        <v>0.66931729769112402</v>
      </c>
      <c r="L489" s="1">
        <v>0.61035677302296198</v>
      </c>
      <c r="P489" s="1">
        <f>I489-'Passo 2'!I489</f>
        <v>1.4380483932696975E-2</v>
      </c>
      <c r="Q489" s="1">
        <f>J489-'Passo 2'!J489</f>
        <v>2.2883089760491027E-2</v>
      </c>
      <c r="R489" s="1">
        <f t="shared" si="29"/>
        <v>184.40149999999983</v>
      </c>
      <c r="S489">
        <f t="shared" si="28"/>
        <v>181.45349999999999</v>
      </c>
      <c r="T489" s="1">
        <f t="shared" si="30"/>
        <v>141.65498220064717</v>
      </c>
      <c r="U489" s="1">
        <f t="shared" si="31"/>
        <v>129.17651779935269</v>
      </c>
    </row>
    <row r="490" spans="1:21" x14ac:dyDescent="0.3">
      <c r="A490" t="s">
        <v>359</v>
      </c>
      <c r="B490" t="s">
        <v>363</v>
      </c>
      <c r="C490" t="s">
        <v>576</v>
      </c>
      <c r="D490" t="s">
        <v>14</v>
      </c>
      <c r="E490" s="2">
        <v>38.283999999999999</v>
      </c>
      <c r="F490" s="2">
        <v>0</v>
      </c>
      <c r="G490" s="2">
        <v>8.0807500000000001</v>
      </c>
      <c r="H490" s="2">
        <v>-8.2377500000000001</v>
      </c>
      <c r="I490" s="1">
        <v>0.92214763347612505</v>
      </c>
      <c r="J490" s="1">
        <v>0.930349493260892</v>
      </c>
      <c r="K490" s="1">
        <v>0.639195037002668</v>
      </c>
      <c r="L490" s="1">
        <v>0.71330208973434905</v>
      </c>
      <c r="P490" s="1">
        <f>I490-'Passo 2'!I490</f>
        <v>6.2806916727614071E-2</v>
      </c>
      <c r="Q490" s="1">
        <f>J490-'Passo 2'!J490</f>
        <v>8.6589698046179997E-3</v>
      </c>
      <c r="R490" s="1">
        <f t="shared" si="29"/>
        <v>35.303499999999971</v>
      </c>
      <c r="S490">
        <f t="shared" si="28"/>
        <v>35.617499999999986</v>
      </c>
      <c r="T490" s="1">
        <f t="shared" si="30"/>
        <v>24.470942796610142</v>
      </c>
      <c r="U490" s="1">
        <f t="shared" si="31"/>
        <v>27.308057203389819</v>
      </c>
    </row>
    <row r="491" spans="1:21" x14ac:dyDescent="0.3">
      <c r="A491" t="s">
        <v>359</v>
      </c>
      <c r="B491" t="s">
        <v>364</v>
      </c>
      <c r="C491" t="s">
        <v>576</v>
      </c>
      <c r="D491" t="s">
        <v>14</v>
      </c>
      <c r="E491" s="2">
        <v>38.283999999999999</v>
      </c>
      <c r="F491" s="2">
        <v>0</v>
      </c>
      <c r="G491" s="2">
        <v>8.0807500000000001</v>
      </c>
      <c r="H491" s="2">
        <v>-8.2377500000000001</v>
      </c>
      <c r="I491" s="1">
        <v>0.92214763347612505</v>
      </c>
      <c r="J491" s="1">
        <v>0.930349493260892</v>
      </c>
      <c r="K491" s="1">
        <v>0.63919502777930204</v>
      </c>
      <c r="L491" s="1">
        <v>0.71330209895771501</v>
      </c>
      <c r="P491" s="1">
        <f>I491-'Passo 2'!I491</f>
        <v>6.2806916727614071E-2</v>
      </c>
      <c r="Q491" s="1">
        <f>J491-'Passo 2'!J491</f>
        <v>8.6589698046179997E-3</v>
      </c>
      <c r="R491" s="1">
        <f t="shared" si="29"/>
        <v>35.303499999999971</v>
      </c>
      <c r="S491">
        <f t="shared" si="28"/>
        <v>35.617499999999986</v>
      </c>
      <c r="T491" s="1">
        <f t="shared" si="30"/>
        <v>24.4709424435028</v>
      </c>
      <c r="U491" s="1">
        <f t="shared" si="31"/>
        <v>27.308057556497161</v>
      </c>
    </row>
    <row r="492" spans="1:21" x14ac:dyDescent="0.3">
      <c r="A492" t="s">
        <v>359</v>
      </c>
      <c r="B492" t="s">
        <v>365</v>
      </c>
      <c r="C492" t="s">
        <v>366</v>
      </c>
      <c r="D492" t="s">
        <v>367</v>
      </c>
      <c r="E492" s="2">
        <v>651.34699999999998</v>
      </c>
      <c r="F492" s="2">
        <v>0</v>
      </c>
      <c r="G492" s="2">
        <v>161.05475000000001</v>
      </c>
      <c r="H492" s="2">
        <v>-161.45875000000001</v>
      </c>
      <c r="I492" s="1">
        <v>0.99452826220125301</v>
      </c>
      <c r="J492" s="1">
        <v>0.99576876841376405</v>
      </c>
      <c r="K492" s="1">
        <v>0.58430310925793005</v>
      </c>
      <c r="L492" s="1">
        <v>0.90599392135708701</v>
      </c>
      <c r="P492" s="1">
        <f>I492-'Passo 2'!I492</f>
        <v>9.4419717907023859E-5</v>
      </c>
      <c r="Q492" s="1">
        <f>J492-'Passo 2'!J492</f>
        <v>1.2082653332250448E-3</v>
      </c>
      <c r="R492" s="1">
        <f t="shared" si="29"/>
        <v>647.78299999999956</v>
      </c>
      <c r="S492">
        <f t="shared" si="28"/>
        <v>648.59100000000001</v>
      </c>
      <c r="T492" s="1">
        <f t="shared" si="30"/>
        <v>380.58407730582496</v>
      </c>
      <c r="U492" s="1">
        <f t="shared" si="31"/>
        <v>590.1164226941745</v>
      </c>
    </row>
    <row r="493" spans="1:21" x14ac:dyDescent="0.3">
      <c r="A493" t="s">
        <v>359</v>
      </c>
      <c r="B493" t="s">
        <v>368</v>
      </c>
      <c r="C493" t="s">
        <v>366</v>
      </c>
      <c r="D493" t="s">
        <v>367</v>
      </c>
      <c r="E493" s="2">
        <v>1367.24</v>
      </c>
      <c r="F493" s="2">
        <v>0</v>
      </c>
      <c r="G493" s="2">
        <v>289.86475000000002</v>
      </c>
      <c r="H493" s="2">
        <v>-329.54250000000002</v>
      </c>
      <c r="I493" s="1">
        <v>0.92401443784558601</v>
      </c>
      <c r="J493" s="1">
        <v>0.98205508908457895</v>
      </c>
      <c r="K493" s="1">
        <v>0.47352104848105803</v>
      </c>
      <c r="L493" s="1">
        <v>0.93254847844910704</v>
      </c>
      <c r="P493" s="1">
        <f>I493-'Passo 2'!I493</f>
        <v>0.14459824171323199</v>
      </c>
      <c r="Q493" s="1">
        <f>J493-'Passo 2'!J493</f>
        <v>3.6343290131944928E-2</v>
      </c>
      <c r="R493" s="1">
        <f t="shared" si="29"/>
        <v>1263.3494999999991</v>
      </c>
      <c r="S493">
        <f t="shared" si="28"/>
        <v>1342.7049999999997</v>
      </c>
      <c r="T493" s="1">
        <f t="shared" si="30"/>
        <v>647.4169183252418</v>
      </c>
      <c r="U493" s="1">
        <f t="shared" si="31"/>
        <v>1275.0175816747571</v>
      </c>
    </row>
    <row r="494" spans="1:21" x14ac:dyDescent="0.3">
      <c r="A494" t="s">
        <v>359</v>
      </c>
      <c r="B494" t="s">
        <v>728</v>
      </c>
      <c r="C494" t="s">
        <v>576</v>
      </c>
      <c r="D494" t="s">
        <v>14</v>
      </c>
      <c r="E494" s="2">
        <v>62.94</v>
      </c>
      <c r="F494" s="2">
        <v>62.94</v>
      </c>
      <c r="G494" s="2">
        <v>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P494" s="1">
        <f>I494-'Passo 2'!I494</f>
        <v>0</v>
      </c>
      <c r="Q494" s="1">
        <f>J494-'Passo 2'!J494</f>
        <v>0</v>
      </c>
      <c r="R494" s="1">
        <f t="shared" si="29"/>
        <v>0</v>
      </c>
      <c r="S494">
        <f t="shared" si="28"/>
        <v>0</v>
      </c>
      <c r="T494" s="1">
        <f t="shared" si="30"/>
        <v>0</v>
      </c>
      <c r="U494" s="1">
        <f t="shared" si="31"/>
        <v>0</v>
      </c>
    </row>
    <row r="495" spans="1:21" x14ac:dyDescent="0.3">
      <c r="A495" t="s">
        <v>359</v>
      </c>
      <c r="B495" t="s">
        <v>369</v>
      </c>
      <c r="C495" t="s">
        <v>574</v>
      </c>
      <c r="D495" t="s">
        <v>575</v>
      </c>
      <c r="E495" s="2">
        <v>27.7</v>
      </c>
      <c r="F495" s="2">
        <v>0</v>
      </c>
      <c r="G495" s="2">
        <v>6.61775</v>
      </c>
      <c r="H495" s="2">
        <v>-6.5927499999999997</v>
      </c>
      <c r="I495" s="1">
        <v>0.977815884476534</v>
      </c>
      <c r="J495" s="1">
        <v>0.97601083032490898</v>
      </c>
      <c r="K495" s="1">
        <v>0.72588813921699202</v>
      </c>
      <c r="L495" s="1">
        <v>0.72793857558445196</v>
      </c>
      <c r="P495" s="1">
        <f>I495-'Passo 2'!I495</f>
        <v>9.9422382671479959E-2</v>
      </c>
      <c r="Q495" s="1">
        <f>J495-'Passo 2'!J495</f>
        <v>0</v>
      </c>
      <c r="R495" s="1">
        <f t="shared" si="29"/>
        <v>27.085499999999993</v>
      </c>
      <c r="S495">
        <f t="shared" si="28"/>
        <v>27.035499999999978</v>
      </c>
      <c r="T495" s="1">
        <f t="shared" si="30"/>
        <v>20.10710145631068</v>
      </c>
      <c r="U495" s="1">
        <f t="shared" si="31"/>
        <v>20.163898543689317</v>
      </c>
    </row>
    <row r="496" spans="1:21" x14ac:dyDescent="0.3">
      <c r="A496" t="s">
        <v>359</v>
      </c>
      <c r="B496" t="s">
        <v>370</v>
      </c>
      <c r="C496" t="s">
        <v>574</v>
      </c>
      <c r="D496" t="s">
        <v>575</v>
      </c>
      <c r="E496" s="2">
        <v>134.56</v>
      </c>
      <c r="F496" s="2">
        <v>0</v>
      </c>
      <c r="G496" s="2">
        <v>23.18375</v>
      </c>
      <c r="H496" s="2">
        <v>-24.97</v>
      </c>
      <c r="I496" s="1">
        <v>0.84458605826397104</v>
      </c>
      <c r="J496" s="1">
        <v>0.871135552913198</v>
      </c>
      <c r="K496" s="1">
        <v>0.62729713246145102</v>
      </c>
      <c r="L496" s="1">
        <v>0.58842447871571801</v>
      </c>
      <c r="P496" s="1">
        <f>I496-'Passo 2'!I496</f>
        <v>1.7174494649227046E-2</v>
      </c>
      <c r="Q496" s="1">
        <f>J496-'Passo 2'!J496</f>
        <v>2.0897740784780017E-2</v>
      </c>
      <c r="R496" s="1">
        <f t="shared" si="29"/>
        <v>113.64749999999995</v>
      </c>
      <c r="S496">
        <f t="shared" si="28"/>
        <v>117.21999999999993</v>
      </c>
      <c r="T496" s="1">
        <f t="shared" si="30"/>
        <v>84.409102144012849</v>
      </c>
      <c r="U496" s="1">
        <f t="shared" si="31"/>
        <v>79.178397855987015</v>
      </c>
    </row>
    <row r="497" spans="1:21" x14ac:dyDescent="0.3">
      <c r="A497" t="s">
        <v>359</v>
      </c>
      <c r="B497" t="s">
        <v>371</v>
      </c>
      <c r="C497" t="s">
        <v>576</v>
      </c>
      <c r="D497" t="s">
        <v>577</v>
      </c>
      <c r="E497" s="2">
        <v>538.18899999999996</v>
      </c>
      <c r="F497" s="2">
        <v>0</v>
      </c>
      <c r="G497" s="2">
        <v>130.86750000000001</v>
      </c>
      <c r="H497" s="2">
        <v>-131.30525</v>
      </c>
      <c r="I497" s="1">
        <v>0.98632543585989296</v>
      </c>
      <c r="J497" s="1">
        <v>0.987952187800196</v>
      </c>
      <c r="K497" s="1">
        <v>0.87557434129398104</v>
      </c>
      <c r="L497" s="1">
        <v>0.59870328236610804</v>
      </c>
      <c r="P497" s="1">
        <f>I497-'Passo 2'!I497</f>
        <v>4.2735916192970791E-5</v>
      </c>
      <c r="Q497" s="1">
        <f>J497-'Passo 2'!J497</f>
        <v>4.5365104080530294E-3</v>
      </c>
      <c r="R497" s="1">
        <f t="shared" si="29"/>
        <v>530.82949999999994</v>
      </c>
      <c r="S497">
        <f t="shared" si="28"/>
        <v>531.7049999999997</v>
      </c>
      <c r="T497" s="1">
        <f t="shared" si="30"/>
        <v>471.22447916666636</v>
      </c>
      <c r="U497" s="1">
        <f t="shared" si="31"/>
        <v>322.2155208333333</v>
      </c>
    </row>
    <row r="498" spans="1:21" x14ac:dyDescent="0.3">
      <c r="A498" t="s">
        <v>359</v>
      </c>
      <c r="B498" t="s">
        <v>372</v>
      </c>
      <c r="C498" t="s">
        <v>574</v>
      </c>
      <c r="D498" t="s">
        <v>575</v>
      </c>
      <c r="E498" s="2">
        <v>140.85599999999999</v>
      </c>
      <c r="F498" s="2">
        <v>7.0000000000000007E-2</v>
      </c>
      <c r="G498" s="2">
        <v>33.448999999999998</v>
      </c>
      <c r="H498" s="2">
        <v>-34.222000000000001</v>
      </c>
      <c r="I498" s="1">
        <v>0.97469046401999204</v>
      </c>
      <c r="J498" s="1">
        <v>0.98566621230192497</v>
      </c>
      <c r="K498" s="1">
        <v>0.77619457478481502</v>
      </c>
      <c r="L498" s="1">
        <v>0.68441058225499796</v>
      </c>
      <c r="P498" s="1">
        <f>I498-'Passo 2'!I498</f>
        <v>5.8020247628783994E-2</v>
      </c>
      <c r="Q498" s="1">
        <f>J498-'Passo 2'!J498</f>
        <v>1.4198898166006835E-5</v>
      </c>
      <c r="R498" s="1">
        <f t="shared" si="29"/>
        <v>137.291</v>
      </c>
      <c r="S498">
        <f t="shared" si="28"/>
        <v>138.83699999999993</v>
      </c>
      <c r="T498" s="1">
        <f t="shared" si="30"/>
        <v>109.3316630258899</v>
      </c>
      <c r="U498" s="1">
        <f t="shared" si="31"/>
        <v>96.40333697410999</v>
      </c>
    </row>
    <row r="499" spans="1:21" x14ac:dyDescent="0.3">
      <c r="A499" t="s">
        <v>359</v>
      </c>
      <c r="B499" t="s">
        <v>373</v>
      </c>
      <c r="C499" t="s">
        <v>576</v>
      </c>
      <c r="D499" t="s">
        <v>14</v>
      </c>
      <c r="E499" s="2">
        <v>25.407</v>
      </c>
      <c r="F499" s="2">
        <v>0</v>
      </c>
      <c r="G499" s="2">
        <v>4.5257500000000004</v>
      </c>
      <c r="H499" s="2">
        <v>-4.8217499999999998</v>
      </c>
      <c r="I499" s="1">
        <v>0.85626008580312496</v>
      </c>
      <c r="J499" s="1">
        <v>0.87956075097414099</v>
      </c>
      <c r="K499" s="1">
        <v>0.80844112062738305</v>
      </c>
      <c r="L499" s="1">
        <v>0.42737971614988202</v>
      </c>
      <c r="P499" s="1">
        <f>I499-'Passo 2'!I499</f>
        <v>-3.2648482701617021E-2</v>
      </c>
      <c r="Q499" s="1">
        <f>J499-'Passo 2'!J499</f>
        <v>3.079859881135194E-2</v>
      </c>
      <c r="R499" s="1">
        <f t="shared" si="29"/>
        <v>21.754999999999995</v>
      </c>
      <c r="S499">
        <f t="shared" si="28"/>
        <v>22.347000000000001</v>
      </c>
      <c r="T499" s="1">
        <f t="shared" si="30"/>
        <v>20.540063551779919</v>
      </c>
      <c r="U499" s="1">
        <f t="shared" si="31"/>
        <v>10.858436448220052</v>
      </c>
    </row>
    <row r="500" spans="1:21" x14ac:dyDescent="0.3">
      <c r="A500" t="s">
        <v>359</v>
      </c>
      <c r="B500" t="s">
        <v>374</v>
      </c>
      <c r="C500" t="s">
        <v>574</v>
      </c>
      <c r="D500" t="s">
        <v>575</v>
      </c>
      <c r="E500" s="2">
        <v>137.071</v>
      </c>
      <c r="F500" s="2">
        <v>1.9E-2</v>
      </c>
      <c r="G500" s="2">
        <v>27.076250000000002</v>
      </c>
      <c r="H500" s="2">
        <v>-28.851499999999898</v>
      </c>
      <c r="I500" s="1">
        <v>0.894999671702986</v>
      </c>
      <c r="J500" s="1">
        <v>0.92090230610413504</v>
      </c>
      <c r="K500" s="1">
        <v>0.75435818270213995</v>
      </c>
      <c r="L500" s="1">
        <v>0.56161310225237204</v>
      </c>
      <c r="P500" s="1">
        <f>I500-'Passo 2'!I500</f>
        <v>1.0680596187378044E-2</v>
      </c>
      <c r="Q500" s="1">
        <f>J500-'Passo 2'!J500</f>
        <v>4.4130414164921028E-2</v>
      </c>
      <c r="R500" s="1">
        <f t="shared" si="29"/>
        <v>122.67849999999999</v>
      </c>
      <c r="S500">
        <f t="shared" si="28"/>
        <v>126.22899999999989</v>
      </c>
      <c r="T500" s="1">
        <f t="shared" si="30"/>
        <v>103.40063046116502</v>
      </c>
      <c r="U500" s="1">
        <f t="shared" si="31"/>
        <v>76.980869538834881</v>
      </c>
    </row>
    <row r="501" spans="1:21" x14ac:dyDescent="0.3">
      <c r="A501" t="s">
        <v>359</v>
      </c>
      <c r="B501" t="s">
        <v>729</v>
      </c>
      <c r="C501" t="s">
        <v>574</v>
      </c>
      <c r="D501" t="s">
        <v>575</v>
      </c>
      <c r="E501" s="2">
        <v>38.701999999999998</v>
      </c>
      <c r="F501" s="2">
        <v>0</v>
      </c>
      <c r="G501" s="2">
        <v>3.7559999999999998</v>
      </c>
      <c r="H501" s="2">
        <v>-3.2579999999999898</v>
      </c>
      <c r="I501" s="1">
        <v>0.69409849620174602</v>
      </c>
      <c r="J501" s="1">
        <v>0.66836339207276096</v>
      </c>
      <c r="K501" s="1">
        <v>0.45850331735697097</v>
      </c>
      <c r="L501" s="1">
        <v>0.40395857091753601</v>
      </c>
      <c r="P501" s="1">
        <f>I501-'Passo 2'!I501</f>
        <v>2.1988527724664975E-2</v>
      </c>
      <c r="Q501" s="1">
        <f>J501-'Passo 2'!J501</f>
        <v>-3.8757686941059966E-5</v>
      </c>
      <c r="R501" s="1">
        <f t="shared" si="29"/>
        <v>26.862999999999975</v>
      </c>
      <c r="S501">
        <f t="shared" si="28"/>
        <v>25.866999999999994</v>
      </c>
      <c r="T501" s="1">
        <f t="shared" si="30"/>
        <v>17.744995388349491</v>
      </c>
      <c r="U501" s="1">
        <f t="shared" si="31"/>
        <v>15.634004611650479</v>
      </c>
    </row>
    <row r="502" spans="1:21" x14ac:dyDescent="0.3">
      <c r="A502" t="s">
        <v>359</v>
      </c>
      <c r="B502" t="s">
        <v>375</v>
      </c>
      <c r="C502" t="s">
        <v>574</v>
      </c>
      <c r="D502" t="s">
        <v>575</v>
      </c>
      <c r="E502" s="2">
        <v>90.290999999999997</v>
      </c>
      <c r="F502" s="2">
        <v>0</v>
      </c>
      <c r="G502" s="2">
        <v>17.197749999999999</v>
      </c>
      <c r="H502" s="2">
        <v>-19.257249999999999</v>
      </c>
      <c r="I502" s="1">
        <v>0.88094051455848299</v>
      </c>
      <c r="J502" s="1">
        <v>0.92655967925928295</v>
      </c>
      <c r="K502" s="1">
        <v>0.61489442227412905</v>
      </c>
      <c r="L502" s="1">
        <v>0.69260577154363701</v>
      </c>
      <c r="P502" s="1">
        <f>I502-'Passo 2'!I502</f>
        <v>5.4822739808002563E-4</v>
      </c>
      <c r="Q502" s="1">
        <f>J502-'Passo 2'!J502</f>
        <v>-1.2404337087860151E-3</v>
      </c>
      <c r="R502" s="1">
        <f t="shared" si="29"/>
        <v>79.540999999999983</v>
      </c>
      <c r="S502">
        <f t="shared" si="28"/>
        <v>83.659999999999911</v>
      </c>
      <c r="T502" s="1">
        <f t="shared" si="30"/>
        <v>55.519432281553385</v>
      </c>
      <c r="U502" s="1">
        <f t="shared" si="31"/>
        <v>62.536067718446525</v>
      </c>
    </row>
    <row r="503" spans="1:21" x14ac:dyDescent="0.3">
      <c r="A503" t="s">
        <v>359</v>
      </c>
      <c r="B503" t="s">
        <v>376</v>
      </c>
      <c r="C503" t="s">
        <v>574</v>
      </c>
      <c r="D503" t="s">
        <v>575</v>
      </c>
      <c r="E503" s="2">
        <v>52.1</v>
      </c>
      <c r="F503" s="2">
        <v>0</v>
      </c>
      <c r="G503" s="2">
        <v>10.777999999999899</v>
      </c>
      <c r="H503" s="2">
        <v>-12.9725</v>
      </c>
      <c r="I503" s="1">
        <v>0.91374280230326199</v>
      </c>
      <c r="J503" s="1">
        <v>0.99798464491362704</v>
      </c>
      <c r="K503" s="1">
        <v>0.67585784432476703</v>
      </c>
      <c r="L503" s="1">
        <v>0.735869602892123</v>
      </c>
      <c r="P503" s="1">
        <f>I503-'Passo 2'!I503</f>
        <v>3.6957773512474978E-2</v>
      </c>
      <c r="Q503" s="1">
        <f>J503-'Passo 2'!J503</f>
        <v>0</v>
      </c>
      <c r="R503" s="1">
        <f t="shared" si="29"/>
        <v>47.605999999999952</v>
      </c>
      <c r="S503">
        <f t="shared" si="28"/>
        <v>51.994999999999969</v>
      </c>
      <c r="T503" s="1">
        <f t="shared" si="30"/>
        <v>35.212193689320365</v>
      </c>
      <c r="U503" s="1">
        <f t="shared" si="31"/>
        <v>38.338806310679608</v>
      </c>
    </row>
    <row r="504" spans="1:21" x14ac:dyDescent="0.3">
      <c r="A504" t="s">
        <v>359</v>
      </c>
      <c r="B504" t="s">
        <v>377</v>
      </c>
      <c r="C504" t="s">
        <v>576</v>
      </c>
      <c r="D504" t="s">
        <v>589</v>
      </c>
      <c r="E504" s="2">
        <v>0</v>
      </c>
      <c r="F504" s="2">
        <v>0</v>
      </c>
      <c r="G504" s="2">
        <v>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P504" s="1">
        <f>I504-'Passo 2'!I504</f>
        <v>0</v>
      </c>
      <c r="Q504" s="1">
        <f>J504-'Passo 2'!J504</f>
        <v>0</v>
      </c>
      <c r="R504" s="1">
        <f t="shared" si="29"/>
        <v>0</v>
      </c>
      <c r="S504">
        <f t="shared" si="28"/>
        <v>0</v>
      </c>
      <c r="T504" s="1">
        <f t="shared" si="30"/>
        <v>0</v>
      </c>
      <c r="U504" s="1">
        <f t="shared" si="31"/>
        <v>0</v>
      </c>
    </row>
    <row r="505" spans="1:21" x14ac:dyDescent="0.3">
      <c r="A505" t="s">
        <v>359</v>
      </c>
      <c r="B505" t="s">
        <v>378</v>
      </c>
      <c r="C505" t="s">
        <v>576</v>
      </c>
      <c r="D505" t="s">
        <v>14</v>
      </c>
      <c r="E505" s="2">
        <v>0</v>
      </c>
      <c r="F505" s="2">
        <v>0</v>
      </c>
      <c r="G505" s="2">
        <v>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P505" s="1">
        <f>I505-'Passo 2'!I505</f>
        <v>0</v>
      </c>
      <c r="Q505" s="1">
        <f>J505-'Passo 2'!J505</f>
        <v>0</v>
      </c>
      <c r="R505" s="1">
        <f t="shared" si="29"/>
        <v>0</v>
      </c>
      <c r="S505">
        <f t="shared" si="28"/>
        <v>0</v>
      </c>
      <c r="T505" s="1">
        <f t="shared" si="30"/>
        <v>0</v>
      </c>
      <c r="U505" s="1">
        <f t="shared" si="31"/>
        <v>0</v>
      </c>
    </row>
    <row r="506" spans="1:21" x14ac:dyDescent="0.3">
      <c r="A506" t="s">
        <v>359</v>
      </c>
      <c r="B506" t="s">
        <v>730</v>
      </c>
      <c r="C506" t="s">
        <v>574</v>
      </c>
      <c r="D506" t="s">
        <v>575</v>
      </c>
      <c r="E506" s="2">
        <v>10.712999999999999</v>
      </c>
      <c r="F506" s="2">
        <v>0</v>
      </c>
      <c r="G506" s="2">
        <v>0</v>
      </c>
      <c r="H506" s="2">
        <v>-2.6782499999999998</v>
      </c>
      <c r="I506" s="1">
        <v>0.5</v>
      </c>
      <c r="J506" s="1">
        <v>1</v>
      </c>
      <c r="K506" s="1">
        <v>0.15728155339805799</v>
      </c>
      <c r="L506" s="1">
        <v>0.84271844660194095</v>
      </c>
      <c r="P506" s="1">
        <f>I506-'Passo 2'!I506</f>
        <v>0</v>
      </c>
      <c r="Q506" s="1">
        <f>J506-'Passo 2'!J506</f>
        <v>0</v>
      </c>
      <c r="R506" s="1">
        <f t="shared" si="29"/>
        <v>5.3564999999999996</v>
      </c>
      <c r="S506">
        <f t="shared" si="28"/>
        <v>10.712999999999999</v>
      </c>
      <c r="T506" s="1">
        <f t="shared" si="30"/>
        <v>1.6849572815533951</v>
      </c>
      <c r="U506" s="1">
        <f t="shared" si="31"/>
        <v>9.0280427184465921</v>
      </c>
    </row>
    <row r="507" spans="1:21" x14ac:dyDescent="0.3">
      <c r="A507" t="s">
        <v>359</v>
      </c>
      <c r="B507" t="s">
        <v>379</v>
      </c>
      <c r="C507" t="s">
        <v>576</v>
      </c>
      <c r="D507" t="s">
        <v>14</v>
      </c>
      <c r="E507" s="2">
        <v>0</v>
      </c>
      <c r="F507" s="2">
        <v>0</v>
      </c>
      <c r="G507" s="2">
        <v>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P507" s="1">
        <f>I507-'Passo 2'!I507</f>
        <v>0</v>
      </c>
      <c r="Q507" s="1">
        <f>J507-'Passo 2'!J507</f>
        <v>0</v>
      </c>
      <c r="R507" s="1">
        <f t="shared" si="29"/>
        <v>0</v>
      </c>
      <c r="S507">
        <f t="shared" si="28"/>
        <v>0</v>
      </c>
      <c r="T507" s="1">
        <f t="shared" si="30"/>
        <v>0</v>
      </c>
      <c r="U507" s="1">
        <f t="shared" si="31"/>
        <v>0</v>
      </c>
    </row>
    <row r="508" spans="1:21" x14ac:dyDescent="0.3">
      <c r="A508" t="s">
        <v>359</v>
      </c>
      <c r="B508" t="s">
        <v>731</v>
      </c>
      <c r="C508" t="s">
        <v>576</v>
      </c>
      <c r="D508" t="s">
        <v>14</v>
      </c>
      <c r="E508" s="2">
        <v>27.82</v>
      </c>
      <c r="F508" s="2">
        <v>0</v>
      </c>
      <c r="G508" s="2">
        <v>0</v>
      </c>
      <c r="H508" s="2">
        <v>-6.9550000000000001</v>
      </c>
      <c r="I508" s="1">
        <v>0.5</v>
      </c>
      <c r="J508" s="1">
        <v>1</v>
      </c>
      <c r="K508" s="1">
        <v>0.15728155339805799</v>
      </c>
      <c r="L508" s="1">
        <v>0.84271844660194095</v>
      </c>
      <c r="P508" s="1">
        <f>I508-'Passo 2'!I508</f>
        <v>0</v>
      </c>
      <c r="Q508" s="1">
        <f>J508-'Passo 2'!J508</f>
        <v>0</v>
      </c>
      <c r="R508" s="1">
        <f t="shared" si="29"/>
        <v>13.91</v>
      </c>
      <c r="S508">
        <f t="shared" si="28"/>
        <v>27.82</v>
      </c>
      <c r="T508" s="1">
        <f t="shared" si="30"/>
        <v>4.3755728155339737</v>
      </c>
      <c r="U508" s="1">
        <f t="shared" si="31"/>
        <v>23.444427184465997</v>
      </c>
    </row>
    <row r="509" spans="1:21" x14ac:dyDescent="0.3">
      <c r="A509" t="s">
        <v>359</v>
      </c>
      <c r="B509" t="s">
        <v>380</v>
      </c>
      <c r="C509" t="s">
        <v>574</v>
      </c>
      <c r="D509" t="s">
        <v>575</v>
      </c>
      <c r="E509" s="2">
        <v>633.30100000000004</v>
      </c>
      <c r="F509" s="2">
        <v>2.8260000000000001</v>
      </c>
      <c r="G509" s="2">
        <v>137.26949999999999</v>
      </c>
      <c r="H509" s="2">
        <v>-134.98599999999999</v>
      </c>
      <c r="I509" s="1">
        <v>0.93127359659940501</v>
      </c>
      <c r="J509" s="1">
        <v>0.92406217580581695</v>
      </c>
      <c r="K509" s="1">
        <v>0.701814528060551</v>
      </c>
      <c r="L509" s="1">
        <v>0.65575241088317304</v>
      </c>
      <c r="P509" s="1">
        <f>I509-'Passo 2'!I509</f>
        <v>1.3142249893809965E-2</v>
      </c>
      <c r="Q509" s="1">
        <f>J509-'Passo 2'!J509</f>
        <v>2.7080329890529775E-3</v>
      </c>
      <c r="R509" s="1">
        <f t="shared" si="29"/>
        <v>589.77649999999983</v>
      </c>
      <c r="S509">
        <f t="shared" si="28"/>
        <v>585.20949999999971</v>
      </c>
      <c r="T509" s="1">
        <f t="shared" si="30"/>
        <v>444.45984243527505</v>
      </c>
      <c r="U509" s="1">
        <f t="shared" si="31"/>
        <v>415.28865756472442</v>
      </c>
    </row>
    <row r="510" spans="1:21" x14ac:dyDescent="0.3">
      <c r="A510" t="s">
        <v>359</v>
      </c>
      <c r="B510" t="s">
        <v>381</v>
      </c>
      <c r="C510" t="s">
        <v>574</v>
      </c>
      <c r="D510" t="s">
        <v>575</v>
      </c>
      <c r="E510" s="2">
        <v>69.984999999999999</v>
      </c>
      <c r="F510" s="2">
        <v>0</v>
      </c>
      <c r="G510" s="2">
        <v>10.135999999999999</v>
      </c>
      <c r="H510" s="2">
        <v>-10.31775</v>
      </c>
      <c r="I510" s="1">
        <v>0.78966207044366599</v>
      </c>
      <c r="J510" s="1">
        <v>0.79485604058012405</v>
      </c>
      <c r="K510" s="1">
        <v>0.59399669323500404</v>
      </c>
      <c r="L510" s="1">
        <v>0.490521417788786</v>
      </c>
      <c r="P510" s="1">
        <f>I510-'Passo 2'!I510</f>
        <v>-1.3145674073019586E-3</v>
      </c>
      <c r="Q510" s="1">
        <f>J510-'Passo 2'!J510</f>
        <v>3.47931699649906E-3</v>
      </c>
      <c r="R510" s="1">
        <f t="shared" si="29"/>
        <v>55.264499999999963</v>
      </c>
      <c r="S510">
        <f t="shared" si="28"/>
        <v>55.627999999999979</v>
      </c>
      <c r="T510" s="1">
        <f t="shared" si="30"/>
        <v>41.570858576051755</v>
      </c>
      <c r="U510" s="1">
        <f t="shared" si="31"/>
        <v>34.329141423948187</v>
      </c>
    </row>
    <row r="511" spans="1:21" x14ac:dyDescent="0.3">
      <c r="A511" t="s">
        <v>359</v>
      </c>
      <c r="B511" t="s">
        <v>382</v>
      </c>
      <c r="C511" t="s">
        <v>574</v>
      </c>
      <c r="D511" t="s">
        <v>575</v>
      </c>
      <c r="E511" s="2">
        <v>47.781999999999996</v>
      </c>
      <c r="F511" s="2">
        <v>0</v>
      </c>
      <c r="G511" s="2">
        <v>5.6302499999999904</v>
      </c>
      <c r="H511" s="2">
        <v>-5.6302500000000002</v>
      </c>
      <c r="I511" s="1">
        <v>0.73566405759491005</v>
      </c>
      <c r="J511" s="1">
        <v>0.73566405759491005</v>
      </c>
      <c r="K511" s="1">
        <v>0.54546082081389302</v>
      </c>
      <c r="L511" s="1">
        <v>0.42586729437592702</v>
      </c>
      <c r="P511" s="1">
        <f>I511-'Passo 2'!I511</f>
        <v>6.7180109664730647E-3</v>
      </c>
      <c r="Q511" s="1">
        <f>J511-'Passo 2'!J511</f>
        <v>8.9573479552970126E-3</v>
      </c>
      <c r="R511" s="1">
        <f t="shared" si="29"/>
        <v>35.151499999999992</v>
      </c>
      <c r="S511">
        <f t="shared" si="28"/>
        <v>35.151499999999992</v>
      </c>
      <c r="T511" s="1">
        <f t="shared" si="30"/>
        <v>26.063208940129435</v>
      </c>
      <c r="U511" s="1">
        <f t="shared" si="31"/>
        <v>20.348791059870543</v>
      </c>
    </row>
    <row r="512" spans="1:21" x14ac:dyDescent="0.3">
      <c r="A512" t="s">
        <v>359</v>
      </c>
      <c r="B512" t="s">
        <v>383</v>
      </c>
      <c r="C512" t="s">
        <v>576</v>
      </c>
      <c r="D512" t="s">
        <v>577</v>
      </c>
      <c r="E512" s="2">
        <v>3.6779999999999999</v>
      </c>
      <c r="F512" s="2">
        <v>0</v>
      </c>
      <c r="G512" s="2">
        <v>0.91949999999999998</v>
      </c>
      <c r="H512" s="2">
        <v>-0.91949999999999998</v>
      </c>
      <c r="I512" s="1">
        <v>1</v>
      </c>
      <c r="J512" s="1">
        <v>1</v>
      </c>
      <c r="K512" s="1">
        <v>0.99995954692556599</v>
      </c>
      <c r="L512" s="1">
        <v>0.50004045307443301</v>
      </c>
      <c r="P512" s="1">
        <f>I512-'Passo 2'!I512</f>
        <v>0</v>
      </c>
      <c r="Q512" s="1">
        <f>J512-'Passo 2'!J512</f>
        <v>0</v>
      </c>
      <c r="R512" s="1">
        <f t="shared" si="29"/>
        <v>3.6779999999999999</v>
      </c>
      <c r="S512">
        <f t="shared" si="28"/>
        <v>3.6779999999999999</v>
      </c>
      <c r="T512" s="1">
        <f t="shared" si="30"/>
        <v>3.6778512135922314</v>
      </c>
      <c r="U512" s="1">
        <f t="shared" si="31"/>
        <v>1.8391487864077647</v>
      </c>
    </row>
    <row r="513" spans="1:21" x14ac:dyDescent="0.3">
      <c r="A513" t="s">
        <v>359</v>
      </c>
      <c r="B513" t="s">
        <v>384</v>
      </c>
      <c r="C513" t="s">
        <v>574</v>
      </c>
      <c r="D513" t="s">
        <v>575</v>
      </c>
      <c r="E513" s="2">
        <v>456.41699999999997</v>
      </c>
      <c r="F513" s="2">
        <v>0</v>
      </c>
      <c r="G513" s="2">
        <v>91.884999999999906</v>
      </c>
      <c r="H513" s="2">
        <v>-80.460250000000002</v>
      </c>
      <c r="I513" s="1">
        <v>0.90263618576871496</v>
      </c>
      <c r="J513" s="1">
        <v>0.85257341422427302</v>
      </c>
      <c r="K513" s="1">
        <v>0.61190290481466703</v>
      </c>
      <c r="L513" s="1">
        <v>0.64330669517832095</v>
      </c>
      <c r="P513" s="1">
        <f>I513-'Passo 2'!I513</f>
        <v>5.1919626131365915E-2</v>
      </c>
      <c r="Q513" s="1">
        <f>J513-'Passo 2'!J513</f>
        <v>2.1066261773780015E-3</v>
      </c>
      <c r="R513" s="1">
        <f t="shared" si="29"/>
        <v>411.97849999999954</v>
      </c>
      <c r="S513">
        <f t="shared" si="28"/>
        <v>389.12900000000002</v>
      </c>
      <c r="T513" s="1">
        <f t="shared" si="30"/>
        <v>279.28288810679584</v>
      </c>
      <c r="U513" s="1">
        <f t="shared" si="31"/>
        <v>293.61611189320371</v>
      </c>
    </row>
    <row r="514" spans="1:21" x14ac:dyDescent="0.3">
      <c r="A514" t="s">
        <v>359</v>
      </c>
      <c r="B514" t="s">
        <v>385</v>
      </c>
      <c r="C514" t="s">
        <v>574</v>
      </c>
      <c r="D514" t="s">
        <v>575</v>
      </c>
      <c r="E514" s="2">
        <v>80.709000000000003</v>
      </c>
      <c r="F514" s="2">
        <v>8.9999999999999993E-3</v>
      </c>
      <c r="G514" s="2">
        <v>12.76</v>
      </c>
      <c r="H514" s="2">
        <v>-12.1707499999999</v>
      </c>
      <c r="I514" s="1">
        <v>0.81614194203868196</v>
      </c>
      <c r="J514" s="1">
        <v>0.80154010085616201</v>
      </c>
      <c r="K514" s="1">
        <v>0.57289853222738996</v>
      </c>
      <c r="L514" s="1">
        <v>0.54483926653111203</v>
      </c>
      <c r="P514" s="1">
        <f>I514-'Passo 2'!I514</f>
        <v>1.2167168469439993E-2</v>
      </c>
      <c r="Q514" s="1">
        <f>J514-'Passo 2'!J514</f>
        <v>7.3040181392409753E-3</v>
      </c>
      <c r="R514" s="1">
        <f t="shared" si="29"/>
        <v>65.86999999999999</v>
      </c>
      <c r="S514">
        <f t="shared" ref="S514:S577" si="32">J514*E514</f>
        <v>64.691499999999976</v>
      </c>
      <c r="T514" s="1">
        <f t="shared" si="30"/>
        <v>46.238067637540418</v>
      </c>
      <c r="U514" s="1">
        <f t="shared" si="31"/>
        <v>43.973432362459526</v>
      </c>
    </row>
    <row r="515" spans="1:21" x14ac:dyDescent="0.3">
      <c r="A515" t="s">
        <v>359</v>
      </c>
      <c r="B515" t="s">
        <v>386</v>
      </c>
      <c r="C515" t="s">
        <v>574</v>
      </c>
      <c r="D515" t="s">
        <v>575</v>
      </c>
      <c r="E515" s="2">
        <v>70.248000000000005</v>
      </c>
      <c r="F515" s="2">
        <v>0.36799999999999999</v>
      </c>
      <c r="G515" s="2">
        <v>12.0405</v>
      </c>
      <c r="H515" s="2">
        <v>-12.083500000000001</v>
      </c>
      <c r="I515" s="1">
        <v>0.84018050335952599</v>
      </c>
      <c r="J515" s="1">
        <v>0.84140473750142297</v>
      </c>
      <c r="K515" s="1">
        <v>0.60763573835406604</v>
      </c>
      <c r="L515" s="1">
        <v>0.57656879415931495</v>
      </c>
      <c r="P515" s="1">
        <f>I515-'Passo 2'!I515</f>
        <v>-2.056998064002058E-3</v>
      </c>
      <c r="Q515" s="1">
        <f>J515-'Passo 2'!J515</f>
        <v>9.0394032570295657E-4</v>
      </c>
      <c r="R515" s="1">
        <f t="shared" ref="R515:R578" si="33">I515*E515</f>
        <v>59.020999999999987</v>
      </c>
      <c r="S515">
        <f t="shared" si="32"/>
        <v>59.106999999999964</v>
      </c>
      <c r="T515" s="1">
        <f t="shared" ref="T515:T578" si="34">K515*E515</f>
        <v>42.685195347896432</v>
      </c>
      <c r="U515" s="1">
        <f t="shared" ref="U515:U578" si="35">L515*E515</f>
        <v>40.502804652103556</v>
      </c>
    </row>
    <row r="516" spans="1:21" x14ac:dyDescent="0.3">
      <c r="A516" t="s">
        <v>359</v>
      </c>
      <c r="B516" t="s">
        <v>387</v>
      </c>
      <c r="C516" t="s">
        <v>574</v>
      </c>
      <c r="D516" t="s">
        <v>575</v>
      </c>
      <c r="E516" s="2">
        <v>609.96500000000003</v>
      </c>
      <c r="F516" s="2">
        <v>0</v>
      </c>
      <c r="G516" s="2">
        <v>115.80674999999999</v>
      </c>
      <c r="H516" s="2">
        <v>-133.215</v>
      </c>
      <c r="I516" s="1">
        <v>0.87971604928151603</v>
      </c>
      <c r="J516" s="1">
        <v>0.93679555384325297</v>
      </c>
      <c r="K516" s="1">
        <v>0.65776868981580106</v>
      </c>
      <c r="L516" s="1">
        <v>0.65874291330896795</v>
      </c>
      <c r="P516" s="1">
        <f>I516-'Passo 2'!I516</f>
        <v>2.1438115301698035E-2</v>
      </c>
      <c r="Q516" s="1">
        <f>J516-'Passo 2'!J516</f>
        <v>2.3663652832540016E-2</v>
      </c>
      <c r="R516" s="1">
        <f t="shared" si="33"/>
        <v>536.596</v>
      </c>
      <c r="S516">
        <f t="shared" si="32"/>
        <v>571.4124999999998</v>
      </c>
      <c r="T516" s="1">
        <f t="shared" si="34"/>
        <v>401.21587888349512</v>
      </c>
      <c r="U516" s="1">
        <f t="shared" si="35"/>
        <v>401.81012111650466</v>
      </c>
    </row>
    <row r="517" spans="1:21" x14ac:dyDescent="0.3">
      <c r="A517" t="s">
        <v>359</v>
      </c>
      <c r="B517" t="s">
        <v>388</v>
      </c>
      <c r="C517" t="s">
        <v>576</v>
      </c>
      <c r="D517" t="s">
        <v>14</v>
      </c>
      <c r="E517" s="2">
        <v>7.0750000000000002</v>
      </c>
      <c r="F517" s="2">
        <v>0</v>
      </c>
      <c r="G517" s="2">
        <v>1.76875</v>
      </c>
      <c r="H517" s="2">
        <v>0</v>
      </c>
      <c r="I517" s="1">
        <v>1</v>
      </c>
      <c r="J517" s="1">
        <v>0.5</v>
      </c>
      <c r="K517" s="1">
        <v>0.79417475728155296</v>
      </c>
      <c r="L517" s="1">
        <v>0.20582524271844599</v>
      </c>
      <c r="P517" s="1">
        <f>I517-'Passo 2'!I517</f>
        <v>0</v>
      </c>
      <c r="Q517" s="1">
        <f>J517-'Passo 2'!J517</f>
        <v>0</v>
      </c>
      <c r="R517" s="1">
        <f t="shared" si="33"/>
        <v>7.0750000000000002</v>
      </c>
      <c r="S517">
        <f t="shared" si="32"/>
        <v>3.5375000000000001</v>
      </c>
      <c r="T517" s="1">
        <f t="shared" si="34"/>
        <v>5.6187864077669873</v>
      </c>
      <c r="U517" s="1">
        <f t="shared" si="35"/>
        <v>1.4562135922330055</v>
      </c>
    </row>
    <row r="518" spans="1:21" x14ac:dyDescent="0.3">
      <c r="A518" t="s">
        <v>359</v>
      </c>
      <c r="B518" t="s">
        <v>732</v>
      </c>
      <c r="C518" t="s">
        <v>574</v>
      </c>
      <c r="D518" t="s">
        <v>575</v>
      </c>
      <c r="E518" s="2">
        <v>63.926000000000002</v>
      </c>
      <c r="F518" s="2">
        <v>0</v>
      </c>
      <c r="G518" s="2">
        <v>15.649749999999999</v>
      </c>
      <c r="H518" s="2">
        <v>-15.73625</v>
      </c>
      <c r="I518" s="1">
        <v>0.98962081156337001</v>
      </c>
      <c r="J518" s="1">
        <v>0.99232706566967999</v>
      </c>
      <c r="K518" s="1">
        <v>0.71411283141196702</v>
      </c>
      <c r="L518" s="1">
        <v>0.76783504582108297</v>
      </c>
      <c r="P518" s="1">
        <f>I518-'Passo 2'!I518</f>
        <v>2.0500265932484996E-2</v>
      </c>
      <c r="Q518" s="1">
        <f>J518-'Passo 2'!J518</f>
        <v>-1.7754904107880609E-3</v>
      </c>
      <c r="R518" s="1">
        <f t="shared" si="33"/>
        <v>63.262499999999996</v>
      </c>
      <c r="S518">
        <f t="shared" si="32"/>
        <v>63.435499999999962</v>
      </c>
      <c r="T518" s="1">
        <f t="shared" si="34"/>
        <v>45.650376860841405</v>
      </c>
      <c r="U518" s="1">
        <f t="shared" si="35"/>
        <v>49.084623139158552</v>
      </c>
    </row>
    <row r="519" spans="1:21" x14ac:dyDescent="0.3">
      <c r="A519" t="s">
        <v>359</v>
      </c>
      <c r="B519" t="s">
        <v>733</v>
      </c>
      <c r="C519" t="s">
        <v>576</v>
      </c>
      <c r="D519" t="s">
        <v>14</v>
      </c>
      <c r="E519" s="2">
        <v>65.418999999999997</v>
      </c>
      <c r="F519" s="2">
        <v>0</v>
      </c>
      <c r="G519" s="2">
        <v>11.998250000000001</v>
      </c>
      <c r="H519" s="2">
        <v>-13.52375</v>
      </c>
      <c r="I519" s="1">
        <v>0.86681239395282705</v>
      </c>
      <c r="J519" s="1">
        <v>0.91345022088384098</v>
      </c>
      <c r="K519" s="1">
        <v>0.74849612500371598</v>
      </c>
      <c r="L519" s="1">
        <v>0.53176648983295105</v>
      </c>
      <c r="P519" s="1">
        <f>I519-'Passo 2'!I519</f>
        <v>4.4360201164799107E-2</v>
      </c>
      <c r="Q519" s="1">
        <f>J519-'Passo 2'!J519</f>
        <v>-1.7043978049190445E-3</v>
      </c>
      <c r="R519" s="1">
        <f t="shared" si="33"/>
        <v>56.705999999999989</v>
      </c>
      <c r="S519">
        <f t="shared" si="32"/>
        <v>59.756999999999991</v>
      </c>
      <c r="T519" s="1">
        <f t="shared" si="34"/>
        <v>48.965868001618091</v>
      </c>
      <c r="U519" s="1">
        <f t="shared" si="35"/>
        <v>34.787631998381826</v>
      </c>
    </row>
    <row r="520" spans="1:21" x14ac:dyDescent="0.3">
      <c r="A520" t="s">
        <v>359</v>
      </c>
      <c r="B520" t="s">
        <v>389</v>
      </c>
      <c r="C520" t="s">
        <v>574</v>
      </c>
      <c r="D520" t="s">
        <v>575</v>
      </c>
      <c r="E520" s="2">
        <v>400.846</v>
      </c>
      <c r="F520" s="2">
        <v>0.223</v>
      </c>
      <c r="G520" s="2">
        <v>78.188749999999999</v>
      </c>
      <c r="H520" s="2">
        <v>-76.277500000000003</v>
      </c>
      <c r="I520" s="1">
        <v>0.88984048736921395</v>
      </c>
      <c r="J520" s="1">
        <v>0.88030440618092698</v>
      </c>
      <c r="K520" s="1">
        <v>0.74014250162282103</v>
      </c>
      <c r="L520" s="1">
        <v>0.53028055361534898</v>
      </c>
      <c r="P520" s="1">
        <f>I520-'Passo 2'!I520</f>
        <v>4.1824042150849783E-3</v>
      </c>
      <c r="Q520" s="1">
        <f>J520-'Passo 2'!J520</f>
        <v>6.6587916556482996E-2</v>
      </c>
      <c r="R520" s="1">
        <f t="shared" si="33"/>
        <v>356.68899999999996</v>
      </c>
      <c r="S520">
        <f t="shared" si="32"/>
        <v>352.86649999999986</v>
      </c>
      <c r="T520" s="1">
        <f t="shared" si="34"/>
        <v>296.68316120550134</v>
      </c>
      <c r="U520" s="1">
        <f t="shared" si="35"/>
        <v>212.56083879449818</v>
      </c>
    </row>
    <row r="521" spans="1:21" x14ac:dyDescent="0.3">
      <c r="A521" t="s">
        <v>359</v>
      </c>
      <c r="B521" t="s">
        <v>390</v>
      </c>
      <c r="C521" t="s">
        <v>576</v>
      </c>
      <c r="D521" t="s">
        <v>14</v>
      </c>
      <c r="E521" s="2">
        <v>0</v>
      </c>
      <c r="F521" s="2">
        <v>0</v>
      </c>
      <c r="G521" s="2">
        <v>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P521" s="1">
        <f>I521-'Passo 2'!I521</f>
        <v>0</v>
      </c>
      <c r="Q521" s="1">
        <f>J521-'Passo 2'!J521</f>
        <v>0</v>
      </c>
      <c r="R521" s="1">
        <f t="shared" si="33"/>
        <v>0</v>
      </c>
      <c r="S521">
        <f t="shared" si="32"/>
        <v>0</v>
      </c>
      <c r="T521" s="1">
        <f t="shared" si="34"/>
        <v>0</v>
      </c>
      <c r="U521" s="1">
        <f t="shared" si="35"/>
        <v>0</v>
      </c>
    </row>
    <row r="522" spans="1:21" x14ac:dyDescent="0.3">
      <c r="A522" t="s">
        <v>359</v>
      </c>
      <c r="B522" t="s">
        <v>391</v>
      </c>
      <c r="C522" t="s">
        <v>576</v>
      </c>
      <c r="D522" t="s">
        <v>14</v>
      </c>
      <c r="E522" s="2">
        <v>34.356000000000002</v>
      </c>
      <c r="F522" s="2">
        <v>0</v>
      </c>
      <c r="G522" s="2">
        <v>7.5724999999999998</v>
      </c>
      <c r="H522" s="2">
        <v>-8.25075</v>
      </c>
      <c r="I522" s="1">
        <v>0.94082547444405595</v>
      </c>
      <c r="J522" s="1">
        <v>0.98030911631156104</v>
      </c>
      <c r="K522" s="1">
        <v>0.75636000137151405</v>
      </c>
      <c r="L522" s="1">
        <v>0.66477458938410305</v>
      </c>
      <c r="P522" s="1">
        <f>I522-'Passo 2'!I522</f>
        <v>4.8201187565490966E-2</v>
      </c>
      <c r="Q522" s="1">
        <f>J522-'Passo 2'!J522</f>
        <v>1.1730119920829063E-2</v>
      </c>
      <c r="R522" s="1">
        <f t="shared" si="33"/>
        <v>32.322999999999986</v>
      </c>
      <c r="S522">
        <f t="shared" si="32"/>
        <v>33.67949999999999</v>
      </c>
      <c r="T522" s="1">
        <f t="shared" si="34"/>
        <v>25.985504207119739</v>
      </c>
      <c r="U522" s="1">
        <f t="shared" si="35"/>
        <v>22.838995792880247</v>
      </c>
    </row>
    <row r="523" spans="1:21" x14ac:dyDescent="0.3">
      <c r="A523" t="s">
        <v>359</v>
      </c>
      <c r="B523" t="s">
        <v>734</v>
      </c>
      <c r="C523" t="s">
        <v>574</v>
      </c>
      <c r="D523" t="s">
        <v>575</v>
      </c>
      <c r="E523" s="2">
        <v>301.02600000000001</v>
      </c>
      <c r="F523" s="2">
        <v>0</v>
      </c>
      <c r="G523" s="2">
        <v>63.653750000000002</v>
      </c>
      <c r="H523" s="2">
        <v>-62.752249999999997</v>
      </c>
      <c r="I523" s="1">
        <v>0.92291197438094996</v>
      </c>
      <c r="J523" s="1">
        <v>0.91692245852517695</v>
      </c>
      <c r="K523" s="1">
        <v>0.654514285791998</v>
      </c>
      <c r="L523" s="1">
        <v>0.68532014711412903</v>
      </c>
      <c r="P523" s="1">
        <f>I523-'Passo 2'!I523</f>
        <v>0.11040242371090891</v>
      </c>
      <c r="Q523" s="1">
        <f>J523-'Passo 2'!J523</f>
        <v>3.0761462465039857E-3</v>
      </c>
      <c r="R523" s="1">
        <f t="shared" si="33"/>
        <v>277.82049999999987</v>
      </c>
      <c r="S523">
        <f t="shared" si="32"/>
        <v>276.01749999999993</v>
      </c>
      <c r="T523" s="1">
        <f t="shared" si="34"/>
        <v>197.02581739482198</v>
      </c>
      <c r="U523" s="1">
        <f t="shared" si="35"/>
        <v>206.2991826051778</v>
      </c>
    </row>
    <row r="524" spans="1:21" x14ac:dyDescent="0.3">
      <c r="A524" t="s">
        <v>359</v>
      </c>
      <c r="B524" t="s">
        <v>392</v>
      </c>
      <c r="C524" t="s">
        <v>576</v>
      </c>
      <c r="D524" t="s">
        <v>14</v>
      </c>
      <c r="E524" s="2">
        <v>0</v>
      </c>
      <c r="F524" s="2">
        <v>0</v>
      </c>
      <c r="G524" s="2">
        <v>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P524" s="1">
        <f>I524-'Passo 2'!I524</f>
        <v>0</v>
      </c>
      <c r="Q524" s="1">
        <f>J524-'Passo 2'!J524</f>
        <v>0</v>
      </c>
      <c r="R524" s="1">
        <f t="shared" si="33"/>
        <v>0</v>
      </c>
      <c r="S524">
        <f t="shared" si="32"/>
        <v>0</v>
      </c>
      <c r="T524" s="1">
        <f t="shared" si="34"/>
        <v>0</v>
      </c>
      <c r="U524" s="1">
        <f t="shared" si="35"/>
        <v>0</v>
      </c>
    </row>
    <row r="525" spans="1:21" x14ac:dyDescent="0.3">
      <c r="A525" t="s">
        <v>359</v>
      </c>
      <c r="B525" t="s">
        <v>735</v>
      </c>
      <c r="C525" t="s">
        <v>34</v>
      </c>
      <c r="D525" t="s">
        <v>35</v>
      </c>
      <c r="E525" s="2">
        <v>88.128</v>
      </c>
      <c r="F525" s="2">
        <v>0</v>
      </c>
      <c r="G525" s="2">
        <v>22.023</v>
      </c>
      <c r="H525" s="2">
        <v>-22.032</v>
      </c>
      <c r="I525" s="1">
        <v>0.99979575163398604</v>
      </c>
      <c r="J525" s="1">
        <v>1</v>
      </c>
      <c r="K525" s="1">
        <v>0.878737415058091</v>
      </c>
      <c r="L525" s="1">
        <v>0.62105833657589504</v>
      </c>
      <c r="P525" s="1">
        <f>I525-'Passo 2'!I525</f>
        <v>2.2268745461146988E-2</v>
      </c>
      <c r="Q525" s="1">
        <f>J525-'Passo 2'!J525</f>
        <v>2.167302106027702E-2</v>
      </c>
      <c r="R525" s="1">
        <f t="shared" si="33"/>
        <v>88.109999999999928</v>
      </c>
      <c r="S525">
        <f t="shared" si="32"/>
        <v>88.128</v>
      </c>
      <c r="T525" s="1">
        <f t="shared" si="34"/>
        <v>77.441370914239442</v>
      </c>
      <c r="U525" s="1">
        <f t="shared" si="35"/>
        <v>54.732629085760479</v>
      </c>
    </row>
    <row r="526" spans="1:21" x14ac:dyDescent="0.3">
      <c r="A526" t="s">
        <v>359</v>
      </c>
      <c r="B526" t="s">
        <v>393</v>
      </c>
      <c r="C526" t="s">
        <v>34</v>
      </c>
      <c r="D526" t="s">
        <v>35</v>
      </c>
      <c r="E526" s="2">
        <v>1166.4860000000001</v>
      </c>
      <c r="F526" s="2">
        <v>0</v>
      </c>
      <c r="G526" s="2">
        <v>289.16975000000002</v>
      </c>
      <c r="H526" s="2">
        <v>-283.47874999999999</v>
      </c>
      <c r="I526" s="1">
        <v>0.995796349034621</v>
      </c>
      <c r="J526" s="1">
        <v>0.986038838014343</v>
      </c>
      <c r="K526" s="1">
        <v>0.92262787595861695</v>
      </c>
      <c r="L526" s="1">
        <v>0.55920731109034805</v>
      </c>
      <c r="P526" s="1">
        <f>I526-'Passo 2'!I526</f>
        <v>4.550033176566104E-2</v>
      </c>
      <c r="Q526" s="1">
        <f>J526-'Passo 2'!J526</f>
        <v>6.0290907906309976E-2</v>
      </c>
      <c r="R526" s="1">
        <f t="shared" si="33"/>
        <v>1161.5824999999991</v>
      </c>
      <c r="S526">
        <f t="shared" si="32"/>
        <v>1150.200499999999</v>
      </c>
      <c r="T526" s="1">
        <f t="shared" si="34"/>
        <v>1076.2325005154632</v>
      </c>
      <c r="U526" s="1">
        <f t="shared" si="35"/>
        <v>652.30749948453581</v>
      </c>
    </row>
    <row r="527" spans="1:21" x14ac:dyDescent="0.3">
      <c r="A527" t="s">
        <v>359</v>
      </c>
      <c r="B527" t="s">
        <v>736</v>
      </c>
      <c r="C527" t="s">
        <v>576</v>
      </c>
      <c r="D527" t="s">
        <v>14</v>
      </c>
      <c r="E527" s="2">
        <v>47.787999999999997</v>
      </c>
      <c r="F527" s="2">
        <v>0</v>
      </c>
      <c r="G527" s="2">
        <v>10.27075</v>
      </c>
      <c r="H527" s="2">
        <v>-11.526</v>
      </c>
      <c r="I527" s="1">
        <v>0.92984640495521798</v>
      </c>
      <c r="J527" s="1">
        <v>0.98238051393655301</v>
      </c>
      <c r="K527" s="1">
        <v>0.647822948571671</v>
      </c>
      <c r="L527" s="1">
        <v>0.76440397032009999</v>
      </c>
      <c r="P527" s="1">
        <f>I527-'Passo 2'!I527</f>
        <v>-9.1027036076007928E-4</v>
      </c>
      <c r="Q527" s="1">
        <f>J527-'Passo 2'!J527</f>
        <v>3.4527496442704475E-4</v>
      </c>
      <c r="R527" s="1">
        <f t="shared" si="33"/>
        <v>44.435499999999955</v>
      </c>
      <c r="S527">
        <f t="shared" si="32"/>
        <v>46.945999999999991</v>
      </c>
      <c r="T527" s="1">
        <f t="shared" si="34"/>
        <v>30.958163066343012</v>
      </c>
      <c r="U527" s="1">
        <f t="shared" si="35"/>
        <v>36.529336933656936</v>
      </c>
    </row>
    <row r="528" spans="1:21" x14ac:dyDescent="0.3">
      <c r="A528" t="s">
        <v>359</v>
      </c>
      <c r="B528" t="s">
        <v>394</v>
      </c>
      <c r="C528" t="s">
        <v>576</v>
      </c>
      <c r="D528" t="s">
        <v>14</v>
      </c>
      <c r="E528" s="2">
        <v>0</v>
      </c>
      <c r="F528" s="2">
        <v>0</v>
      </c>
      <c r="G528" s="2">
        <v>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P528" s="1">
        <f>I528-'Passo 2'!I528</f>
        <v>0</v>
      </c>
      <c r="Q528" s="1">
        <f>J528-'Passo 2'!J528</f>
        <v>0</v>
      </c>
      <c r="R528" s="1">
        <f t="shared" si="33"/>
        <v>0</v>
      </c>
      <c r="S528">
        <f t="shared" si="32"/>
        <v>0</v>
      </c>
      <c r="T528" s="1">
        <f t="shared" si="34"/>
        <v>0</v>
      </c>
      <c r="U528" s="1">
        <f t="shared" si="35"/>
        <v>0</v>
      </c>
    </row>
    <row r="529" spans="1:21" x14ac:dyDescent="0.3">
      <c r="A529" t="s">
        <v>359</v>
      </c>
      <c r="B529" t="s">
        <v>395</v>
      </c>
      <c r="C529" t="s">
        <v>34</v>
      </c>
      <c r="D529" t="s">
        <v>35</v>
      </c>
      <c r="E529" s="2">
        <v>202.44300000000001</v>
      </c>
      <c r="F529" s="2">
        <v>0</v>
      </c>
      <c r="G529" s="2">
        <v>48.72025</v>
      </c>
      <c r="H529" s="2">
        <v>-48.599999999999902</v>
      </c>
      <c r="I529" s="1">
        <v>0.98132313787090597</v>
      </c>
      <c r="J529" s="1">
        <v>0.98013514915309397</v>
      </c>
      <c r="K529" s="1">
        <v>0.89390588000742399</v>
      </c>
      <c r="L529" s="1">
        <v>0.56755240701657705</v>
      </c>
      <c r="P529" s="1">
        <f>I529-'Passo 2'!I529</f>
        <v>3.4533177240012924E-2</v>
      </c>
      <c r="Q529" s="1">
        <f>J529-'Passo 2'!J529</f>
        <v>3.6741206166673979E-2</v>
      </c>
      <c r="R529" s="1">
        <f t="shared" si="33"/>
        <v>198.66199999999984</v>
      </c>
      <c r="S529">
        <f t="shared" si="32"/>
        <v>198.42149999999981</v>
      </c>
      <c r="T529" s="1">
        <f t="shared" si="34"/>
        <v>180.96498806634295</v>
      </c>
      <c r="U529" s="1">
        <f t="shared" si="35"/>
        <v>114.89701193365691</v>
      </c>
    </row>
    <row r="530" spans="1:21" x14ac:dyDescent="0.3">
      <c r="A530" t="s">
        <v>359</v>
      </c>
      <c r="B530" t="s">
        <v>396</v>
      </c>
      <c r="C530" t="s">
        <v>34</v>
      </c>
      <c r="D530" t="s">
        <v>35</v>
      </c>
      <c r="E530" s="2">
        <v>358.60700000000003</v>
      </c>
      <c r="F530" s="2">
        <v>0</v>
      </c>
      <c r="G530" s="2">
        <v>89.557000000000002</v>
      </c>
      <c r="H530" s="2">
        <v>-89.635249999999999</v>
      </c>
      <c r="I530" s="1">
        <v>0.99947156636652301</v>
      </c>
      <c r="J530" s="1">
        <v>0.99990797725643898</v>
      </c>
      <c r="K530" s="1">
        <v>0.87868660097991103</v>
      </c>
      <c r="L530" s="1">
        <v>0.62069294264305197</v>
      </c>
      <c r="P530" s="1">
        <f>I530-'Passo 2'!I530</f>
        <v>4.2327673469843008E-2</v>
      </c>
      <c r="Q530" s="1">
        <f>J530-'Passo 2'!J530</f>
        <v>1.6410722601622019E-2</v>
      </c>
      <c r="R530" s="1">
        <f t="shared" si="33"/>
        <v>358.41749999999973</v>
      </c>
      <c r="S530">
        <f t="shared" si="32"/>
        <v>358.57399999999984</v>
      </c>
      <c r="T530" s="1">
        <f t="shared" si="34"/>
        <v>315.10316591760295</v>
      </c>
      <c r="U530" s="1">
        <f t="shared" si="35"/>
        <v>222.58483408239695</v>
      </c>
    </row>
    <row r="531" spans="1:21" x14ac:dyDescent="0.3">
      <c r="A531" t="s">
        <v>359</v>
      </c>
      <c r="B531" t="s">
        <v>397</v>
      </c>
      <c r="C531" t="s">
        <v>576</v>
      </c>
      <c r="D531" t="s">
        <v>14</v>
      </c>
      <c r="E531" s="2">
        <v>154.38499999999999</v>
      </c>
      <c r="F531" s="2">
        <v>0</v>
      </c>
      <c r="G531" s="2">
        <v>29.699750000000002</v>
      </c>
      <c r="H531" s="2">
        <v>-19.658999999999999</v>
      </c>
      <c r="I531" s="1">
        <v>0.88474916604592402</v>
      </c>
      <c r="J531" s="1">
        <v>0.75467500080966399</v>
      </c>
      <c r="K531" s="1">
        <v>0.62591525903016598</v>
      </c>
      <c r="L531" s="1">
        <v>0.51350890782542202</v>
      </c>
      <c r="P531" s="1">
        <f>I531-'Passo 2'!I531</f>
        <v>0</v>
      </c>
      <c r="Q531" s="1">
        <f>J531-'Passo 2'!J531</f>
        <v>0</v>
      </c>
      <c r="R531" s="1">
        <f t="shared" si="33"/>
        <v>136.59199999999998</v>
      </c>
      <c r="S531">
        <f t="shared" si="32"/>
        <v>116.51049999999996</v>
      </c>
      <c r="T531" s="1">
        <f t="shared" si="34"/>
        <v>96.63192726537217</v>
      </c>
      <c r="U531" s="1">
        <f t="shared" si="35"/>
        <v>79.27807273462777</v>
      </c>
    </row>
    <row r="532" spans="1:21" x14ac:dyDescent="0.3">
      <c r="A532" t="s">
        <v>359</v>
      </c>
      <c r="B532" t="s">
        <v>398</v>
      </c>
      <c r="C532" t="s">
        <v>576</v>
      </c>
      <c r="D532" t="s">
        <v>14</v>
      </c>
      <c r="E532" s="2">
        <v>64.072999999999993</v>
      </c>
      <c r="F532" s="2">
        <v>0</v>
      </c>
      <c r="G532" s="2">
        <v>14.94875</v>
      </c>
      <c r="H532" s="2">
        <v>-15.3225</v>
      </c>
      <c r="I532" s="1">
        <v>0.96661620339300403</v>
      </c>
      <c r="J532" s="1">
        <v>0.97828258392770695</v>
      </c>
      <c r="K532" s="1">
        <v>0.707080956708107</v>
      </c>
      <c r="L532" s="1">
        <v>0.73781783061260398</v>
      </c>
      <c r="P532" s="1">
        <f>I532-'Passo 2'!I532</f>
        <v>0.11702277090194002</v>
      </c>
      <c r="Q532" s="1">
        <f>J532-'Passo 2'!J532</f>
        <v>1.286813478376192E-2</v>
      </c>
      <c r="R532" s="1">
        <f t="shared" si="33"/>
        <v>61.933999999999941</v>
      </c>
      <c r="S532">
        <f t="shared" si="32"/>
        <v>62.681499999999964</v>
      </c>
      <c r="T532" s="1">
        <f t="shared" si="34"/>
        <v>45.304798139158535</v>
      </c>
      <c r="U532" s="1">
        <f t="shared" si="35"/>
        <v>47.274201860841373</v>
      </c>
    </row>
    <row r="533" spans="1:21" x14ac:dyDescent="0.3">
      <c r="A533" t="s">
        <v>359</v>
      </c>
      <c r="B533" t="s">
        <v>399</v>
      </c>
      <c r="C533" t="s">
        <v>34</v>
      </c>
      <c r="D533" t="s">
        <v>35</v>
      </c>
      <c r="E533" s="2">
        <v>204.155</v>
      </c>
      <c r="F533" s="2">
        <v>0</v>
      </c>
      <c r="G533" s="2">
        <v>50.758000000000003</v>
      </c>
      <c r="H533" s="2">
        <v>-50.686250000000001</v>
      </c>
      <c r="I533" s="1">
        <v>0.99724963875486705</v>
      </c>
      <c r="J533" s="1">
        <v>0.99654674144644995</v>
      </c>
      <c r="K533" s="1">
        <v>0.87342375478717604</v>
      </c>
      <c r="L533" s="1">
        <v>0.62037262541414095</v>
      </c>
      <c r="P533" s="1">
        <f>I533-'Passo 2'!I533</f>
        <v>2.0722000440841049E-2</v>
      </c>
      <c r="Q533" s="1">
        <f>J533-'Passo 2'!J533</f>
        <v>4.5592809385026967E-2</v>
      </c>
      <c r="R533" s="1">
        <f t="shared" si="33"/>
        <v>203.59349999999989</v>
      </c>
      <c r="S533">
        <f t="shared" si="32"/>
        <v>203.45</v>
      </c>
      <c r="T533" s="1">
        <f t="shared" si="34"/>
        <v>178.31382665857592</v>
      </c>
      <c r="U533" s="1">
        <f t="shared" si="35"/>
        <v>126.65217334142395</v>
      </c>
    </row>
    <row r="534" spans="1:21" x14ac:dyDescent="0.3">
      <c r="A534" t="s">
        <v>359</v>
      </c>
      <c r="B534" t="s">
        <v>737</v>
      </c>
      <c r="C534" t="s">
        <v>576</v>
      </c>
      <c r="D534" t="s">
        <v>14</v>
      </c>
      <c r="E534" s="2">
        <v>207.916</v>
      </c>
      <c r="F534" s="2">
        <v>21.035</v>
      </c>
      <c r="G534" s="2">
        <v>15.4894999999999</v>
      </c>
      <c r="H534" s="2">
        <v>-17.029999999999902</v>
      </c>
      <c r="I534" s="1">
        <v>0.59841233959868401</v>
      </c>
      <c r="J534" s="1">
        <v>0.613230823986609</v>
      </c>
      <c r="K534" s="1">
        <v>0.37585375217811001</v>
      </c>
      <c r="L534" s="1">
        <v>0.38637474394532301</v>
      </c>
      <c r="P534" s="1">
        <f>I534-'Passo 2'!I534</f>
        <v>5.4156486273310156E-3</v>
      </c>
      <c r="Q534" s="1">
        <f>J534-'Passo 2'!J534</f>
        <v>-1.0509051732430996E-2</v>
      </c>
      <c r="R534" s="1">
        <f t="shared" si="33"/>
        <v>124.41949999999999</v>
      </c>
      <c r="S534">
        <f t="shared" si="32"/>
        <v>127.50049999999979</v>
      </c>
      <c r="T534" s="1">
        <f t="shared" si="34"/>
        <v>78.146008737863923</v>
      </c>
      <c r="U534" s="1">
        <f t="shared" si="35"/>
        <v>80.33349126213578</v>
      </c>
    </row>
    <row r="535" spans="1:21" x14ac:dyDescent="0.3">
      <c r="A535" t="s">
        <v>359</v>
      </c>
      <c r="B535" t="s">
        <v>400</v>
      </c>
      <c r="C535" t="s">
        <v>574</v>
      </c>
      <c r="D535" t="s">
        <v>575</v>
      </c>
      <c r="E535" s="2">
        <v>0</v>
      </c>
      <c r="F535" s="2">
        <v>0</v>
      </c>
      <c r="G535" s="2">
        <v>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P535" s="1">
        <f>I535-'Passo 2'!I535</f>
        <v>0</v>
      </c>
      <c r="Q535" s="1">
        <f>J535-'Passo 2'!J535</f>
        <v>0</v>
      </c>
      <c r="R535" s="1">
        <f t="shared" si="33"/>
        <v>0</v>
      </c>
      <c r="S535">
        <f t="shared" si="32"/>
        <v>0</v>
      </c>
      <c r="T535" s="1">
        <f t="shared" si="34"/>
        <v>0</v>
      </c>
      <c r="U535" s="1">
        <f t="shared" si="35"/>
        <v>0</v>
      </c>
    </row>
    <row r="536" spans="1:21" x14ac:dyDescent="0.3">
      <c r="A536" t="s">
        <v>359</v>
      </c>
      <c r="B536" t="s">
        <v>401</v>
      </c>
      <c r="C536" t="s">
        <v>576</v>
      </c>
      <c r="D536" t="s">
        <v>14</v>
      </c>
      <c r="E536" s="2">
        <v>57.061</v>
      </c>
      <c r="F536" s="2">
        <v>0</v>
      </c>
      <c r="G536" s="2">
        <v>12.3765</v>
      </c>
      <c r="H536" s="2">
        <v>-10.9575</v>
      </c>
      <c r="I536" s="1">
        <v>0.93379891694852801</v>
      </c>
      <c r="J536" s="1">
        <v>0.88406266977445103</v>
      </c>
      <c r="K536" s="1">
        <v>0.75763255600702994</v>
      </c>
      <c r="L536" s="1">
        <v>0.56022903071594998</v>
      </c>
      <c r="P536" s="1">
        <f>I536-'Passo 2'!I536</f>
        <v>9.1340845761552991E-2</v>
      </c>
      <c r="Q536" s="1">
        <f>J536-'Passo 2'!J536</f>
        <v>-2.6541771087082999E-2</v>
      </c>
      <c r="R536" s="1">
        <f t="shared" si="33"/>
        <v>53.283499999999954</v>
      </c>
      <c r="S536">
        <f t="shared" si="32"/>
        <v>50.445499999999953</v>
      </c>
      <c r="T536" s="1">
        <f t="shared" si="34"/>
        <v>43.231271278317138</v>
      </c>
      <c r="U536" s="1">
        <f t="shared" si="35"/>
        <v>31.967228721682822</v>
      </c>
    </row>
    <row r="537" spans="1:21" x14ac:dyDescent="0.3">
      <c r="A537" t="s">
        <v>359</v>
      </c>
      <c r="B537" t="s">
        <v>402</v>
      </c>
      <c r="C537" t="s">
        <v>576</v>
      </c>
      <c r="D537" t="s">
        <v>14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P537" s="1">
        <f>I537-'Passo 2'!I537</f>
        <v>0</v>
      </c>
      <c r="Q537" s="1">
        <f>J537-'Passo 2'!J537</f>
        <v>0</v>
      </c>
      <c r="R537" s="1">
        <f t="shared" si="33"/>
        <v>0</v>
      </c>
      <c r="S537">
        <f t="shared" si="32"/>
        <v>0</v>
      </c>
      <c r="T537" s="1">
        <f t="shared" si="34"/>
        <v>0</v>
      </c>
      <c r="U537" s="1">
        <f t="shared" si="35"/>
        <v>0</v>
      </c>
    </row>
    <row r="538" spans="1:21" x14ac:dyDescent="0.3">
      <c r="A538" t="s">
        <v>359</v>
      </c>
      <c r="B538" t="s">
        <v>403</v>
      </c>
      <c r="C538" t="s">
        <v>34</v>
      </c>
      <c r="D538" t="s">
        <v>35</v>
      </c>
      <c r="E538" s="2">
        <v>75.156999999999996</v>
      </c>
      <c r="F538" s="2">
        <v>0</v>
      </c>
      <c r="G538" s="2">
        <v>18.360749999999999</v>
      </c>
      <c r="H538" s="2">
        <v>-18.72175</v>
      </c>
      <c r="I538" s="1">
        <v>0.98859720318799305</v>
      </c>
      <c r="J538" s="1">
        <v>0.99820376012879697</v>
      </c>
      <c r="K538" s="1">
        <v>0.87830222057704999</v>
      </c>
      <c r="L538" s="1">
        <v>0.60849874273973903</v>
      </c>
      <c r="P538" s="1">
        <f>I538-'Passo 2'!I538</f>
        <v>2.4362334845723033E-2</v>
      </c>
      <c r="Q538" s="1">
        <f>J538-'Passo 2'!J538</f>
        <v>5.5497159279907948E-2</v>
      </c>
      <c r="R538" s="1">
        <f t="shared" si="33"/>
        <v>74.299999999999983</v>
      </c>
      <c r="S538">
        <f t="shared" si="32"/>
        <v>75.021999999999991</v>
      </c>
      <c r="T538" s="1">
        <f t="shared" si="34"/>
        <v>66.010559991909346</v>
      </c>
      <c r="U538" s="1">
        <f t="shared" si="35"/>
        <v>45.732940008090566</v>
      </c>
    </row>
    <row r="539" spans="1:21" x14ac:dyDescent="0.3">
      <c r="A539" t="s">
        <v>359</v>
      </c>
      <c r="B539" t="s">
        <v>738</v>
      </c>
      <c r="C539" t="s">
        <v>576</v>
      </c>
      <c r="D539" t="s">
        <v>14</v>
      </c>
      <c r="E539" s="2">
        <v>55.787999999999997</v>
      </c>
      <c r="F539" s="2">
        <v>0</v>
      </c>
      <c r="G539" s="2">
        <v>10.808249999999999</v>
      </c>
      <c r="H539" s="2">
        <v>-11.72575</v>
      </c>
      <c r="I539" s="1">
        <v>0.88747580124757997</v>
      </c>
      <c r="J539" s="1">
        <v>0.92036817953681804</v>
      </c>
      <c r="K539" s="1">
        <v>0.69600089874450699</v>
      </c>
      <c r="L539" s="1">
        <v>0.61184308203989002</v>
      </c>
      <c r="P539" s="1">
        <f>I539-'Passo 2'!I539</f>
        <v>4.7277192227719977E-2</v>
      </c>
      <c r="Q539" s="1">
        <f>J539-'Passo 2'!J539</f>
        <v>6.7487631748770482E-3</v>
      </c>
      <c r="R539" s="1">
        <f t="shared" si="33"/>
        <v>49.510499999999986</v>
      </c>
      <c r="S539">
        <f t="shared" si="32"/>
        <v>51.345500000000001</v>
      </c>
      <c r="T539" s="1">
        <f t="shared" si="34"/>
        <v>38.828498139158555</v>
      </c>
      <c r="U539" s="1">
        <f t="shared" si="35"/>
        <v>34.133501860841385</v>
      </c>
    </row>
    <row r="540" spans="1:21" x14ac:dyDescent="0.3">
      <c r="A540" t="s">
        <v>359</v>
      </c>
      <c r="B540" t="s">
        <v>404</v>
      </c>
      <c r="C540" t="s">
        <v>574</v>
      </c>
      <c r="D540" t="s">
        <v>575</v>
      </c>
      <c r="E540" s="2">
        <v>56.759</v>
      </c>
      <c r="F540" s="2">
        <v>0</v>
      </c>
      <c r="G540" s="2">
        <v>10.7225</v>
      </c>
      <c r="H540" s="2">
        <v>-13.763</v>
      </c>
      <c r="I540" s="1">
        <v>0.87782554308567795</v>
      </c>
      <c r="J540" s="1">
        <v>0.98496273718705396</v>
      </c>
      <c r="K540" s="1">
        <v>0.63651666650416705</v>
      </c>
      <c r="L540" s="1">
        <v>0.72627161376856397</v>
      </c>
      <c r="P540" s="1">
        <f>I540-'Passo 2'!I540</f>
        <v>1.0306735495699826E-3</v>
      </c>
      <c r="Q540" s="1">
        <f>J540-'Passo 2'!J540</f>
        <v>-3.0832114730705573E-4</v>
      </c>
      <c r="R540" s="1">
        <f t="shared" si="33"/>
        <v>49.824499999999993</v>
      </c>
      <c r="S540">
        <f t="shared" si="32"/>
        <v>55.905499999999996</v>
      </c>
      <c r="T540" s="1">
        <f t="shared" si="34"/>
        <v>36.128049474110021</v>
      </c>
      <c r="U540" s="1">
        <f t="shared" si="35"/>
        <v>41.222450525889926</v>
      </c>
    </row>
    <row r="541" spans="1:21" x14ac:dyDescent="0.3">
      <c r="A541" t="s">
        <v>359</v>
      </c>
      <c r="B541" t="s">
        <v>739</v>
      </c>
      <c r="C541" t="s">
        <v>34</v>
      </c>
      <c r="D541" t="s">
        <v>35</v>
      </c>
      <c r="E541" s="2">
        <v>86.245999999999995</v>
      </c>
      <c r="F541" s="2">
        <v>0</v>
      </c>
      <c r="G541" s="2">
        <v>21.481750000000002</v>
      </c>
      <c r="H541" s="2">
        <v>-21.525500000000001</v>
      </c>
      <c r="I541" s="1">
        <v>0.99815063887020805</v>
      </c>
      <c r="J541" s="1">
        <v>0.99916517867495303</v>
      </c>
      <c r="K541" s="1">
        <v>0.87071097927002905</v>
      </c>
      <c r="L541" s="1">
        <v>0.62660483827513103</v>
      </c>
      <c r="P541" s="1">
        <f>I541-'Passo 2'!I541</f>
        <v>5.5770702409390083E-3</v>
      </c>
      <c r="Q541" s="1">
        <f>J541-'Passo 2'!J541</f>
        <v>1.4191962525799018E-2</v>
      </c>
      <c r="R541" s="1">
        <f t="shared" si="33"/>
        <v>86.086499999999958</v>
      </c>
      <c r="S541">
        <f t="shared" si="32"/>
        <v>86.173999999999992</v>
      </c>
      <c r="T541" s="1">
        <f t="shared" si="34"/>
        <v>75.095339118122922</v>
      </c>
      <c r="U541" s="1">
        <f t="shared" si="35"/>
        <v>54.042160881876946</v>
      </c>
    </row>
    <row r="542" spans="1:21" x14ac:dyDescent="0.3">
      <c r="A542" t="s">
        <v>359</v>
      </c>
      <c r="B542" t="s">
        <v>740</v>
      </c>
      <c r="C542" t="s">
        <v>576</v>
      </c>
      <c r="D542" t="s">
        <v>598</v>
      </c>
      <c r="E542" s="2">
        <v>166.18199999999999</v>
      </c>
      <c r="F542" s="2">
        <v>0</v>
      </c>
      <c r="G542" s="2">
        <v>20.481499999999901</v>
      </c>
      <c r="H542" s="2">
        <v>-28.132999999999999</v>
      </c>
      <c r="I542" s="1">
        <v>0.74649480689846004</v>
      </c>
      <c r="J542" s="1">
        <v>0.83858059236258997</v>
      </c>
      <c r="K542" s="1">
        <v>0.42930874195753399</v>
      </c>
      <c r="L542" s="1">
        <v>0.65576665730351602</v>
      </c>
      <c r="P542" s="1">
        <f>I542-'Passo 2'!I542</f>
        <v>8.3041484637320639E-3</v>
      </c>
      <c r="Q542" s="1">
        <f>J542-'Passo 2'!J542</f>
        <v>6.2281113478002137E-4</v>
      </c>
      <c r="R542" s="1">
        <f t="shared" si="33"/>
        <v>124.05399999999987</v>
      </c>
      <c r="S542">
        <f t="shared" si="32"/>
        <v>139.35699999999991</v>
      </c>
      <c r="T542" s="1">
        <f t="shared" si="34"/>
        <v>71.343385355986911</v>
      </c>
      <c r="U542" s="1">
        <f t="shared" si="35"/>
        <v>108.9766146440129</v>
      </c>
    </row>
    <row r="543" spans="1:21" x14ac:dyDescent="0.3">
      <c r="A543" t="s">
        <v>359</v>
      </c>
      <c r="B543" t="s">
        <v>741</v>
      </c>
      <c r="C543" t="s">
        <v>34</v>
      </c>
      <c r="D543" t="s">
        <v>35</v>
      </c>
      <c r="E543" s="2">
        <v>143.28200000000001</v>
      </c>
      <c r="F543" s="2">
        <v>0</v>
      </c>
      <c r="G543" s="2">
        <v>32.122250000000001</v>
      </c>
      <c r="H543" s="2">
        <v>-31.079000000000001</v>
      </c>
      <c r="I543" s="1">
        <v>0.94837802375734503</v>
      </c>
      <c r="J543" s="1">
        <v>0.93381583171647498</v>
      </c>
      <c r="K543" s="1">
        <v>0.84919745642478695</v>
      </c>
      <c r="L543" s="1">
        <v>0.53299639904903395</v>
      </c>
      <c r="P543" s="1">
        <f>I543-'Passo 2'!I543</f>
        <v>3.4320431038092014E-2</v>
      </c>
      <c r="Q543" s="1">
        <f>J543-'Passo 2'!J543</f>
        <v>5.2518809061850025E-2</v>
      </c>
      <c r="R543" s="1">
        <f t="shared" si="33"/>
        <v>135.88549999999992</v>
      </c>
      <c r="S543">
        <f t="shared" si="32"/>
        <v>133.79899999999998</v>
      </c>
      <c r="T543" s="1">
        <f t="shared" si="34"/>
        <v>121.67470995145634</v>
      </c>
      <c r="U543" s="1">
        <f t="shared" si="35"/>
        <v>76.368790048543687</v>
      </c>
    </row>
    <row r="544" spans="1:21" x14ac:dyDescent="0.3">
      <c r="A544" t="s">
        <v>359</v>
      </c>
      <c r="B544" t="s">
        <v>405</v>
      </c>
      <c r="C544" t="s">
        <v>576</v>
      </c>
      <c r="D544" t="s">
        <v>14</v>
      </c>
      <c r="E544" s="2">
        <v>107.691</v>
      </c>
      <c r="F544" s="2">
        <v>0</v>
      </c>
      <c r="G544" s="2">
        <v>14.6482499999999</v>
      </c>
      <c r="H544" s="2">
        <v>-21.121749999999999</v>
      </c>
      <c r="I544" s="1">
        <v>0.77204223194138699</v>
      </c>
      <c r="J544" s="1">
        <v>0.89226583465656295</v>
      </c>
      <c r="K544" s="1">
        <v>0.594449182770589</v>
      </c>
      <c r="L544" s="1">
        <v>0.56985888382736105</v>
      </c>
      <c r="P544" s="1">
        <f>I544-'Passo 2'!I544</f>
        <v>2.3455999108559999E-2</v>
      </c>
      <c r="Q544" s="1">
        <f>J544-'Passo 2'!J544</f>
        <v>-3.322004624341901E-2</v>
      </c>
      <c r="R544" s="1">
        <f t="shared" si="33"/>
        <v>83.141999999999911</v>
      </c>
      <c r="S544">
        <f t="shared" si="32"/>
        <v>96.088999999999928</v>
      </c>
      <c r="T544" s="1">
        <f t="shared" si="34"/>
        <v>64.016826941747496</v>
      </c>
      <c r="U544" s="1">
        <f t="shared" si="35"/>
        <v>61.368673058252341</v>
      </c>
    </row>
    <row r="545" spans="1:21" x14ac:dyDescent="0.3">
      <c r="A545" t="s">
        <v>359</v>
      </c>
      <c r="B545" t="s">
        <v>406</v>
      </c>
      <c r="C545" t="s">
        <v>34</v>
      </c>
      <c r="D545" t="s">
        <v>35</v>
      </c>
      <c r="E545" s="2">
        <v>499.81700000000001</v>
      </c>
      <c r="F545" s="2">
        <v>0</v>
      </c>
      <c r="G545" s="2">
        <v>124.62375</v>
      </c>
      <c r="H545" s="2">
        <v>-124.61</v>
      </c>
      <c r="I545" s="1">
        <v>0.99867751597084498</v>
      </c>
      <c r="J545" s="1">
        <v>0.99862249583347495</v>
      </c>
      <c r="K545" s="1">
        <v>0.86247174459379605</v>
      </c>
      <c r="L545" s="1">
        <v>0.63482826721052399</v>
      </c>
      <c r="P545" s="1">
        <f>I545-'Passo 2'!I545</f>
        <v>9.8115910423219876E-3</v>
      </c>
      <c r="Q545" s="1">
        <f>J545-'Passo 2'!J545</f>
        <v>1.9487132290418985E-2</v>
      </c>
      <c r="R545" s="1">
        <f t="shared" si="33"/>
        <v>499.15599999999984</v>
      </c>
      <c r="S545">
        <f t="shared" si="32"/>
        <v>499.12849999999997</v>
      </c>
      <c r="T545" s="1">
        <f t="shared" si="34"/>
        <v>431.07803996763738</v>
      </c>
      <c r="U545" s="1">
        <f t="shared" si="35"/>
        <v>317.29796003236248</v>
      </c>
    </row>
    <row r="546" spans="1:21" x14ac:dyDescent="0.3">
      <c r="A546" t="s">
        <v>359</v>
      </c>
      <c r="B546" t="s">
        <v>407</v>
      </c>
      <c r="C546" t="s">
        <v>576</v>
      </c>
      <c r="D546" t="s">
        <v>14</v>
      </c>
      <c r="E546" s="2">
        <v>51.982999999999997</v>
      </c>
      <c r="F546" s="2">
        <v>0</v>
      </c>
      <c r="G546" s="2">
        <v>8.7569999999999997</v>
      </c>
      <c r="H546" s="2">
        <v>-7.71225</v>
      </c>
      <c r="I546" s="1">
        <v>0.83691783852413204</v>
      </c>
      <c r="J546" s="1">
        <v>0.79672200527095305</v>
      </c>
      <c r="K546" s="1">
        <v>0.63297324781994002</v>
      </c>
      <c r="L546" s="1">
        <v>0.50066659597514596</v>
      </c>
      <c r="P546" s="1">
        <f>I546-'Passo 2'!I546</f>
        <v>1.8582998287900998E-2</v>
      </c>
      <c r="Q546" s="1">
        <f>J546-'Passo 2'!J546</f>
        <v>5.0016351499504452E-4</v>
      </c>
      <c r="R546" s="1">
        <f t="shared" si="33"/>
        <v>43.505499999999955</v>
      </c>
      <c r="S546">
        <f t="shared" si="32"/>
        <v>41.415999999999947</v>
      </c>
      <c r="T546" s="1">
        <f t="shared" si="34"/>
        <v>32.903848341423938</v>
      </c>
      <c r="U546" s="1">
        <f t="shared" si="35"/>
        <v>26.026151658576012</v>
      </c>
    </row>
    <row r="547" spans="1:21" x14ac:dyDescent="0.3">
      <c r="A547" t="s">
        <v>359</v>
      </c>
      <c r="B547" t="s">
        <v>408</v>
      </c>
      <c r="C547" t="s">
        <v>576</v>
      </c>
      <c r="D547" t="s">
        <v>14</v>
      </c>
      <c r="E547" s="2">
        <v>76.971000000000004</v>
      </c>
      <c r="F547" s="2">
        <v>0</v>
      </c>
      <c r="G547" s="2">
        <v>16.161249999999999</v>
      </c>
      <c r="H547" s="2">
        <v>-16.598749999999999</v>
      </c>
      <c r="I547" s="1">
        <v>0.91993088305985304</v>
      </c>
      <c r="J547" s="1">
        <v>0.93129880084707195</v>
      </c>
      <c r="K547" s="1">
        <v>0.67687281111084596</v>
      </c>
      <c r="L547" s="1">
        <v>0.67435687279607903</v>
      </c>
      <c r="P547" s="1">
        <f>I547-'Passo 2'!I547</f>
        <v>4.5426199477725082E-2</v>
      </c>
      <c r="Q547" s="1">
        <f>J547-'Passo 2'!J547</f>
        <v>2.4814540541239216E-3</v>
      </c>
      <c r="R547" s="1">
        <f t="shared" si="33"/>
        <v>70.80799999999995</v>
      </c>
      <c r="S547">
        <f t="shared" si="32"/>
        <v>71.682999999999979</v>
      </c>
      <c r="T547" s="1">
        <f t="shared" si="34"/>
        <v>52.099577144012926</v>
      </c>
      <c r="U547" s="1">
        <f t="shared" si="35"/>
        <v>51.905922855987001</v>
      </c>
    </row>
    <row r="548" spans="1:21" x14ac:dyDescent="0.3">
      <c r="A548" t="s">
        <v>359</v>
      </c>
      <c r="B548" t="s">
        <v>409</v>
      </c>
      <c r="C548" t="s">
        <v>34</v>
      </c>
      <c r="D548" t="s">
        <v>35</v>
      </c>
      <c r="E548" s="2">
        <v>489.16</v>
      </c>
      <c r="F548" s="2">
        <v>0</v>
      </c>
      <c r="G548" s="2">
        <v>119.37425</v>
      </c>
      <c r="H548" s="2">
        <v>-120.6155</v>
      </c>
      <c r="I548" s="1">
        <v>0.98807854280807905</v>
      </c>
      <c r="J548" s="1">
        <v>0.99315356938425003</v>
      </c>
      <c r="K548" s="1">
        <v>0.90337605131974297</v>
      </c>
      <c r="L548" s="1">
        <v>0.57785606087258501</v>
      </c>
      <c r="P548" s="1">
        <f>I548-'Passo 2'!I548</f>
        <v>4.2243846594162027E-2</v>
      </c>
      <c r="Q548" s="1">
        <f>J548-'Passo 2'!J548</f>
        <v>8.0401095755990082E-2</v>
      </c>
      <c r="R548" s="1">
        <f t="shared" si="33"/>
        <v>483.32849999999996</v>
      </c>
      <c r="S548">
        <f t="shared" si="32"/>
        <v>485.81099999999975</v>
      </c>
      <c r="T548" s="1">
        <f t="shared" si="34"/>
        <v>441.89542926356552</v>
      </c>
      <c r="U548" s="1">
        <f t="shared" si="35"/>
        <v>282.6640707364337</v>
      </c>
    </row>
    <row r="549" spans="1:21" x14ac:dyDescent="0.3">
      <c r="A549" t="s">
        <v>359</v>
      </c>
      <c r="B549" t="s">
        <v>742</v>
      </c>
      <c r="C549" t="s">
        <v>34</v>
      </c>
      <c r="D549" t="s">
        <v>35</v>
      </c>
      <c r="E549" s="2">
        <v>1287.8050000000001</v>
      </c>
      <c r="F549" s="2">
        <v>0</v>
      </c>
      <c r="G549" s="2">
        <v>309.49124999999998</v>
      </c>
      <c r="H549" s="2">
        <v>-300.19150000000002</v>
      </c>
      <c r="I549" s="1">
        <v>0.98064924425669997</v>
      </c>
      <c r="J549" s="1">
        <v>0.96620645206378197</v>
      </c>
      <c r="K549" s="1">
        <v>0.884231712369416</v>
      </c>
      <c r="L549" s="1">
        <v>0.56262398395106605</v>
      </c>
      <c r="P549" s="1">
        <f>I549-'Passo 2'!I549</f>
        <v>8.7239139465990934E-2</v>
      </c>
      <c r="Q549" s="1">
        <f>J549-'Passo 2'!J549</f>
        <v>7.4534964532672943E-2</v>
      </c>
      <c r="R549" s="1">
        <f t="shared" si="33"/>
        <v>1262.8849999999995</v>
      </c>
      <c r="S549">
        <f t="shared" si="32"/>
        <v>1244.2854999999988</v>
      </c>
      <c r="T549" s="1">
        <f t="shared" si="34"/>
        <v>1138.7180203478958</v>
      </c>
      <c r="U549" s="1">
        <f t="shared" si="35"/>
        <v>724.54997965210271</v>
      </c>
    </row>
    <row r="550" spans="1:21" x14ac:dyDescent="0.3">
      <c r="A550" t="s">
        <v>359</v>
      </c>
      <c r="B550" t="s">
        <v>743</v>
      </c>
      <c r="C550" t="s">
        <v>576</v>
      </c>
      <c r="D550" t="s">
        <v>14</v>
      </c>
      <c r="E550" s="2">
        <v>192.87799999999999</v>
      </c>
      <c r="F550" s="2">
        <v>0</v>
      </c>
      <c r="G550" s="2">
        <v>18.00225</v>
      </c>
      <c r="H550" s="2">
        <v>-20.678750000000001</v>
      </c>
      <c r="I550" s="1">
        <v>0.68666981200551602</v>
      </c>
      <c r="J550" s="1">
        <v>0.71442310683437105</v>
      </c>
      <c r="K550" s="1">
        <v>0.50590889071989398</v>
      </c>
      <c r="L550" s="1">
        <v>0.39518402811999298</v>
      </c>
      <c r="P550" s="1">
        <f>I550-'Passo 2'!I550</f>
        <v>3.0052675784693061E-2</v>
      </c>
      <c r="Q550" s="1">
        <f>J550-'Passo 2'!J550</f>
        <v>3.3388981636060078E-2</v>
      </c>
      <c r="R550" s="1">
        <f t="shared" si="33"/>
        <v>132.44349999999991</v>
      </c>
      <c r="S550">
        <f t="shared" si="32"/>
        <v>137.79649999999981</v>
      </c>
      <c r="T550" s="1">
        <f t="shared" si="34"/>
        <v>97.57869502427171</v>
      </c>
      <c r="U550" s="1">
        <f t="shared" si="35"/>
        <v>76.222304975727994</v>
      </c>
    </row>
    <row r="551" spans="1:21" x14ac:dyDescent="0.3">
      <c r="A551" t="s">
        <v>359</v>
      </c>
      <c r="B551" t="s">
        <v>744</v>
      </c>
      <c r="C551" t="s">
        <v>34</v>
      </c>
      <c r="D551" t="s">
        <v>35</v>
      </c>
      <c r="E551" s="2">
        <v>197.27500000000001</v>
      </c>
      <c r="F551" s="2">
        <v>0</v>
      </c>
      <c r="G551" s="2">
        <v>46.338749999999997</v>
      </c>
      <c r="H551" s="2">
        <v>-47.045499999999997</v>
      </c>
      <c r="I551" s="1">
        <v>0.969788366493473</v>
      </c>
      <c r="J551" s="1">
        <v>0.97695349131922404</v>
      </c>
      <c r="K551" s="1">
        <v>0.8740204810244</v>
      </c>
      <c r="L551" s="1">
        <v>0.57272137678829704</v>
      </c>
      <c r="P551" s="1">
        <f>I551-'Passo 2'!I551</f>
        <v>4.6009377772144977E-2</v>
      </c>
      <c r="Q551" s="1">
        <f>J551-'Passo 2'!J551</f>
        <v>4.930427068812604E-2</v>
      </c>
      <c r="R551" s="1">
        <f t="shared" si="33"/>
        <v>191.31499999999988</v>
      </c>
      <c r="S551">
        <f t="shared" si="32"/>
        <v>192.72849999999994</v>
      </c>
      <c r="T551" s="1">
        <f t="shared" si="34"/>
        <v>172.42239039408852</v>
      </c>
      <c r="U551" s="1">
        <f t="shared" si="35"/>
        <v>112.9836096059113</v>
      </c>
    </row>
    <row r="552" spans="1:21" x14ac:dyDescent="0.3">
      <c r="A552" t="s">
        <v>359</v>
      </c>
      <c r="B552" t="s">
        <v>745</v>
      </c>
      <c r="C552" t="s">
        <v>34</v>
      </c>
      <c r="D552" t="s">
        <v>35</v>
      </c>
      <c r="E552" s="2">
        <v>477.928</v>
      </c>
      <c r="F552" s="2">
        <v>0</v>
      </c>
      <c r="G552" s="2">
        <v>114.38024999999899</v>
      </c>
      <c r="H552" s="2">
        <v>-114.69525</v>
      </c>
      <c r="I552" s="1">
        <v>0.97865054987362099</v>
      </c>
      <c r="J552" s="1">
        <v>0.979968740061264</v>
      </c>
      <c r="K552" s="1">
        <v>0.87706740069503797</v>
      </c>
      <c r="L552" s="1">
        <v>0.58155188923984602</v>
      </c>
      <c r="P552" s="1">
        <f>I552-'Passo 2'!I552</f>
        <v>9.2226234914046024E-2</v>
      </c>
      <c r="Q552" s="1">
        <f>J552-'Passo 2'!J552</f>
        <v>6.9915342896837984E-2</v>
      </c>
      <c r="R552" s="1">
        <f t="shared" si="33"/>
        <v>467.72449999999992</v>
      </c>
      <c r="S552">
        <f t="shared" si="32"/>
        <v>468.3544999999998</v>
      </c>
      <c r="T552" s="1">
        <f t="shared" si="34"/>
        <v>419.17506867937811</v>
      </c>
      <c r="U552" s="1">
        <f t="shared" si="35"/>
        <v>277.9399313206211</v>
      </c>
    </row>
    <row r="553" spans="1:21" x14ac:dyDescent="0.3">
      <c r="A553" t="s">
        <v>359</v>
      </c>
      <c r="B553" t="s">
        <v>410</v>
      </c>
      <c r="C553" t="s">
        <v>34</v>
      </c>
      <c r="D553" t="s">
        <v>35</v>
      </c>
      <c r="E553" s="2">
        <v>478.42700000000002</v>
      </c>
      <c r="F553" s="2">
        <v>0</v>
      </c>
      <c r="G553" s="2">
        <v>118.51925</v>
      </c>
      <c r="H553" s="2">
        <v>-116.14475</v>
      </c>
      <c r="I553" s="1">
        <v>0.99545385189380997</v>
      </c>
      <c r="J553" s="1">
        <v>0.98552757264953605</v>
      </c>
      <c r="K553" s="1">
        <v>0.87684417162234496</v>
      </c>
      <c r="L553" s="1">
        <v>0.60413725292100195</v>
      </c>
      <c r="P553" s="1">
        <f>I553-'Passo 2'!I553</f>
        <v>3.8535659567707992E-2</v>
      </c>
      <c r="Q553" s="1">
        <f>J553-'Passo 2'!J553</f>
        <v>2.2745371812209036E-2</v>
      </c>
      <c r="R553" s="1">
        <f t="shared" si="33"/>
        <v>476.25199999999984</v>
      </c>
      <c r="S553">
        <f t="shared" si="32"/>
        <v>471.50299999999959</v>
      </c>
      <c r="T553" s="1">
        <f t="shared" si="34"/>
        <v>419.50592649676366</v>
      </c>
      <c r="U553" s="1">
        <f t="shared" si="35"/>
        <v>289.03557350323621</v>
      </c>
    </row>
    <row r="554" spans="1:21" x14ac:dyDescent="0.3">
      <c r="A554" t="s">
        <v>359</v>
      </c>
      <c r="B554" t="s">
        <v>411</v>
      </c>
      <c r="C554" t="s">
        <v>34</v>
      </c>
      <c r="D554" t="s">
        <v>35</v>
      </c>
      <c r="E554" s="2">
        <v>321.77499999999998</v>
      </c>
      <c r="F554" s="2">
        <v>0</v>
      </c>
      <c r="G554" s="2">
        <v>76.732500000000002</v>
      </c>
      <c r="H554" s="2">
        <v>-77.428999999999903</v>
      </c>
      <c r="I554" s="1">
        <v>0.97693263926656804</v>
      </c>
      <c r="J554" s="1">
        <v>0.98126175122368098</v>
      </c>
      <c r="K554" s="1">
        <v>0.86042392420782798</v>
      </c>
      <c r="L554" s="1">
        <v>0.59777046628242003</v>
      </c>
      <c r="P554" s="1">
        <f>I554-'Passo 2'!I554</f>
        <v>1.8963561494834025E-2</v>
      </c>
      <c r="Q554" s="1">
        <f>J554-'Passo 2'!J554</f>
        <v>1.3545179084764936E-2</v>
      </c>
      <c r="R554" s="1">
        <f t="shared" si="33"/>
        <v>314.35249999999991</v>
      </c>
      <c r="S554">
        <f t="shared" si="32"/>
        <v>315.74549999999994</v>
      </c>
      <c r="T554" s="1">
        <f t="shared" si="34"/>
        <v>276.86290821197383</v>
      </c>
      <c r="U554" s="1">
        <f t="shared" si="35"/>
        <v>192.34759178802568</v>
      </c>
    </row>
    <row r="555" spans="1:21" x14ac:dyDescent="0.3">
      <c r="A555" t="s">
        <v>359</v>
      </c>
      <c r="B555" t="s">
        <v>412</v>
      </c>
      <c r="C555" t="s">
        <v>574</v>
      </c>
      <c r="D555" t="s">
        <v>575</v>
      </c>
      <c r="E555" s="2">
        <v>150.65600000000001</v>
      </c>
      <c r="F555" s="2">
        <v>0</v>
      </c>
      <c r="G555" s="2">
        <v>31.78125</v>
      </c>
      <c r="H555" s="2">
        <v>-36.9405</v>
      </c>
      <c r="I555" s="1">
        <v>0.92190486937128202</v>
      </c>
      <c r="J555" s="1">
        <v>0.99039533772302402</v>
      </c>
      <c r="K555" s="1">
        <v>0.53747619687139903</v>
      </c>
      <c r="L555" s="1">
        <v>0.87482401022290701</v>
      </c>
      <c r="P555" s="1">
        <f>I555-'Passo 2'!I555</f>
        <v>5.5009425446049032E-2</v>
      </c>
      <c r="Q555" s="1">
        <f>J555-'Passo 2'!J555</f>
        <v>6.7969413763799835E-3</v>
      </c>
      <c r="R555" s="1">
        <f t="shared" si="33"/>
        <v>138.89049999999986</v>
      </c>
      <c r="S555">
        <f t="shared" si="32"/>
        <v>149.20899999999992</v>
      </c>
      <c r="T555" s="1">
        <f t="shared" si="34"/>
        <v>80.974013915857498</v>
      </c>
      <c r="U555" s="1">
        <f t="shared" si="35"/>
        <v>131.79748608414229</v>
      </c>
    </row>
    <row r="556" spans="1:21" x14ac:dyDescent="0.3">
      <c r="A556" t="s">
        <v>359</v>
      </c>
      <c r="B556" t="s">
        <v>746</v>
      </c>
      <c r="C556" t="s">
        <v>34</v>
      </c>
      <c r="D556" t="s">
        <v>35</v>
      </c>
      <c r="E556" s="2">
        <v>87.775999999999996</v>
      </c>
      <c r="F556" s="2">
        <v>0</v>
      </c>
      <c r="G556" s="2">
        <v>21.91075</v>
      </c>
      <c r="H556" s="2">
        <v>-21.7605</v>
      </c>
      <c r="I556" s="1">
        <v>0.99924238971928503</v>
      </c>
      <c r="J556" s="1">
        <v>0.99581890266131901</v>
      </c>
      <c r="K556" s="1">
        <v>0.872356240697857</v>
      </c>
      <c r="L556" s="1">
        <v>0.62270505168274704</v>
      </c>
      <c r="P556" s="1">
        <f>I556-'Passo 2'!I556</f>
        <v>3.6279848705796036E-2</v>
      </c>
      <c r="Q556" s="1">
        <f>J556-'Passo 2'!J556</f>
        <v>3.8541286912139983E-2</v>
      </c>
      <c r="R556" s="1">
        <f t="shared" si="33"/>
        <v>87.709499999999963</v>
      </c>
      <c r="S556">
        <f t="shared" si="32"/>
        <v>87.408999999999935</v>
      </c>
      <c r="T556" s="1">
        <f t="shared" si="34"/>
        <v>76.571941383495087</v>
      </c>
      <c r="U556" s="1">
        <f t="shared" si="35"/>
        <v>54.658558616504799</v>
      </c>
    </row>
    <row r="557" spans="1:21" x14ac:dyDescent="0.3">
      <c r="A557" t="s">
        <v>359</v>
      </c>
      <c r="B557" t="s">
        <v>413</v>
      </c>
      <c r="C557" t="s">
        <v>34</v>
      </c>
      <c r="D557" t="s">
        <v>35</v>
      </c>
      <c r="E557" s="2">
        <v>358.55799999999999</v>
      </c>
      <c r="F557" s="2">
        <v>0</v>
      </c>
      <c r="G557" s="2">
        <v>89.639499999999998</v>
      </c>
      <c r="H557" s="2">
        <v>-86.741749999999996</v>
      </c>
      <c r="I557" s="1">
        <v>1</v>
      </c>
      <c r="J557" s="1">
        <v>0.98383664567517604</v>
      </c>
      <c r="K557" s="1">
        <v>0.91516370393177304</v>
      </c>
      <c r="L557" s="1">
        <v>0.56867294174340199</v>
      </c>
      <c r="P557" s="1">
        <f>I557-'Passo 2'!I557</f>
        <v>4.5853111630476007E-2</v>
      </c>
      <c r="Q557" s="1">
        <f>J557-'Passo 2'!J557</f>
        <v>7.6270784642931022E-2</v>
      </c>
      <c r="R557" s="1">
        <f t="shared" si="33"/>
        <v>358.55799999999999</v>
      </c>
      <c r="S557">
        <f t="shared" si="32"/>
        <v>352.76249999999976</v>
      </c>
      <c r="T557" s="1">
        <f t="shared" si="34"/>
        <v>328.13926735436866</v>
      </c>
      <c r="U557" s="1">
        <f t="shared" si="35"/>
        <v>203.90223264563073</v>
      </c>
    </row>
    <row r="558" spans="1:21" x14ac:dyDescent="0.3">
      <c r="A558" t="s">
        <v>359</v>
      </c>
      <c r="B558" t="s">
        <v>414</v>
      </c>
      <c r="C558" t="s">
        <v>34</v>
      </c>
      <c r="D558" t="s">
        <v>35</v>
      </c>
      <c r="E558" s="2">
        <v>322.61</v>
      </c>
      <c r="F558" s="2">
        <v>0</v>
      </c>
      <c r="G558" s="2">
        <v>79.560500000000005</v>
      </c>
      <c r="H558" s="2">
        <v>-78.66225</v>
      </c>
      <c r="I558" s="1">
        <v>0.99323021605033901</v>
      </c>
      <c r="J558" s="1">
        <v>0.98766157279687505</v>
      </c>
      <c r="K558" s="1">
        <v>0.87128866120674897</v>
      </c>
      <c r="L558" s="1">
        <v>0.60960312764046498</v>
      </c>
      <c r="P558" s="1">
        <f>I558-'Passo 2'!I558</f>
        <v>5.9204612380303612E-4</v>
      </c>
      <c r="Q558" s="1">
        <f>J558-'Passo 2'!J558</f>
        <v>2.6118223241685001E-2</v>
      </c>
      <c r="R558" s="1">
        <f t="shared" si="33"/>
        <v>320.42599999999987</v>
      </c>
      <c r="S558">
        <f t="shared" si="32"/>
        <v>318.62949999999989</v>
      </c>
      <c r="T558" s="1">
        <f t="shared" si="34"/>
        <v>281.0864349919093</v>
      </c>
      <c r="U558" s="1">
        <f t="shared" si="35"/>
        <v>196.6640650080904</v>
      </c>
    </row>
    <row r="559" spans="1:21" x14ac:dyDescent="0.3">
      <c r="A559" t="s">
        <v>359</v>
      </c>
      <c r="B559" t="s">
        <v>747</v>
      </c>
      <c r="C559" t="s">
        <v>576</v>
      </c>
      <c r="D559" t="s">
        <v>14</v>
      </c>
      <c r="E559" s="2">
        <v>87.245999999999995</v>
      </c>
      <c r="F559" s="2">
        <v>0</v>
      </c>
      <c r="G559" s="2">
        <v>12.772</v>
      </c>
      <c r="H559" s="2">
        <v>-14.289</v>
      </c>
      <c r="I559" s="1">
        <v>0.79278133094926995</v>
      </c>
      <c r="J559" s="1">
        <v>0.82755656419778501</v>
      </c>
      <c r="K559" s="1">
        <v>0.59876241161861399</v>
      </c>
      <c r="L559" s="1">
        <v>0.52157548352843996</v>
      </c>
      <c r="P559" s="1">
        <f>I559-'Passo 2'!I559</f>
        <v>-2.5903766361780045E-3</v>
      </c>
      <c r="Q559" s="1">
        <f>J559-'Passo 2'!J559</f>
        <v>1.9462210301904981E-2</v>
      </c>
      <c r="R559" s="1">
        <f t="shared" si="33"/>
        <v>69.167000000000002</v>
      </c>
      <c r="S559">
        <f t="shared" si="32"/>
        <v>72.200999999999951</v>
      </c>
      <c r="T559" s="1">
        <f t="shared" si="34"/>
        <v>52.23962536407759</v>
      </c>
      <c r="U559" s="1">
        <f t="shared" si="35"/>
        <v>45.505374635922273</v>
      </c>
    </row>
    <row r="560" spans="1:21" x14ac:dyDescent="0.3">
      <c r="A560" t="s">
        <v>359</v>
      </c>
      <c r="B560" t="s">
        <v>415</v>
      </c>
      <c r="C560" t="s">
        <v>576</v>
      </c>
      <c r="D560" t="s">
        <v>14</v>
      </c>
      <c r="E560" s="2">
        <v>134.29300000000001</v>
      </c>
      <c r="F560" s="2">
        <v>0</v>
      </c>
      <c r="G560" s="2">
        <v>17.125</v>
      </c>
      <c r="H560" s="2">
        <v>-24.560499999999902</v>
      </c>
      <c r="I560" s="1">
        <v>0.755039354247801</v>
      </c>
      <c r="J560" s="1">
        <v>0.86577483562061996</v>
      </c>
      <c r="K560" s="1">
        <v>0.58163065179390705</v>
      </c>
      <c r="L560" s="1">
        <v>0.53918353807451402</v>
      </c>
      <c r="P560" s="1">
        <f>I560-'Passo 2'!I560</f>
        <v>1.8965992270632004E-2</v>
      </c>
      <c r="Q560" s="1">
        <f>J560-'Passo 2'!J560</f>
        <v>1.3314171252410967E-2</v>
      </c>
      <c r="R560" s="1">
        <f t="shared" si="33"/>
        <v>101.39649999999995</v>
      </c>
      <c r="S560">
        <f t="shared" si="32"/>
        <v>116.26749999999993</v>
      </c>
      <c r="T560" s="1">
        <f t="shared" si="34"/>
        <v>78.108925121359164</v>
      </c>
      <c r="U560" s="1">
        <f t="shared" si="35"/>
        <v>72.408574878640721</v>
      </c>
    </row>
    <row r="561" spans="1:21" x14ac:dyDescent="0.3">
      <c r="A561" t="s">
        <v>359</v>
      </c>
      <c r="B561" t="s">
        <v>416</v>
      </c>
      <c r="C561" t="s">
        <v>576</v>
      </c>
      <c r="D561" t="s">
        <v>14</v>
      </c>
      <c r="E561" s="2">
        <v>84.69</v>
      </c>
      <c r="F561" s="2">
        <v>0</v>
      </c>
      <c r="G561" s="2">
        <v>9.3789999999999996</v>
      </c>
      <c r="H561" s="2">
        <v>-9.0507500000000007</v>
      </c>
      <c r="I561" s="1">
        <v>0.72149014051245697</v>
      </c>
      <c r="J561" s="1">
        <v>0.71373833982760604</v>
      </c>
      <c r="K561" s="1">
        <v>0.56307242843784699</v>
      </c>
      <c r="L561" s="1">
        <v>0.37215605190221601</v>
      </c>
      <c r="P561" s="1">
        <f>I561-'Passo 2'!I561</f>
        <v>7.0787578226472969E-2</v>
      </c>
      <c r="Q561" s="1">
        <f>J561-'Passo 2'!J561</f>
        <v>2.8852284803400075E-2</v>
      </c>
      <c r="R561" s="1">
        <f t="shared" si="33"/>
        <v>61.10299999999998</v>
      </c>
      <c r="S561">
        <f t="shared" si="32"/>
        <v>60.446499999999951</v>
      </c>
      <c r="T561" s="1">
        <f t="shared" si="34"/>
        <v>47.686603964401257</v>
      </c>
      <c r="U561" s="1">
        <f t="shared" si="35"/>
        <v>31.517896035598675</v>
      </c>
    </row>
    <row r="562" spans="1:21" x14ac:dyDescent="0.3">
      <c r="A562" t="s">
        <v>359</v>
      </c>
      <c r="B562" t="s">
        <v>748</v>
      </c>
      <c r="C562" t="s">
        <v>574</v>
      </c>
      <c r="D562" t="s">
        <v>575</v>
      </c>
      <c r="E562" s="2">
        <v>30</v>
      </c>
      <c r="F562" s="2">
        <v>2.4E-2</v>
      </c>
      <c r="G562" s="2">
        <v>6.9939999999999998</v>
      </c>
      <c r="H562" s="2">
        <v>-7.2439999999999998</v>
      </c>
      <c r="I562" s="1">
        <v>0.96586666666666599</v>
      </c>
      <c r="J562" s="1">
        <v>0.98253333333333304</v>
      </c>
      <c r="K562" s="1">
        <v>0.49416106526429299</v>
      </c>
      <c r="L562" s="1">
        <v>0.95463893473570605</v>
      </c>
      <c r="P562" s="1">
        <f>I562-'Passo 2'!I562</f>
        <v>0</v>
      </c>
      <c r="Q562" s="1">
        <f>J562-'Passo 2'!J562</f>
        <v>0</v>
      </c>
      <c r="R562" s="1">
        <f t="shared" si="33"/>
        <v>28.975999999999978</v>
      </c>
      <c r="S562">
        <f t="shared" si="32"/>
        <v>29.475999999999992</v>
      </c>
      <c r="T562" s="1">
        <f t="shared" si="34"/>
        <v>14.82483195792879</v>
      </c>
      <c r="U562" s="1">
        <f t="shared" si="35"/>
        <v>28.63916804207118</v>
      </c>
    </row>
    <row r="563" spans="1:21" x14ac:dyDescent="0.3">
      <c r="A563" t="s">
        <v>359</v>
      </c>
      <c r="B563" t="s">
        <v>417</v>
      </c>
      <c r="C563" t="s">
        <v>34</v>
      </c>
      <c r="D563" t="s">
        <v>35</v>
      </c>
      <c r="E563" s="2">
        <v>565.58699999999999</v>
      </c>
      <c r="F563" s="2">
        <v>0</v>
      </c>
      <c r="G563" s="2">
        <v>131.21275</v>
      </c>
      <c r="H563" s="2">
        <v>-136.42525000000001</v>
      </c>
      <c r="I563" s="1">
        <v>0.96398785686375399</v>
      </c>
      <c r="J563" s="1">
        <v>0.98242003440673098</v>
      </c>
      <c r="K563" s="1">
        <v>0.85874946585122103</v>
      </c>
      <c r="L563" s="1">
        <v>0.58765842541926305</v>
      </c>
      <c r="P563" s="1">
        <f>I563-'Passo 2'!I563</f>
        <v>5.4101314209838991E-2</v>
      </c>
      <c r="Q563" s="1">
        <f>J563-'Passo 2'!J563</f>
        <v>7.8157737005977945E-2</v>
      </c>
      <c r="R563" s="1">
        <f t="shared" si="33"/>
        <v>545.21900000000005</v>
      </c>
      <c r="S563">
        <f t="shared" si="32"/>
        <v>555.64399999999978</v>
      </c>
      <c r="T563" s="1">
        <f t="shared" si="34"/>
        <v>485.69753414239455</v>
      </c>
      <c r="U563" s="1">
        <f t="shared" si="35"/>
        <v>332.37196585760472</v>
      </c>
    </row>
    <row r="564" spans="1:21" x14ac:dyDescent="0.3">
      <c r="A564" t="s">
        <v>359</v>
      </c>
      <c r="B564" t="s">
        <v>749</v>
      </c>
      <c r="C564" t="s">
        <v>34</v>
      </c>
      <c r="D564" t="s">
        <v>35</v>
      </c>
      <c r="E564" s="2">
        <v>70.126999999999995</v>
      </c>
      <c r="F564" s="2">
        <v>0</v>
      </c>
      <c r="G564" s="2">
        <v>17.285250000000001</v>
      </c>
      <c r="H564" s="2">
        <v>-17.476500000000001</v>
      </c>
      <c r="I564" s="1">
        <v>0.99296989747172903</v>
      </c>
      <c r="J564" s="1">
        <v>0.99842428736435296</v>
      </c>
      <c r="K564" s="1">
        <v>0.86956214588560399</v>
      </c>
      <c r="L564" s="1">
        <v>0.62183203895047801</v>
      </c>
      <c r="P564" s="1">
        <f>I564-'Passo 2'!I564</f>
        <v>4.5075363269496016E-2</v>
      </c>
      <c r="Q564" s="1">
        <f>J564-'Passo 2'!J564</f>
        <v>1.4045945213683964E-2</v>
      </c>
      <c r="R564" s="1">
        <f t="shared" si="33"/>
        <v>69.633999999999943</v>
      </c>
      <c r="S564">
        <f t="shared" si="32"/>
        <v>70.016499999999979</v>
      </c>
      <c r="T564" s="1">
        <f t="shared" si="34"/>
        <v>60.97978460451975</v>
      </c>
      <c r="U564" s="1">
        <f t="shared" si="35"/>
        <v>43.607215395480168</v>
      </c>
    </row>
    <row r="565" spans="1:21" x14ac:dyDescent="0.3">
      <c r="A565" t="s">
        <v>359</v>
      </c>
      <c r="B565" t="s">
        <v>750</v>
      </c>
      <c r="C565" t="s">
        <v>34</v>
      </c>
      <c r="D565" t="s">
        <v>35</v>
      </c>
      <c r="E565" s="2">
        <v>69.852000000000004</v>
      </c>
      <c r="F565" s="2">
        <v>0</v>
      </c>
      <c r="G565" s="2">
        <v>17.01925</v>
      </c>
      <c r="H565" s="2">
        <v>-17.189250000000001</v>
      </c>
      <c r="I565" s="1">
        <v>0.98729456565309504</v>
      </c>
      <c r="J565" s="1">
        <v>0.99216199965641605</v>
      </c>
      <c r="K565" s="1">
        <v>0.90880084489559398</v>
      </c>
      <c r="L565" s="1">
        <v>0.57065572041391699</v>
      </c>
      <c r="P565" s="1">
        <f>I565-'Passo 2'!I565</f>
        <v>6.2618106854492983E-2</v>
      </c>
      <c r="Q565" s="1">
        <f>J565-'Passo 2'!J565</f>
        <v>3.4243829811602011E-2</v>
      </c>
      <c r="R565" s="1">
        <f t="shared" si="33"/>
        <v>68.964500000000001</v>
      </c>
      <c r="S565">
        <f t="shared" si="32"/>
        <v>69.304499999999976</v>
      </c>
      <c r="T565" s="1">
        <f t="shared" si="34"/>
        <v>63.481556617647037</v>
      </c>
      <c r="U565" s="1">
        <f t="shared" si="35"/>
        <v>39.861443382352931</v>
      </c>
    </row>
    <row r="566" spans="1:21" x14ac:dyDescent="0.3">
      <c r="A566" t="s">
        <v>359</v>
      </c>
      <c r="B566" t="s">
        <v>418</v>
      </c>
      <c r="C566" t="s">
        <v>34</v>
      </c>
      <c r="D566" t="s">
        <v>35</v>
      </c>
      <c r="E566" s="2">
        <v>182.649</v>
      </c>
      <c r="F566" s="2">
        <v>0</v>
      </c>
      <c r="G566" s="2">
        <v>45.66225</v>
      </c>
      <c r="H566" s="2">
        <v>-45.66225</v>
      </c>
      <c r="I566" s="1">
        <v>1</v>
      </c>
      <c r="J566" s="1">
        <v>1</v>
      </c>
      <c r="K566" s="1">
        <v>0.93276207028234404</v>
      </c>
      <c r="L566" s="1">
        <v>0.56723792971765497</v>
      </c>
      <c r="P566" s="1">
        <f>I566-'Passo 2'!I566</f>
        <v>0</v>
      </c>
      <c r="Q566" s="1">
        <f>J566-'Passo 2'!J566</f>
        <v>0</v>
      </c>
      <c r="R566" s="1">
        <f t="shared" si="33"/>
        <v>182.649</v>
      </c>
      <c r="S566">
        <f t="shared" si="32"/>
        <v>182.649</v>
      </c>
      <c r="T566" s="1">
        <f t="shared" si="34"/>
        <v>170.36805937499986</v>
      </c>
      <c r="U566" s="1">
        <f t="shared" si="35"/>
        <v>103.60544062499996</v>
      </c>
    </row>
    <row r="567" spans="1:21" x14ac:dyDescent="0.3">
      <c r="A567" t="s">
        <v>359</v>
      </c>
      <c r="B567" t="s">
        <v>419</v>
      </c>
      <c r="C567" t="s">
        <v>576</v>
      </c>
      <c r="D567" t="s">
        <v>14</v>
      </c>
      <c r="E567" s="2">
        <v>16.628</v>
      </c>
      <c r="F567" s="2">
        <v>0</v>
      </c>
      <c r="G567" s="2">
        <v>3.8552499999999998</v>
      </c>
      <c r="H567" s="2">
        <v>-4.157</v>
      </c>
      <c r="I567" s="1">
        <v>0.963705797450084</v>
      </c>
      <c r="J567" s="1">
        <v>1</v>
      </c>
      <c r="K567" s="1">
        <v>0.96340526283112704</v>
      </c>
      <c r="L567" s="1">
        <v>0.50030053461895596</v>
      </c>
      <c r="P567" s="1">
        <f>I567-'Passo 2'!I567</f>
        <v>5.7132547510196918E-4</v>
      </c>
      <c r="Q567" s="1">
        <f>J567-'Passo 2'!J567</f>
        <v>9.3216261727207983E-2</v>
      </c>
      <c r="R567" s="1">
        <f t="shared" si="33"/>
        <v>16.024499999999996</v>
      </c>
      <c r="S567">
        <f t="shared" si="32"/>
        <v>16.628</v>
      </c>
      <c r="T567" s="1">
        <f t="shared" si="34"/>
        <v>16.01950271035598</v>
      </c>
      <c r="U567" s="1">
        <f t="shared" si="35"/>
        <v>8.318997289643999</v>
      </c>
    </row>
    <row r="568" spans="1:21" x14ac:dyDescent="0.3">
      <c r="A568" t="s">
        <v>359</v>
      </c>
      <c r="B568" t="s">
        <v>751</v>
      </c>
      <c r="C568" t="s">
        <v>34</v>
      </c>
      <c r="D568" t="s">
        <v>35</v>
      </c>
      <c r="E568" s="2">
        <v>759.37</v>
      </c>
      <c r="F568" s="2">
        <v>0</v>
      </c>
      <c r="G568" s="2">
        <v>189.41475</v>
      </c>
      <c r="H568" s="2">
        <v>-189.35825</v>
      </c>
      <c r="I568" s="1">
        <v>0.99887340821997095</v>
      </c>
      <c r="J568" s="1">
        <v>0.99872460065580604</v>
      </c>
      <c r="K568" s="1">
        <v>0.90843209419454496</v>
      </c>
      <c r="L568" s="1">
        <v>0.58916591468123303</v>
      </c>
      <c r="P568" s="1">
        <f>I568-'Passo 2'!I568</f>
        <v>1.2206170904828895E-2</v>
      </c>
      <c r="Q568" s="1">
        <f>J568-'Passo 2'!J568</f>
        <v>2.8327429316407082E-2</v>
      </c>
      <c r="R568" s="1">
        <f t="shared" si="33"/>
        <v>758.51449999999932</v>
      </c>
      <c r="S568">
        <f t="shared" si="32"/>
        <v>758.40149999999949</v>
      </c>
      <c r="T568" s="1">
        <f t="shared" si="34"/>
        <v>689.83607936851161</v>
      </c>
      <c r="U568" s="1">
        <f t="shared" si="35"/>
        <v>447.39492063148793</v>
      </c>
    </row>
    <row r="569" spans="1:21" x14ac:dyDescent="0.3">
      <c r="A569" t="s">
        <v>359</v>
      </c>
      <c r="B569" t="s">
        <v>420</v>
      </c>
      <c r="C569" t="s">
        <v>576</v>
      </c>
      <c r="D569" t="s">
        <v>14</v>
      </c>
      <c r="E569" s="2">
        <v>46.713999999999999</v>
      </c>
      <c r="F569" s="2">
        <v>0</v>
      </c>
      <c r="G569" s="2">
        <v>9.4967500000000005</v>
      </c>
      <c r="H569" s="2">
        <v>-10.181749999999999</v>
      </c>
      <c r="I569" s="1">
        <v>0.90659117181144799</v>
      </c>
      <c r="J569" s="1">
        <v>0.93591856830928599</v>
      </c>
      <c r="K569" s="1">
        <v>0.65307550573184203</v>
      </c>
      <c r="L569" s="1">
        <v>0.68943423438889195</v>
      </c>
      <c r="P569" s="1">
        <f>I569-'Passo 2'!I569</f>
        <v>8.7200839148863007E-2</v>
      </c>
      <c r="Q569" s="1">
        <f>J569-'Passo 2'!J569</f>
        <v>1.0029113327910011E-2</v>
      </c>
      <c r="R569" s="1">
        <f t="shared" si="33"/>
        <v>42.350499999999982</v>
      </c>
      <c r="S569">
        <f t="shared" si="32"/>
        <v>43.720499999999987</v>
      </c>
      <c r="T569" s="1">
        <f t="shared" si="34"/>
        <v>30.507769174757268</v>
      </c>
      <c r="U569" s="1">
        <f t="shared" si="35"/>
        <v>32.206230825242699</v>
      </c>
    </row>
    <row r="570" spans="1:21" x14ac:dyDescent="0.3">
      <c r="A570" t="s">
        <v>359</v>
      </c>
      <c r="B570" t="s">
        <v>421</v>
      </c>
      <c r="C570" t="s">
        <v>34</v>
      </c>
      <c r="D570" t="s">
        <v>35</v>
      </c>
      <c r="E570" s="2">
        <v>128.851</v>
      </c>
      <c r="F570" s="2">
        <v>0</v>
      </c>
      <c r="G570" s="2">
        <v>31.097249999999999</v>
      </c>
      <c r="H570" s="2">
        <v>-31.3675</v>
      </c>
      <c r="I570" s="1">
        <v>0.98268542735407505</v>
      </c>
      <c r="J570" s="1">
        <v>0.98688019495386103</v>
      </c>
      <c r="K570" s="1">
        <v>0.86182578983693003</v>
      </c>
      <c r="L570" s="1">
        <v>0.60773983247100605</v>
      </c>
      <c r="P570" s="1">
        <f>I570-'Passo 2'!I570</f>
        <v>1.7865596696960084E-2</v>
      </c>
      <c r="Q570" s="1">
        <f>J570-'Passo 2'!J570</f>
        <v>5.7240533639629998E-2</v>
      </c>
      <c r="R570" s="1">
        <f t="shared" si="33"/>
        <v>126.61999999999992</v>
      </c>
      <c r="S570">
        <f t="shared" si="32"/>
        <v>127.16049999999994</v>
      </c>
      <c r="T570" s="1">
        <f t="shared" si="34"/>
        <v>111.04711484627828</v>
      </c>
      <c r="U570" s="1">
        <f t="shared" si="35"/>
        <v>78.3078851537216</v>
      </c>
    </row>
    <row r="571" spans="1:21" x14ac:dyDescent="0.3">
      <c r="A571" t="s">
        <v>359</v>
      </c>
      <c r="B571" t="s">
        <v>422</v>
      </c>
      <c r="C571" t="s">
        <v>576</v>
      </c>
      <c r="D571" t="s">
        <v>14</v>
      </c>
      <c r="E571" s="2">
        <v>0</v>
      </c>
      <c r="F571" s="2">
        <v>0</v>
      </c>
      <c r="G571" s="2">
        <v>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P571" s="1">
        <f>I571-'Passo 2'!I571</f>
        <v>0</v>
      </c>
      <c r="Q571" s="1">
        <f>J571-'Passo 2'!J571</f>
        <v>0</v>
      </c>
      <c r="R571" s="1">
        <f t="shared" si="33"/>
        <v>0</v>
      </c>
      <c r="S571">
        <f t="shared" si="32"/>
        <v>0</v>
      </c>
      <c r="T571" s="1">
        <f t="shared" si="34"/>
        <v>0</v>
      </c>
      <c r="U571" s="1">
        <f t="shared" si="35"/>
        <v>0</v>
      </c>
    </row>
    <row r="572" spans="1:21" x14ac:dyDescent="0.3">
      <c r="A572" t="s">
        <v>359</v>
      </c>
      <c r="B572" t="s">
        <v>752</v>
      </c>
      <c r="C572" t="s">
        <v>574</v>
      </c>
      <c r="D572" t="s">
        <v>575</v>
      </c>
      <c r="E572" s="2">
        <v>383.755</v>
      </c>
      <c r="F572" s="2">
        <v>0.05</v>
      </c>
      <c r="G572" s="2">
        <v>75.135249999999999</v>
      </c>
      <c r="H572" s="2">
        <v>-94.146749999999997</v>
      </c>
      <c r="I572" s="1">
        <v>0.89151411707990702</v>
      </c>
      <c r="J572" s="1">
        <v>0.99059556227280399</v>
      </c>
      <c r="K572" s="1">
        <v>0.63895010560144005</v>
      </c>
      <c r="L572" s="1">
        <v>0.74322471948227098</v>
      </c>
      <c r="P572" s="1">
        <f>I572-'Passo 2'!I572</f>
        <v>1.3876040703050263E-3</v>
      </c>
      <c r="Q572" s="1">
        <f>J572-'Passo 2'!J572</f>
        <v>0</v>
      </c>
      <c r="R572" s="1">
        <f t="shared" si="33"/>
        <v>342.12299999999971</v>
      </c>
      <c r="S572">
        <f t="shared" si="32"/>
        <v>380.1459999999999</v>
      </c>
      <c r="T572" s="1">
        <f t="shared" si="34"/>
        <v>245.20029777508063</v>
      </c>
      <c r="U572" s="1">
        <f t="shared" si="35"/>
        <v>285.2162022249189</v>
      </c>
    </row>
    <row r="573" spans="1:21" x14ac:dyDescent="0.3">
      <c r="A573" t="s">
        <v>359</v>
      </c>
      <c r="B573" t="s">
        <v>753</v>
      </c>
      <c r="C573" t="s">
        <v>574</v>
      </c>
      <c r="D573" t="s">
        <v>575</v>
      </c>
      <c r="E573" s="2">
        <v>96</v>
      </c>
      <c r="F573" s="2">
        <v>0</v>
      </c>
      <c r="G573" s="2">
        <v>24</v>
      </c>
      <c r="H573" s="2">
        <v>-24</v>
      </c>
      <c r="I573" s="1">
        <v>1</v>
      </c>
      <c r="J573" s="1">
        <v>1</v>
      </c>
      <c r="K573" s="1">
        <v>0.80131338069714098</v>
      </c>
      <c r="L573" s="1">
        <v>0.69868661930285803</v>
      </c>
      <c r="P573" s="1">
        <f>I573-'Passo 2'!I573</f>
        <v>0</v>
      </c>
      <c r="Q573" s="1">
        <f>J573-'Passo 2'!J573</f>
        <v>4.0000000000000036E-3</v>
      </c>
      <c r="R573" s="1">
        <f t="shared" si="33"/>
        <v>96</v>
      </c>
      <c r="S573">
        <f t="shared" si="32"/>
        <v>96</v>
      </c>
      <c r="T573" s="1">
        <f t="shared" si="34"/>
        <v>76.926084546925537</v>
      </c>
      <c r="U573" s="1">
        <f t="shared" si="35"/>
        <v>67.073915453074363</v>
      </c>
    </row>
    <row r="574" spans="1:21" x14ac:dyDescent="0.3">
      <c r="A574" t="s">
        <v>359</v>
      </c>
      <c r="B574" t="s">
        <v>754</v>
      </c>
      <c r="C574" t="s">
        <v>574</v>
      </c>
      <c r="D574" t="s">
        <v>575</v>
      </c>
      <c r="E574" s="2">
        <v>130.61199999999999</v>
      </c>
      <c r="F574" s="2">
        <v>0</v>
      </c>
      <c r="G574" s="2">
        <v>32.605249999999998</v>
      </c>
      <c r="H574" s="2">
        <v>-32.39425</v>
      </c>
      <c r="I574" s="1">
        <v>0.99926882675405004</v>
      </c>
      <c r="J574" s="1">
        <v>0.99603788319603004</v>
      </c>
      <c r="K574" s="1">
        <v>0.78718511042166694</v>
      </c>
      <c r="L574" s="1">
        <v>0.70812159952841303</v>
      </c>
      <c r="P574" s="1">
        <f>I574-'Passo 2'!I574</f>
        <v>0</v>
      </c>
      <c r="Q574" s="1">
        <f>J574-'Passo 2'!J574</f>
        <v>-1.5312528711008966E-5</v>
      </c>
      <c r="R574" s="1">
        <f t="shared" si="33"/>
        <v>130.51649999999998</v>
      </c>
      <c r="S574">
        <f t="shared" si="32"/>
        <v>130.09449999999987</v>
      </c>
      <c r="T574" s="1">
        <f t="shared" si="34"/>
        <v>102.81582164239475</v>
      </c>
      <c r="U574" s="1">
        <f t="shared" si="35"/>
        <v>92.489178357605084</v>
      </c>
    </row>
    <row r="575" spans="1:21" x14ac:dyDescent="0.3">
      <c r="A575" t="s">
        <v>359</v>
      </c>
      <c r="B575" t="s">
        <v>755</v>
      </c>
      <c r="C575" t="s">
        <v>576</v>
      </c>
      <c r="D575" t="s">
        <v>577</v>
      </c>
      <c r="E575" s="2">
        <v>230.27199999999999</v>
      </c>
      <c r="F575" s="2">
        <v>0</v>
      </c>
      <c r="G575" s="2">
        <v>45.949999999999903</v>
      </c>
      <c r="H575" s="2">
        <v>-54.586500000000001</v>
      </c>
      <c r="I575" s="1">
        <v>0.89909324624791498</v>
      </c>
      <c r="J575" s="1">
        <v>0.97410453724291202</v>
      </c>
      <c r="K575" s="1">
        <v>0.58851672377796405</v>
      </c>
      <c r="L575" s="1">
        <v>0.78468105971286395</v>
      </c>
      <c r="P575" s="1">
        <f>I575-'Passo 2'!I575</f>
        <v>1.3679474708170991E-2</v>
      </c>
      <c r="Q575" s="1">
        <f>J575-'Passo 2'!J575</f>
        <v>0</v>
      </c>
      <c r="R575" s="1">
        <f t="shared" si="33"/>
        <v>207.03599999999986</v>
      </c>
      <c r="S575">
        <f t="shared" si="32"/>
        <v>224.30899999999983</v>
      </c>
      <c r="T575" s="1">
        <f t="shared" si="34"/>
        <v>135.51892301779932</v>
      </c>
      <c r="U575" s="1">
        <f t="shared" si="35"/>
        <v>180.69007698220059</v>
      </c>
    </row>
    <row r="576" spans="1:21" x14ac:dyDescent="0.3">
      <c r="A576" t="s">
        <v>359</v>
      </c>
      <c r="B576" t="s">
        <v>756</v>
      </c>
      <c r="C576" t="s">
        <v>576</v>
      </c>
      <c r="D576" t="s">
        <v>577</v>
      </c>
      <c r="E576" s="2">
        <v>473.32600000000002</v>
      </c>
      <c r="F576" s="2">
        <v>0</v>
      </c>
      <c r="G576" s="2">
        <v>36.207749999999898</v>
      </c>
      <c r="H576" s="2">
        <v>-118.33150000000001</v>
      </c>
      <c r="I576" s="1">
        <v>0.65299286326971195</v>
      </c>
      <c r="J576" s="1">
        <v>1</v>
      </c>
      <c r="K576" s="1">
        <v>0.65211665875050395</v>
      </c>
      <c r="L576" s="1">
        <v>0.500876204519208</v>
      </c>
      <c r="P576" s="1">
        <f>I576-'Passo 2'!I576</f>
        <v>3.0336385493295981E-2</v>
      </c>
      <c r="Q576" s="1">
        <f>J576-'Passo 2'!J576</f>
        <v>7.5068768671064046E-2</v>
      </c>
      <c r="R576" s="1">
        <f t="shared" si="33"/>
        <v>309.07849999999968</v>
      </c>
      <c r="S576">
        <f t="shared" si="32"/>
        <v>473.32600000000002</v>
      </c>
      <c r="T576" s="1">
        <f t="shared" si="34"/>
        <v>308.66376961974106</v>
      </c>
      <c r="U576" s="1">
        <f t="shared" si="35"/>
        <v>237.07773038025866</v>
      </c>
    </row>
    <row r="577" spans="1:21" x14ac:dyDescent="0.3">
      <c r="A577" t="s">
        <v>359</v>
      </c>
      <c r="B577" t="s">
        <v>423</v>
      </c>
      <c r="C577" t="s">
        <v>576</v>
      </c>
      <c r="D577" t="s">
        <v>14</v>
      </c>
      <c r="E577" s="2">
        <v>49.116</v>
      </c>
      <c r="F577" s="2">
        <v>0</v>
      </c>
      <c r="G577" s="2">
        <v>10.03825</v>
      </c>
      <c r="H577" s="2">
        <v>-12.0055</v>
      </c>
      <c r="I577" s="1">
        <v>0.90875682058799501</v>
      </c>
      <c r="J577" s="1">
        <v>0.98886309960094398</v>
      </c>
      <c r="K577" s="1">
        <v>0.73342552723741505</v>
      </c>
      <c r="L577" s="1">
        <v>0.66419439295152505</v>
      </c>
      <c r="P577" s="1">
        <f>I577-'Passo 2'!I577</f>
        <v>0.10392743708771002</v>
      </c>
      <c r="Q577" s="1">
        <f>J577-'Passo 2'!J577</f>
        <v>1.0831500936557936E-2</v>
      </c>
      <c r="R577" s="1">
        <f t="shared" si="33"/>
        <v>44.63449999999996</v>
      </c>
      <c r="S577">
        <f t="shared" si="32"/>
        <v>48.568999999999967</v>
      </c>
      <c r="T577" s="1">
        <f t="shared" si="34"/>
        <v>36.022928195792879</v>
      </c>
      <c r="U577" s="1">
        <f t="shared" si="35"/>
        <v>32.622571804207105</v>
      </c>
    </row>
    <row r="578" spans="1:21" x14ac:dyDescent="0.3">
      <c r="A578" t="s">
        <v>359</v>
      </c>
      <c r="B578" t="s">
        <v>424</v>
      </c>
      <c r="C578" t="s">
        <v>576</v>
      </c>
      <c r="D578" t="s">
        <v>589</v>
      </c>
      <c r="E578" s="2">
        <v>0</v>
      </c>
      <c r="F578" s="2">
        <v>0</v>
      </c>
      <c r="G578" s="2">
        <v>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P578" s="1">
        <f>I578-'Passo 2'!I578</f>
        <v>0</v>
      </c>
      <c r="Q578" s="1">
        <f>J578-'Passo 2'!J578</f>
        <v>0</v>
      </c>
      <c r="R578" s="1">
        <f t="shared" si="33"/>
        <v>0</v>
      </c>
      <c r="S578">
        <f t="shared" ref="S578:S641" si="36">J578*E578</f>
        <v>0</v>
      </c>
      <c r="T578" s="1">
        <f t="shared" si="34"/>
        <v>0</v>
      </c>
      <c r="U578" s="1">
        <f t="shared" si="35"/>
        <v>0</v>
      </c>
    </row>
    <row r="579" spans="1:21" x14ac:dyDescent="0.3">
      <c r="A579" t="s">
        <v>359</v>
      </c>
      <c r="B579" t="s">
        <v>425</v>
      </c>
      <c r="C579" t="s">
        <v>574</v>
      </c>
      <c r="D579" t="s">
        <v>575</v>
      </c>
      <c r="E579" s="2">
        <v>260.87400000000002</v>
      </c>
      <c r="F579" s="2">
        <v>0</v>
      </c>
      <c r="G579" s="2">
        <v>63.798499999999997</v>
      </c>
      <c r="H579" s="2">
        <v>-64.313749999999999</v>
      </c>
      <c r="I579" s="1">
        <v>0.98911351840352002</v>
      </c>
      <c r="J579" s="1">
        <v>0.99306370125041199</v>
      </c>
      <c r="K579" s="1">
        <v>0.73652248017635902</v>
      </c>
      <c r="L579" s="1">
        <v>0.74565473947757299</v>
      </c>
      <c r="P579" s="1">
        <f>I579-'Passo 2'!I579</f>
        <v>7.9971557150194994E-2</v>
      </c>
      <c r="Q579" s="1">
        <f>J579-'Passo 2'!J579</f>
        <v>3.2007789200994008E-4</v>
      </c>
      <c r="R579" s="1">
        <f t="shared" ref="R579:R642" si="37">I579*E579</f>
        <v>258.03399999999988</v>
      </c>
      <c r="S579">
        <f t="shared" si="36"/>
        <v>259.06450000000001</v>
      </c>
      <c r="T579" s="1">
        <f t="shared" ref="T579:T642" si="38">K579*E579</f>
        <v>192.1395654935275</v>
      </c>
      <c r="U579" s="1">
        <f t="shared" ref="U579:U642" si="39">L579*E579</f>
        <v>194.52193450647241</v>
      </c>
    </row>
    <row r="580" spans="1:21" x14ac:dyDescent="0.3">
      <c r="A580" t="s">
        <v>359</v>
      </c>
      <c r="B580" t="s">
        <v>426</v>
      </c>
      <c r="C580" t="s">
        <v>576</v>
      </c>
      <c r="D580" t="s">
        <v>14</v>
      </c>
      <c r="E580" s="2">
        <v>72.343999999999994</v>
      </c>
      <c r="F580" s="2">
        <v>0</v>
      </c>
      <c r="G580" s="2">
        <v>18.085999999999999</v>
      </c>
      <c r="H580" s="2">
        <v>-17.956999999999901</v>
      </c>
      <c r="I580" s="1">
        <v>1</v>
      </c>
      <c r="J580" s="1">
        <v>0.99643370562866296</v>
      </c>
      <c r="K580" s="1">
        <v>0.98787566380976599</v>
      </c>
      <c r="L580" s="1">
        <v>0.50855804181889597</v>
      </c>
      <c r="P580" s="1">
        <f>I580-'Passo 2'!I580</f>
        <v>0</v>
      </c>
      <c r="Q580" s="1">
        <f>J580-'Passo 2'!J580</f>
        <v>-3.5662943713370421E-3</v>
      </c>
      <c r="R580" s="1">
        <f t="shared" si="37"/>
        <v>72.343999999999994</v>
      </c>
      <c r="S580">
        <f t="shared" si="36"/>
        <v>72.085999999999984</v>
      </c>
      <c r="T580" s="1">
        <f t="shared" si="38"/>
        <v>71.466877022653705</v>
      </c>
      <c r="U580" s="1">
        <f t="shared" si="39"/>
        <v>36.791122977346205</v>
      </c>
    </row>
    <row r="581" spans="1:21" x14ac:dyDescent="0.3">
      <c r="A581" t="s">
        <v>359</v>
      </c>
      <c r="B581" t="s">
        <v>757</v>
      </c>
      <c r="C581" t="s">
        <v>576</v>
      </c>
      <c r="D581" t="s">
        <v>598</v>
      </c>
      <c r="E581" s="2">
        <v>400.68099999999998</v>
      </c>
      <c r="F581" s="2">
        <v>0</v>
      </c>
      <c r="G581" s="2">
        <v>69.215999999999994</v>
      </c>
      <c r="H581" s="2">
        <v>-77.346000000000004</v>
      </c>
      <c r="I581" s="1">
        <v>0.84549180021014203</v>
      </c>
      <c r="J581" s="1">
        <v>0.88607271120916598</v>
      </c>
      <c r="K581" s="1">
        <v>0.51217442766877097</v>
      </c>
      <c r="L581" s="1">
        <v>0.71939008375053703</v>
      </c>
      <c r="P581" s="1">
        <f>I581-'Passo 2'!I581</f>
        <v>9.5277789563269044E-2</v>
      </c>
      <c r="Q581" s="1">
        <f>J581-'Passo 2'!J581</f>
        <v>4.1645348793678982E-2</v>
      </c>
      <c r="R581" s="1">
        <f t="shared" si="37"/>
        <v>338.77249999999992</v>
      </c>
      <c r="S581">
        <f t="shared" si="36"/>
        <v>355.0324999999998</v>
      </c>
      <c r="T581" s="1">
        <f t="shared" si="38"/>
        <v>205.21856185275081</v>
      </c>
      <c r="U581" s="1">
        <f t="shared" si="39"/>
        <v>288.24593814724892</v>
      </c>
    </row>
    <row r="582" spans="1:21" x14ac:dyDescent="0.3">
      <c r="A582" t="s">
        <v>359</v>
      </c>
      <c r="B582" t="s">
        <v>427</v>
      </c>
      <c r="C582" t="s">
        <v>576</v>
      </c>
      <c r="D582" t="s">
        <v>14</v>
      </c>
      <c r="E582" s="2">
        <v>61.697000000000003</v>
      </c>
      <c r="F582" s="2">
        <v>0</v>
      </c>
      <c r="G582" s="2">
        <v>9.3967500000000008</v>
      </c>
      <c r="H582" s="2">
        <v>-14.28675</v>
      </c>
      <c r="I582" s="1">
        <v>0.80460962445499695</v>
      </c>
      <c r="J582" s="1">
        <v>0.96312624600871999</v>
      </c>
      <c r="K582" s="1">
        <v>0.688226377698409</v>
      </c>
      <c r="L582" s="1">
        <v>0.57950949276530805</v>
      </c>
      <c r="P582" s="1">
        <f>I582-'Passo 2'!I582</f>
        <v>7.431479650550199E-2</v>
      </c>
      <c r="Q582" s="1">
        <f>J582-'Passo 2'!J582</f>
        <v>1.0851419031719933E-2</v>
      </c>
      <c r="R582" s="1">
        <f t="shared" si="37"/>
        <v>49.641999999999946</v>
      </c>
      <c r="S582">
        <f t="shared" si="36"/>
        <v>59.421999999999997</v>
      </c>
      <c r="T582" s="1">
        <f t="shared" si="38"/>
        <v>42.461502824858741</v>
      </c>
      <c r="U582" s="1">
        <f t="shared" si="39"/>
        <v>35.753997175141215</v>
      </c>
    </row>
    <row r="583" spans="1:21" x14ac:dyDescent="0.3">
      <c r="A583" t="s">
        <v>359</v>
      </c>
      <c r="B583" t="s">
        <v>428</v>
      </c>
      <c r="C583" t="s">
        <v>576</v>
      </c>
      <c r="D583" t="s">
        <v>598</v>
      </c>
      <c r="E583" s="2">
        <v>39.83</v>
      </c>
      <c r="F583" s="2">
        <v>0</v>
      </c>
      <c r="G583" s="2">
        <v>0</v>
      </c>
      <c r="H583" s="2">
        <v>-9.9574999999999996</v>
      </c>
      <c r="I583" s="1">
        <v>0.5</v>
      </c>
      <c r="J583" s="1">
        <v>1</v>
      </c>
      <c r="K583" s="1">
        <v>0.15728155339805799</v>
      </c>
      <c r="L583" s="1">
        <v>0.84271844660194095</v>
      </c>
      <c r="P583" s="1">
        <f>I583-'Passo 2'!I583</f>
        <v>0</v>
      </c>
      <c r="Q583" s="1">
        <f>J583-'Passo 2'!J583</f>
        <v>0</v>
      </c>
      <c r="R583" s="1">
        <f t="shared" si="37"/>
        <v>19.914999999999999</v>
      </c>
      <c r="S583">
        <f t="shared" si="36"/>
        <v>39.83</v>
      </c>
      <c r="T583" s="1">
        <f t="shared" si="38"/>
        <v>6.2645242718446497</v>
      </c>
      <c r="U583" s="1">
        <f t="shared" si="39"/>
        <v>33.565475728155306</v>
      </c>
    </row>
    <row r="584" spans="1:21" x14ac:dyDescent="0.3">
      <c r="A584" t="s">
        <v>359</v>
      </c>
      <c r="B584" t="s">
        <v>429</v>
      </c>
      <c r="C584" t="s">
        <v>574</v>
      </c>
      <c r="D584" t="s">
        <v>575</v>
      </c>
      <c r="E584" s="2">
        <v>68.007999999999996</v>
      </c>
      <c r="F584" s="2">
        <v>0</v>
      </c>
      <c r="G584" s="2">
        <v>15.381500000000001</v>
      </c>
      <c r="H584" s="2">
        <v>-11.946249999999999</v>
      </c>
      <c r="I584" s="1">
        <v>0.952343841900952</v>
      </c>
      <c r="J584" s="1">
        <v>0.85131896247500205</v>
      </c>
      <c r="K584" s="1">
        <v>0.66902284827808101</v>
      </c>
      <c r="L584" s="1">
        <v>0.63463995609787305</v>
      </c>
      <c r="P584" s="1">
        <f>I584-'Passo 2'!I584</f>
        <v>-3.5584048935419998E-2</v>
      </c>
      <c r="Q584" s="1">
        <f>J584-'Passo 2'!J584</f>
        <v>-1.764498294319905E-4</v>
      </c>
      <c r="R584" s="1">
        <f t="shared" si="37"/>
        <v>64.766999999999939</v>
      </c>
      <c r="S584">
        <f t="shared" si="36"/>
        <v>57.896499999999932</v>
      </c>
      <c r="T584" s="1">
        <f t="shared" si="38"/>
        <v>45.498905865695733</v>
      </c>
      <c r="U584" s="1">
        <f t="shared" si="39"/>
        <v>43.160594134304148</v>
      </c>
    </row>
    <row r="585" spans="1:21" x14ac:dyDescent="0.3">
      <c r="A585" t="s">
        <v>359</v>
      </c>
      <c r="B585" t="s">
        <v>430</v>
      </c>
      <c r="C585" t="s">
        <v>574</v>
      </c>
      <c r="D585" t="s">
        <v>575</v>
      </c>
      <c r="E585" s="2">
        <v>32.256</v>
      </c>
      <c r="F585" s="2">
        <v>0</v>
      </c>
      <c r="G585" s="2">
        <v>7.9669999999999996</v>
      </c>
      <c r="H585" s="2">
        <v>-7.8187499999999996</v>
      </c>
      <c r="I585" s="1">
        <v>0.993985615079365</v>
      </c>
      <c r="J585" s="1">
        <v>0.98479352678571397</v>
      </c>
      <c r="K585" s="1">
        <v>0.64256074281957898</v>
      </c>
      <c r="L585" s="1">
        <v>0.83621839904549999</v>
      </c>
      <c r="P585" s="1">
        <f>I585-'Passo 2'!I585</f>
        <v>8.2155257936500359E-4</v>
      </c>
      <c r="Q585" s="1">
        <f>J585-'Passo 2'!J585</f>
        <v>-1.5500992063499641E-4</v>
      </c>
      <c r="R585" s="1">
        <f t="shared" si="37"/>
        <v>32.061999999999998</v>
      </c>
      <c r="S585">
        <f t="shared" si="36"/>
        <v>31.765499999999989</v>
      </c>
      <c r="T585" s="1">
        <f t="shared" si="38"/>
        <v>20.726439320388341</v>
      </c>
      <c r="U585" s="1">
        <f t="shared" si="39"/>
        <v>26.973060679611649</v>
      </c>
    </row>
    <row r="586" spans="1:21" x14ac:dyDescent="0.3">
      <c r="A586" t="s">
        <v>359</v>
      </c>
      <c r="B586" t="s">
        <v>431</v>
      </c>
      <c r="C586" t="s">
        <v>574</v>
      </c>
      <c r="D586" t="s">
        <v>575</v>
      </c>
      <c r="E586" s="2">
        <v>93.798000000000002</v>
      </c>
      <c r="F586" s="2">
        <v>0</v>
      </c>
      <c r="G586" s="2">
        <v>15.61725</v>
      </c>
      <c r="H586" s="2">
        <v>-14.141249999999999</v>
      </c>
      <c r="I586" s="1">
        <v>0.83299750527729799</v>
      </c>
      <c r="J586" s="1">
        <v>0.80152561888313101</v>
      </c>
      <c r="K586" s="1">
        <v>0.623180878747147</v>
      </c>
      <c r="L586" s="1">
        <v>0.51134224541328199</v>
      </c>
      <c r="P586" s="1">
        <f>I586-'Passo 2'!I586</f>
        <v>2.1802170621979533E-3</v>
      </c>
      <c r="Q586" s="1">
        <f>J586-'Passo 2'!J586</f>
        <v>1.1279558199534967E-2</v>
      </c>
      <c r="R586" s="1">
        <f t="shared" si="37"/>
        <v>78.133499999999998</v>
      </c>
      <c r="S586">
        <f t="shared" si="36"/>
        <v>75.181499999999929</v>
      </c>
      <c r="T586" s="1">
        <f t="shared" si="38"/>
        <v>58.453120064724899</v>
      </c>
      <c r="U586" s="1">
        <f t="shared" si="39"/>
        <v>47.962879935275026</v>
      </c>
    </row>
    <row r="587" spans="1:21" x14ac:dyDescent="0.3">
      <c r="A587" t="s">
        <v>359</v>
      </c>
      <c r="B587" t="s">
        <v>432</v>
      </c>
      <c r="C587" t="s">
        <v>576</v>
      </c>
      <c r="D587" t="s">
        <v>14</v>
      </c>
      <c r="E587" s="2">
        <v>0</v>
      </c>
      <c r="F587" s="2">
        <v>0</v>
      </c>
      <c r="G587" s="2">
        <v>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P587" s="1">
        <f>I587-'Passo 2'!I587</f>
        <v>0</v>
      </c>
      <c r="Q587" s="1">
        <f>J587-'Passo 2'!J587</f>
        <v>0</v>
      </c>
      <c r="R587" s="1">
        <f t="shared" si="37"/>
        <v>0</v>
      </c>
      <c r="S587">
        <f t="shared" si="36"/>
        <v>0</v>
      </c>
      <c r="T587" s="1">
        <f t="shared" si="38"/>
        <v>0</v>
      </c>
      <c r="U587" s="1">
        <f t="shared" si="39"/>
        <v>0</v>
      </c>
    </row>
    <row r="588" spans="1:21" x14ac:dyDescent="0.3">
      <c r="A588" t="s">
        <v>359</v>
      </c>
      <c r="B588" t="s">
        <v>433</v>
      </c>
      <c r="C588" t="s">
        <v>576</v>
      </c>
      <c r="D588" t="s">
        <v>14</v>
      </c>
      <c r="E588" s="2">
        <v>0</v>
      </c>
      <c r="F588" s="2">
        <v>0</v>
      </c>
      <c r="G588" s="2">
        <v>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P588" s="1">
        <f>I588-'Passo 2'!I588</f>
        <v>0</v>
      </c>
      <c r="Q588" s="1">
        <f>J588-'Passo 2'!J588</f>
        <v>0</v>
      </c>
      <c r="R588" s="1">
        <f t="shared" si="37"/>
        <v>0</v>
      </c>
      <c r="S588">
        <f t="shared" si="36"/>
        <v>0</v>
      </c>
      <c r="T588" s="1">
        <f t="shared" si="38"/>
        <v>0</v>
      </c>
      <c r="U588" s="1">
        <f t="shared" si="39"/>
        <v>0</v>
      </c>
    </row>
    <row r="589" spans="1:21" x14ac:dyDescent="0.3">
      <c r="A589" t="s">
        <v>359</v>
      </c>
      <c r="B589" t="s">
        <v>434</v>
      </c>
      <c r="C589" t="s">
        <v>574</v>
      </c>
      <c r="D589" t="s">
        <v>575</v>
      </c>
      <c r="E589" s="2">
        <v>128.91399999999999</v>
      </c>
      <c r="F589" s="2">
        <v>0</v>
      </c>
      <c r="G589" s="2">
        <v>18.8</v>
      </c>
      <c r="H589" s="2">
        <v>-12.653499999999999</v>
      </c>
      <c r="I589" s="1">
        <v>0.79166731309244898</v>
      </c>
      <c r="J589" s="1">
        <v>0.69630916735187798</v>
      </c>
      <c r="K589" s="1">
        <v>0.50956124609401898</v>
      </c>
      <c r="L589" s="1">
        <v>0.47841523435030803</v>
      </c>
      <c r="P589" s="1">
        <f>I589-'Passo 2'!I589</f>
        <v>1.9330716601765996E-2</v>
      </c>
      <c r="Q589" s="1">
        <f>J589-'Passo 2'!J589</f>
        <v>3.0023891896924004E-2</v>
      </c>
      <c r="R589" s="1">
        <f t="shared" si="37"/>
        <v>102.05699999999996</v>
      </c>
      <c r="S589">
        <f t="shared" si="36"/>
        <v>89.763999999999996</v>
      </c>
      <c r="T589" s="1">
        <f t="shared" si="38"/>
        <v>65.68957847896435</v>
      </c>
      <c r="U589" s="1">
        <f t="shared" si="39"/>
        <v>61.674421521035605</v>
      </c>
    </row>
    <row r="590" spans="1:21" x14ac:dyDescent="0.3">
      <c r="A590" t="s">
        <v>359</v>
      </c>
      <c r="B590" t="s">
        <v>435</v>
      </c>
      <c r="C590" t="s">
        <v>574</v>
      </c>
      <c r="D590" t="s">
        <v>575</v>
      </c>
      <c r="E590" s="2">
        <v>179.965</v>
      </c>
      <c r="F590" s="2">
        <v>0</v>
      </c>
      <c r="G590" s="2">
        <v>17.468499999999999</v>
      </c>
      <c r="H590" s="2">
        <v>-20.001749999999902</v>
      </c>
      <c r="I590" s="1">
        <v>0.69413219237073798</v>
      </c>
      <c r="J590" s="1">
        <v>0.72228488872836305</v>
      </c>
      <c r="K590" s="1">
        <v>0.48910350713645501</v>
      </c>
      <c r="L590" s="1">
        <v>0.42731357396264602</v>
      </c>
      <c r="P590" s="1">
        <f>I590-'Passo 2'!I590</f>
        <v>1.5114049954150222E-3</v>
      </c>
      <c r="Q590" s="1">
        <f>J590-'Passo 2'!J590</f>
        <v>2.0003889645203721E-4</v>
      </c>
      <c r="R590" s="1">
        <f t="shared" si="37"/>
        <v>124.91949999999986</v>
      </c>
      <c r="S590">
        <f t="shared" si="36"/>
        <v>129.98599999999985</v>
      </c>
      <c r="T590" s="1">
        <f t="shared" si="38"/>
        <v>88.021512661812125</v>
      </c>
      <c r="U590" s="1">
        <f t="shared" si="39"/>
        <v>76.901487338187593</v>
      </c>
    </row>
    <row r="591" spans="1:21" x14ac:dyDescent="0.3">
      <c r="A591" t="s">
        <v>359</v>
      </c>
      <c r="B591" t="s">
        <v>436</v>
      </c>
      <c r="C591" t="s">
        <v>574</v>
      </c>
      <c r="D591" t="s">
        <v>575</v>
      </c>
      <c r="E591" s="2">
        <v>200.97200000000001</v>
      </c>
      <c r="F591" s="2">
        <v>37.776000000000003</v>
      </c>
      <c r="G591" s="2">
        <v>30.30425</v>
      </c>
      <c r="H591" s="2">
        <v>-26.585999999999999</v>
      </c>
      <c r="I591" s="1">
        <v>0.70759359512767905</v>
      </c>
      <c r="J591" s="1">
        <v>0.67059092808948495</v>
      </c>
      <c r="K591" s="1">
        <v>0.54618376635345101</v>
      </c>
      <c r="L591" s="1">
        <v>0.425983998310283</v>
      </c>
      <c r="P591" s="1">
        <f>I591-'Passo 2'!I591</f>
        <v>1.3755647552893047E-2</v>
      </c>
      <c r="Q591" s="1">
        <f>J591-'Passo 2'!J591</f>
        <v>4.1050494596295284E-4</v>
      </c>
      <c r="R591" s="1">
        <f t="shared" si="37"/>
        <v>142.20649999999992</v>
      </c>
      <c r="S591">
        <f t="shared" si="36"/>
        <v>134.76999999999998</v>
      </c>
      <c r="T591" s="1">
        <f t="shared" si="38"/>
        <v>109.76764389158576</v>
      </c>
      <c r="U591" s="1">
        <f t="shared" si="39"/>
        <v>85.610856108414197</v>
      </c>
    </row>
    <row r="592" spans="1:21" x14ac:dyDescent="0.3">
      <c r="A592" t="s">
        <v>359</v>
      </c>
      <c r="B592" t="s">
        <v>437</v>
      </c>
      <c r="C592" t="s">
        <v>574</v>
      </c>
      <c r="D592" t="s">
        <v>575</v>
      </c>
      <c r="E592" s="2">
        <v>1210.8320000000001</v>
      </c>
      <c r="F592" s="2">
        <v>8.3390000000000004</v>
      </c>
      <c r="G592" s="2">
        <v>270.887</v>
      </c>
      <c r="H592" s="2">
        <v>-272.30874999999997</v>
      </c>
      <c r="I592" s="1">
        <v>0.94399594658879105</v>
      </c>
      <c r="J592" s="1">
        <v>0.94634433183133504</v>
      </c>
      <c r="K592" s="1">
        <v>0.73920505048805796</v>
      </c>
      <c r="L592" s="1">
        <v>0.654578727938676</v>
      </c>
      <c r="P592" s="1">
        <f>I592-'Passo 2'!I592</f>
        <v>1.3503111909820564E-3</v>
      </c>
      <c r="Q592" s="1">
        <f>J592-'Passo 2'!J592</f>
        <v>5.2183126973850413E-3</v>
      </c>
      <c r="R592" s="1">
        <f t="shared" si="37"/>
        <v>1143.0204999999992</v>
      </c>
      <c r="S592">
        <f t="shared" si="36"/>
        <v>1145.8639999999991</v>
      </c>
      <c r="T592" s="1">
        <f t="shared" si="38"/>
        <v>895.05312969255624</v>
      </c>
      <c r="U592" s="1">
        <f t="shared" si="39"/>
        <v>792.584870307443</v>
      </c>
    </row>
    <row r="593" spans="1:21" x14ac:dyDescent="0.3">
      <c r="A593" t="s">
        <v>359</v>
      </c>
      <c r="B593" t="s">
        <v>438</v>
      </c>
      <c r="C593" t="s">
        <v>576</v>
      </c>
      <c r="D593" t="s">
        <v>577</v>
      </c>
      <c r="E593" s="2">
        <v>1352.4670000000001</v>
      </c>
      <c r="F593" s="2">
        <v>0</v>
      </c>
      <c r="G593" s="2">
        <v>321.70474999999999</v>
      </c>
      <c r="H593" s="2">
        <v>-331.94349999999997</v>
      </c>
      <c r="I593" s="1">
        <v>0.97573027659824596</v>
      </c>
      <c r="J593" s="1">
        <v>0.99087112661528798</v>
      </c>
      <c r="K593" s="1">
        <v>0.91135649857860201</v>
      </c>
      <c r="L593" s="1">
        <v>0.55524490463493203</v>
      </c>
      <c r="P593" s="1">
        <f>I593-'Passo 2'!I593</f>
        <v>0.11027219148415501</v>
      </c>
      <c r="Q593" s="1">
        <f>J593-'Passo 2'!J593</f>
        <v>1.2307139471789963E-3</v>
      </c>
      <c r="R593" s="1">
        <f t="shared" si="37"/>
        <v>1319.643</v>
      </c>
      <c r="S593">
        <f t="shared" si="36"/>
        <v>1340.1204999999989</v>
      </c>
      <c r="T593" s="1">
        <f t="shared" si="38"/>
        <v>1232.5795895631063</v>
      </c>
      <c r="U593" s="1">
        <f t="shared" si="39"/>
        <v>750.95041043689264</v>
      </c>
    </row>
    <row r="594" spans="1:21" x14ac:dyDescent="0.3">
      <c r="A594" t="s">
        <v>359</v>
      </c>
      <c r="B594" t="s">
        <v>439</v>
      </c>
      <c r="C594" t="s">
        <v>576</v>
      </c>
      <c r="D594" t="s">
        <v>577</v>
      </c>
      <c r="E594" s="2">
        <v>0</v>
      </c>
      <c r="F594" s="2">
        <v>0</v>
      </c>
      <c r="G594" s="2">
        <v>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P594" s="1">
        <f>I594-'Passo 2'!I594</f>
        <v>0</v>
      </c>
      <c r="Q594" s="1">
        <f>J594-'Passo 2'!J594</f>
        <v>0</v>
      </c>
      <c r="R594" s="1">
        <f t="shared" si="37"/>
        <v>0</v>
      </c>
      <c r="S594">
        <f t="shared" si="36"/>
        <v>0</v>
      </c>
      <c r="T594" s="1">
        <f t="shared" si="38"/>
        <v>0</v>
      </c>
      <c r="U594" s="1">
        <f t="shared" si="39"/>
        <v>0</v>
      </c>
    </row>
    <row r="595" spans="1:21" x14ac:dyDescent="0.3">
      <c r="A595" t="s">
        <v>359</v>
      </c>
      <c r="B595" t="s">
        <v>440</v>
      </c>
      <c r="C595" t="s">
        <v>576</v>
      </c>
      <c r="D595" t="s">
        <v>14</v>
      </c>
      <c r="E595" s="2">
        <v>48.834000000000003</v>
      </c>
      <c r="F595" s="2">
        <v>0</v>
      </c>
      <c r="G595" s="2">
        <v>10.6835</v>
      </c>
      <c r="H595" s="2">
        <v>-11.56025</v>
      </c>
      <c r="I595" s="1">
        <v>0.93754351476430298</v>
      </c>
      <c r="J595" s="1">
        <v>0.97345087439079303</v>
      </c>
      <c r="K595" s="1">
        <v>0.77158001123414799</v>
      </c>
      <c r="L595" s="1">
        <v>0.63941437792094802</v>
      </c>
      <c r="P595" s="1">
        <f>I595-'Passo 2'!I595</f>
        <v>3.5815210713846968E-2</v>
      </c>
      <c r="Q595" s="1">
        <f>J595-'Passo 2'!J595</f>
        <v>0</v>
      </c>
      <c r="R595" s="1">
        <f t="shared" si="37"/>
        <v>45.783999999999978</v>
      </c>
      <c r="S595">
        <f t="shared" si="36"/>
        <v>47.537499999999987</v>
      </c>
      <c r="T595" s="1">
        <f t="shared" si="38"/>
        <v>37.679338268608383</v>
      </c>
      <c r="U595" s="1">
        <f t="shared" si="39"/>
        <v>31.225161731391577</v>
      </c>
    </row>
    <row r="596" spans="1:21" x14ac:dyDescent="0.3">
      <c r="A596" t="s">
        <v>359</v>
      </c>
      <c r="B596" t="s">
        <v>758</v>
      </c>
      <c r="C596" t="s">
        <v>576</v>
      </c>
      <c r="D596" t="s">
        <v>589</v>
      </c>
      <c r="E596" s="2">
        <v>0</v>
      </c>
      <c r="F596" s="2">
        <v>0</v>
      </c>
      <c r="G596" s="2">
        <v>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P596" s="1">
        <f>I596-'Passo 2'!I596</f>
        <v>0</v>
      </c>
      <c r="Q596" s="1">
        <f>J596-'Passo 2'!J596</f>
        <v>0</v>
      </c>
      <c r="R596" s="1">
        <f t="shared" si="37"/>
        <v>0</v>
      </c>
      <c r="S596">
        <f t="shared" si="36"/>
        <v>0</v>
      </c>
      <c r="T596" s="1">
        <f t="shared" si="38"/>
        <v>0</v>
      </c>
      <c r="U596" s="1">
        <f t="shared" si="39"/>
        <v>0</v>
      </c>
    </row>
    <row r="597" spans="1:21" x14ac:dyDescent="0.3">
      <c r="A597" t="s">
        <v>359</v>
      </c>
      <c r="B597" t="s">
        <v>759</v>
      </c>
      <c r="C597" t="s">
        <v>574</v>
      </c>
      <c r="D597" t="s">
        <v>575</v>
      </c>
      <c r="E597" s="2">
        <v>96.040999999999997</v>
      </c>
      <c r="F597" s="2">
        <v>0</v>
      </c>
      <c r="G597" s="2">
        <v>15.940250000000001</v>
      </c>
      <c r="H597" s="2">
        <v>-14.28525</v>
      </c>
      <c r="I597" s="1">
        <v>0.83194677273247797</v>
      </c>
      <c r="J597" s="1">
        <v>0.79748232525692098</v>
      </c>
      <c r="K597" s="1">
        <v>0.57333104121288003</v>
      </c>
      <c r="L597" s="1">
        <v>0.55609805677652002</v>
      </c>
      <c r="P597" s="1">
        <f>I597-'Passo 2'!I597</f>
        <v>6.1281119521869987E-2</v>
      </c>
      <c r="Q597" s="1">
        <f>J597-'Passo 2'!J597</f>
        <v>-1.7700773627904454E-4</v>
      </c>
      <c r="R597" s="1">
        <f t="shared" si="37"/>
        <v>79.900999999999911</v>
      </c>
      <c r="S597">
        <f t="shared" si="36"/>
        <v>76.590999999999951</v>
      </c>
      <c r="T597" s="1">
        <f t="shared" si="38"/>
        <v>55.063286529126209</v>
      </c>
      <c r="U597" s="1">
        <f t="shared" si="39"/>
        <v>53.408213470873754</v>
      </c>
    </row>
    <row r="598" spans="1:21" x14ac:dyDescent="0.3">
      <c r="A598" t="s">
        <v>359</v>
      </c>
      <c r="B598" t="s">
        <v>441</v>
      </c>
      <c r="C598" t="s">
        <v>574</v>
      </c>
      <c r="D598" t="s">
        <v>575</v>
      </c>
      <c r="E598" s="2">
        <v>138.90199999999999</v>
      </c>
      <c r="F598" s="2">
        <v>0</v>
      </c>
      <c r="G598" s="2">
        <v>34.033999999999999</v>
      </c>
      <c r="H598" s="2">
        <v>-32.802</v>
      </c>
      <c r="I598" s="1">
        <v>0.99004333990871196</v>
      </c>
      <c r="J598" s="1">
        <v>0.97230421448215298</v>
      </c>
      <c r="K598" s="1">
        <v>0.83354053047295196</v>
      </c>
      <c r="L598" s="1">
        <v>0.62880702391791299</v>
      </c>
      <c r="P598" s="1">
        <f>I598-'Passo 2'!I598</f>
        <v>3.4916703863097087E-4</v>
      </c>
      <c r="Q598" s="1">
        <f>J598-'Passo 2'!J598</f>
        <v>3.923629609370316E-4</v>
      </c>
      <c r="R598" s="1">
        <f t="shared" si="37"/>
        <v>137.51899999999989</v>
      </c>
      <c r="S598">
        <f t="shared" si="36"/>
        <v>135.05500000000001</v>
      </c>
      <c r="T598" s="1">
        <f t="shared" si="38"/>
        <v>115.78044676375396</v>
      </c>
      <c r="U598" s="1">
        <f t="shared" si="39"/>
        <v>87.342553236245948</v>
      </c>
    </row>
    <row r="599" spans="1:21" x14ac:dyDescent="0.3">
      <c r="A599" t="s">
        <v>359</v>
      </c>
      <c r="B599" t="s">
        <v>442</v>
      </c>
      <c r="C599" t="s">
        <v>574</v>
      </c>
      <c r="D599" t="s">
        <v>575</v>
      </c>
      <c r="E599" s="2">
        <v>471.88900000000001</v>
      </c>
      <c r="F599" s="2">
        <v>0</v>
      </c>
      <c r="G599" s="2">
        <v>113.074249999999</v>
      </c>
      <c r="H599" s="2">
        <v>-113.9615</v>
      </c>
      <c r="I599" s="1">
        <v>0.97924088080035698</v>
      </c>
      <c r="J599" s="1">
        <v>0.983001299034306</v>
      </c>
      <c r="K599" s="1">
        <v>0.92417596958189796</v>
      </c>
      <c r="L599" s="1">
        <v>0.53806621025276602</v>
      </c>
      <c r="P599" s="1">
        <f>I599-'Passo 2'!I599</f>
        <v>1.8648453343894644E-4</v>
      </c>
      <c r="Q599" s="1">
        <f>J599-'Passo 2'!J599</f>
        <v>3.3704960276670359E-3</v>
      </c>
      <c r="R599" s="1">
        <f t="shared" si="37"/>
        <v>462.09299999999968</v>
      </c>
      <c r="S599">
        <f t="shared" si="36"/>
        <v>463.86749999999961</v>
      </c>
      <c r="T599" s="1">
        <f t="shared" si="38"/>
        <v>436.10847411003226</v>
      </c>
      <c r="U599" s="1">
        <f t="shared" si="39"/>
        <v>253.9075258899675</v>
      </c>
    </row>
    <row r="600" spans="1:21" x14ac:dyDescent="0.3">
      <c r="A600" t="s">
        <v>359</v>
      </c>
      <c r="B600" t="s">
        <v>760</v>
      </c>
      <c r="C600" t="s">
        <v>574</v>
      </c>
      <c r="D600" t="s">
        <v>575</v>
      </c>
      <c r="E600" s="2">
        <v>364.68099999999998</v>
      </c>
      <c r="F600" s="2">
        <v>0</v>
      </c>
      <c r="G600" s="2">
        <v>87.239249999999998</v>
      </c>
      <c r="H600" s="2">
        <v>-87.283749999999998</v>
      </c>
      <c r="I600" s="1">
        <v>0.97844143237514403</v>
      </c>
      <c r="J600" s="1">
        <v>0.97868548128364197</v>
      </c>
      <c r="K600" s="1">
        <v>0.92405641343910105</v>
      </c>
      <c r="L600" s="1">
        <v>0.53307050021968405</v>
      </c>
      <c r="P600" s="1">
        <f>I600-'Passo 2'!I600</f>
        <v>1.379698969784604E-2</v>
      </c>
      <c r="Q600" s="1">
        <f>J600-'Passo 2'!J600</f>
        <v>1.4143868202620924E-2</v>
      </c>
      <c r="R600" s="1">
        <f t="shared" si="37"/>
        <v>356.8189999999999</v>
      </c>
      <c r="S600">
        <f t="shared" si="36"/>
        <v>356.90799999999984</v>
      </c>
      <c r="T600" s="1">
        <f t="shared" si="38"/>
        <v>336.98581690938482</v>
      </c>
      <c r="U600" s="1">
        <f t="shared" si="39"/>
        <v>194.40068309061459</v>
      </c>
    </row>
    <row r="601" spans="1:21" x14ac:dyDescent="0.3">
      <c r="A601" t="s">
        <v>359</v>
      </c>
      <c r="B601" t="s">
        <v>761</v>
      </c>
      <c r="C601" t="s">
        <v>576</v>
      </c>
      <c r="D601" t="s">
        <v>577</v>
      </c>
      <c r="E601" s="2">
        <v>240.012</v>
      </c>
      <c r="F601" s="2">
        <v>0</v>
      </c>
      <c r="G601" s="2">
        <v>58.8125</v>
      </c>
      <c r="H601" s="2">
        <v>-59.438000000000002</v>
      </c>
      <c r="I601" s="1">
        <v>0.99007966268353198</v>
      </c>
      <c r="J601" s="1">
        <v>0.99529190207156304</v>
      </c>
      <c r="K601" s="1">
        <v>0.93205751608994503</v>
      </c>
      <c r="L601" s="1">
        <v>0.55331404866514999</v>
      </c>
      <c r="P601" s="1">
        <f>I601-'Passo 2'!I601</f>
        <v>1.0274486275685946E-2</v>
      </c>
      <c r="Q601" s="1">
        <f>J601-'Passo 2'!J601</f>
        <v>1.5624218789100919E-4</v>
      </c>
      <c r="R601" s="1">
        <f t="shared" si="37"/>
        <v>237.63099999999989</v>
      </c>
      <c r="S601">
        <f t="shared" si="36"/>
        <v>238.88199999999998</v>
      </c>
      <c r="T601" s="1">
        <f t="shared" si="38"/>
        <v>223.70498855177988</v>
      </c>
      <c r="U601" s="1">
        <f t="shared" si="39"/>
        <v>132.80201144821999</v>
      </c>
    </row>
    <row r="602" spans="1:21" x14ac:dyDescent="0.3">
      <c r="A602" t="s">
        <v>359</v>
      </c>
      <c r="B602" t="s">
        <v>443</v>
      </c>
      <c r="C602" t="s">
        <v>574</v>
      </c>
      <c r="D602" t="s">
        <v>575</v>
      </c>
      <c r="E602" s="2">
        <v>127.104</v>
      </c>
      <c r="F602" s="2">
        <v>0.36899999999999999</v>
      </c>
      <c r="G602" s="2">
        <v>26.529250000000001</v>
      </c>
      <c r="H602" s="2">
        <v>-26.657</v>
      </c>
      <c r="I602" s="1">
        <v>0.91599005538771405</v>
      </c>
      <c r="J602" s="1">
        <v>0.91800022029204398</v>
      </c>
      <c r="K602" s="1">
        <v>0.67468280536316905</v>
      </c>
      <c r="L602" s="1">
        <v>0.66075903753713205</v>
      </c>
      <c r="P602" s="1">
        <f>I602-'Passo 2'!I602</f>
        <v>2.5451598690841015E-3</v>
      </c>
      <c r="Q602" s="1">
        <f>J602-'Passo 2'!J602</f>
        <v>1.2745468277949312E-3</v>
      </c>
      <c r="R602" s="1">
        <f t="shared" si="37"/>
        <v>116.426</v>
      </c>
      <c r="S602">
        <f t="shared" si="36"/>
        <v>116.68149999999996</v>
      </c>
      <c r="T602" s="1">
        <f t="shared" si="38"/>
        <v>85.754883292880237</v>
      </c>
      <c r="U602" s="1">
        <f t="shared" si="39"/>
        <v>83.98511670711963</v>
      </c>
    </row>
    <row r="603" spans="1:21" x14ac:dyDescent="0.3">
      <c r="A603" t="s">
        <v>359</v>
      </c>
      <c r="B603" t="s">
        <v>444</v>
      </c>
      <c r="C603" t="s">
        <v>574</v>
      </c>
      <c r="D603" t="s">
        <v>575</v>
      </c>
      <c r="E603" s="2">
        <v>212.18100000000001</v>
      </c>
      <c r="F603" s="2">
        <v>0.16800000000000001</v>
      </c>
      <c r="G603" s="2">
        <v>44.039499999999997</v>
      </c>
      <c r="H603" s="2">
        <v>-41.924999999999997</v>
      </c>
      <c r="I603" s="1">
        <v>0.91471668056988997</v>
      </c>
      <c r="J603" s="1">
        <v>0.89478558400610797</v>
      </c>
      <c r="K603" s="1">
        <v>0.64024828957398205</v>
      </c>
      <c r="L603" s="1">
        <v>0.669649863418038</v>
      </c>
      <c r="P603" s="1">
        <f>I603-'Passo 2'!I603</f>
        <v>1.9198231698407953E-2</v>
      </c>
      <c r="Q603" s="1">
        <f>J603-'Passo 2'!J603</f>
        <v>4.5480038269296585E-4</v>
      </c>
      <c r="R603" s="1">
        <f t="shared" si="37"/>
        <v>194.08549999999983</v>
      </c>
      <c r="S603">
        <f t="shared" si="36"/>
        <v>189.85650000000001</v>
      </c>
      <c r="T603" s="1">
        <f t="shared" si="38"/>
        <v>135.8485223300971</v>
      </c>
      <c r="U603" s="1">
        <f t="shared" si="39"/>
        <v>142.08697766990272</v>
      </c>
    </row>
    <row r="604" spans="1:21" x14ac:dyDescent="0.3">
      <c r="A604" t="s">
        <v>359</v>
      </c>
      <c r="B604" t="s">
        <v>445</v>
      </c>
      <c r="C604" t="s">
        <v>574</v>
      </c>
      <c r="D604" t="s">
        <v>575</v>
      </c>
      <c r="E604" s="2">
        <v>3269.174</v>
      </c>
      <c r="F604" s="2">
        <v>228.54499999999999</v>
      </c>
      <c r="G604" s="2">
        <v>644.399</v>
      </c>
      <c r="H604" s="2">
        <v>-532.25975000000005</v>
      </c>
      <c r="I604" s="1">
        <v>0.85927286219699495</v>
      </c>
      <c r="J604" s="1">
        <v>0.79066883561413304</v>
      </c>
      <c r="K604" s="1">
        <v>0.67789906617999995</v>
      </c>
      <c r="L604" s="1">
        <v>0.50699717978304704</v>
      </c>
      <c r="P604" s="1">
        <f>I604-'Passo 2'!I604</f>
        <v>9.9186063513290956E-2</v>
      </c>
      <c r="Q604" s="1">
        <f>J604-'Passo 2'!J604</f>
        <v>6.3879591603261066E-2</v>
      </c>
      <c r="R604" s="1">
        <f t="shared" si="37"/>
        <v>2809.1124999999988</v>
      </c>
      <c r="S604">
        <f t="shared" si="36"/>
        <v>2584.8339999999976</v>
      </c>
      <c r="T604" s="1">
        <f t="shared" si="38"/>
        <v>2216.1700017799353</v>
      </c>
      <c r="U604" s="1">
        <f t="shared" si="39"/>
        <v>1657.4619982200629</v>
      </c>
    </row>
    <row r="605" spans="1:21" x14ac:dyDescent="0.3">
      <c r="A605" t="s">
        <v>359</v>
      </c>
      <c r="B605" t="s">
        <v>446</v>
      </c>
      <c r="C605" t="s">
        <v>574</v>
      </c>
      <c r="D605" t="s">
        <v>575</v>
      </c>
      <c r="E605" s="2">
        <v>180.29300000000001</v>
      </c>
      <c r="F605" s="2">
        <v>0</v>
      </c>
      <c r="G605" s="2">
        <v>35.967500000000001</v>
      </c>
      <c r="H605" s="2">
        <v>-31.717500000000001</v>
      </c>
      <c r="I605" s="1">
        <v>0.89898942277293004</v>
      </c>
      <c r="J605" s="1">
        <v>0.85184394291514298</v>
      </c>
      <c r="K605" s="1">
        <v>0.66966644815324605</v>
      </c>
      <c r="L605" s="1">
        <v>0.58116691753482796</v>
      </c>
      <c r="P605" s="1">
        <f>I605-'Passo 2'!I605</f>
        <v>-7.3585774267442949E-2</v>
      </c>
      <c r="Q605" s="1">
        <f>J605-'Passo 2'!J605</f>
        <v>3.3381773002833959E-2</v>
      </c>
      <c r="R605" s="1">
        <f t="shared" si="37"/>
        <v>162.08149999999989</v>
      </c>
      <c r="S605">
        <f t="shared" si="36"/>
        <v>153.58149999999989</v>
      </c>
      <c r="T605" s="1">
        <f t="shared" si="38"/>
        <v>120.7361729368932</v>
      </c>
      <c r="U605" s="1">
        <f t="shared" si="39"/>
        <v>104.78032706310674</v>
      </c>
    </row>
    <row r="606" spans="1:21" x14ac:dyDescent="0.3">
      <c r="A606" t="s">
        <v>359</v>
      </c>
      <c r="B606" t="s">
        <v>447</v>
      </c>
      <c r="C606" t="s">
        <v>576</v>
      </c>
      <c r="D606" t="s">
        <v>14</v>
      </c>
      <c r="E606" s="2">
        <v>49.366999999999997</v>
      </c>
      <c r="F606" s="2">
        <v>0</v>
      </c>
      <c r="G606" s="2">
        <v>9.2484999999999999</v>
      </c>
      <c r="H606" s="2">
        <v>-11.0505</v>
      </c>
      <c r="I606" s="1">
        <v>0.87468349302165405</v>
      </c>
      <c r="J606" s="1">
        <v>0.94768772661899603</v>
      </c>
      <c r="K606" s="1">
        <v>0.71641286125717196</v>
      </c>
      <c r="L606" s="1">
        <v>0.605958358383477</v>
      </c>
      <c r="P606" s="1">
        <f>I606-'Passo 2'!I606</f>
        <v>1.4685923795248024E-2</v>
      </c>
      <c r="Q606" s="1">
        <f>J606-'Passo 2'!J606</f>
        <v>1.822067372941405E-2</v>
      </c>
      <c r="R606" s="1">
        <f t="shared" si="37"/>
        <v>43.180499999999995</v>
      </c>
      <c r="S606">
        <f t="shared" si="36"/>
        <v>46.784499999999973</v>
      </c>
      <c r="T606" s="1">
        <f t="shared" si="38"/>
        <v>35.367153721682804</v>
      </c>
      <c r="U606" s="1">
        <f t="shared" si="39"/>
        <v>29.914346278317108</v>
      </c>
    </row>
    <row r="607" spans="1:21" x14ac:dyDescent="0.3">
      <c r="A607" t="s">
        <v>359</v>
      </c>
      <c r="B607" t="s">
        <v>762</v>
      </c>
      <c r="C607" t="s">
        <v>574</v>
      </c>
      <c r="D607" t="s">
        <v>575</v>
      </c>
      <c r="E607" s="2">
        <v>393.26100000000002</v>
      </c>
      <c r="F607" s="2">
        <v>12.045</v>
      </c>
      <c r="G607" s="2">
        <v>72.567749999999904</v>
      </c>
      <c r="H607" s="2">
        <v>-71.89425</v>
      </c>
      <c r="I607" s="1">
        <v>0.85374217122979301</v>
      </c>
      <c r="J607" s="1">
        <v>0.85031696506899901</v>
      </c>
      <c r="K607" s="1">
        <v>0.67162974367616302</v>
      </c>
      <c r="L607" s="1">
        <v>0.54774364956649202</v>
      </c>
      <c r="P607" s="1">
        <f>I607-'Passo 2'!I607</f>
        <v>0.14120266184544106</v>
      </c>
      <c r="Q607" s="1">
        <f>J607-'Passo 2'!J607</f>
        <v>0.15883853217074606</v>
      </c>
      <c r="R607" s="1">
        <f t="shared" si="37"/>
        <v>335.74349999999964</v>
      </c>
      <c r="S607">
        <f t="shared" si="36"/>
        <v>334.39649999999966</v>
      </c>
      <c r="T607" s="1">
        <f t="shared" si="38"/>
        <v>264.12578462783154</v>
      </c>
      <c r="U607" s="1">
        <f t="shared" si="39"/>
        <v>215.40621537216822</v>
      </c>
    </row>
    <row r="608" spans="1:21" x14ac:dyDescent="0.3">
      <c r="A608" t="s">
        <v>359</v>
      </c>
      <c r="B608" t="s">
        <v>448</v>
      </c>
      <c r="C608" t="s">
        <v>574</v>
      </c>
      <c r="D608" t="s">
        <v>575</v>
      </c>
      <c r="E608" s="2">
        <v>4232.8969999999999</v>
      </c>
      <c r="F608" s="2">
        <v>368.28</v>
      </c>
      <c r="G608" s="2">
        <v>714.77250000000004</v>
      </c>
      <c r="H608" s="2">
        <v>-489.93875000000003</v>
      </c>
      <c r="I608" s="1">
        <v>0.79422048304033799</v>
      </c>
      <c r="J608" s="1">
        <v>0.68798886436405104</v>
      </c>
      <c r="K608" s="1">
        <v>0.63179490011160999</v>
      </c>
      <c r="L608" s="1">
        <v>0.39391656888940701</v>
      </c>
      <c r="P608" s="1">
        <f>I608-'Passo 2'!I608</f>
        <v>8.9294518624005947E-2</v>
      </c>
      <c r="Q608" s="1">
        <f>J608-'Passo 2'!J608</f>
        <v>3.7690380843191096E-2</v>
      </c>
      <c r="R608" s="1">
        <f t="shared" si="37"/>
        <v>3361.8534999999974</v>
      </c>
      <c r="S608">
        <f t="shared" si="36"/>
        <v>2912.1859999999983</v>
      </c>
      <c r="T608" s="1">
        <f t="shared" si="38"/>
        <v>2674.3227372977335</v>
      </c>
      <c r="U608" s="1">
        <f t="shared" si="39"/>
        <v>1667.4082627022642</v>
      </c>
    </row>
    <row r="609" spans="1:21" x14ac:dyDescent="0.3">
      <c r="A609" t="s">
        <v>359</v>
      </c>
      <c r="B609" t="s">
        <v>449</v>
      </c>
      <c r="C609" t="s">
        <v>574</v>
      </c>
      <c r="D609" t="s">
        <v>575</v>
      </c>
      <c r="E609" s="2">
        <v>7014.2790000000005</v>
      </c>
      <c r="F609" s="2">
        <v>1890.4549999999999</v>
      </c>
      <c r="G609" s="2">
        <v>705.37699999999995</v>
      </c>
      <c r="H609" s="2">
        <v>-687.52749999999901</v>
      </c>
      <c r="I609" s="1">
        <v>0.566368403652036</v>
      </c>
      <c r="J609" s="1">
        <v>0.56127892831180504</v>
      </c>
      <c r="K609" s="1">
        <v>0.43738801690616602</v>
      </c>
      <c r="L609" s="1">
        <v>0.32501692877677502</v>
      </c>
      <c r="P609" s="1">
        <f>I609-'Passo 2'!I609</f>
        <v>3.9042359164784046E-2</v>
      </c>
      <c r="Q609" s="1">
        <f>J609-'Passo 2'!J609</f>
        <v>4.2793279252222982E-2</v>
      </c>
      <c r="R609" s="1">
        <f t="shared" si="37"/>
        <v>3972.6659999999997</v>
      </c>
      <c r="S609">
        <f t="shared" si="36"/>
        <v>3936.9669999999996</v>
      </c>
      <c r="T609" s="1">
        <f t="shared" si="38"/>
        <v>3067.9615818365655</v>
      </c>
      <c r="U609" s="1">
        <f t="shared" si="39"/>
        <v>2279.759418163429</v>
      </c>
    </row>
    <row r="610" spans="1:21" x14ac:dyDescent="0.3">
      <c r="A610" t="s">
        <v>359</v>
      </c>
      <c r="B610" t="s">
        <v>450</v>
      </c>
      <c r="C610" t="s">
        <v>574</v>
      </c>
      <c r="D610" t="s">
        <v>575</v>
      </c>
      <c r="E610" s="2">
        <v>61.072000000000003</v>
      </c>
      <c r="F610" s="2">
        <v>0</v>
      </c>
      <c r="G610" s="2">
        <v>15.25225</v>
      </c>
      <c r="H610" s="2">
        <v>-15.24625</v>
      </c>
      <c r="I610" s="1">
        <v>0.99948421535237097</v>
      </c>
      <c r="J610" s="1">
        <v>0.99928772596279802</v>
      </c>
      <c r="K610" s="1">
        <v>0.67532147714872903</v>
      </c>
      <c r="L610" s="1">
        <v>0.82345046416643897</v>
      </c>
      <c r="P610" s="1">
        <f>I610-'Passo 2'!I610</f>
        <v>-1.0643175268498783E-4</v>
      </c>
      <c r="Q610" s="1">
        <f>J610-'Passo 2'!J610</f>
        <v>-1.3099292638196758E-4</v>
      </c>
      <c r="R610" s="1">
        <f t="shared" si="37"/>
        <v>61.040500000000002</v>
      </c>
      <c r="S610">
        <f t="shared" si="36"/>
        <v>61.028500000000001</v>
      </c>
      <c r="T610" s="1">
        <f t="shared" si="38"/>
        <v>41.243233252427181</v>
      </c>
      <c r="U610" s="1">
        <f t="shared" si="39"/>
        <v>50.289766747572763</v>
      </c>
    </row>
    <row r="611" spans="1:21" x14ac:dyDescent="0.3">
      <c r="A611" t="s">
        <v>359</v>
      </c>
      <c r="B611" t="s">
        <v>451</v>
      </c>
      <c r="C611" t="s">
        <v>574</v>
      </c>
      <c r="D611" t="s">
        <v>575</v>
      </c>
      <c r="E611" s="2">
        <v>96.25</v>
      </c>
      <c r="F611" s="2">
        <v>0</v>
      </c>
      <c r="G611" s="2">
        <v>23.899750000000001</v>
      </c>
      <c r="H611" s="2">
        <v>-24.06025</v>
      </c>
      <c r="I611" s="1">
        <v>0.99661818181818096</v>
      </c>
      <c r="J611" s="1">
        <v>0.99995324675324604</v>
      </c>
      <c r="K611" s="1">
        <v>0.68606264405497397</v>
      </c>
      <c r="L611" s="1">
        <v>0.81050878451645403</v>
      </c>
      <c r="P611" s="1">
        <f>I611-'Passo 2'!I611</f>
        <v>3.3714285714279146E-3</v>
      </c>
      <c r="Q611" s="1">
        <f>J611-'Passo 2'!J611</f>
        <v>3.1116883116880656E-3</v>
      </c>
      <c r="R611" s="1">
        <f t="shared" si="37"/>
        <v>95.924499999999924</v>
      </c>
      <c r="S611">
        <f t="shared" si="36"/>
        <v>96.245499999999936</v>
      </c>
      <c r="T611" s="1">
        <f t="shared" si="38"/>
        <v>66.033529490291244</v>
      </c>
      <c r="U611" s="1">
        <f t="shared" si="39"/>
        <v>78.011470509708701</v>
      </c>
    </row>
    <row r="612" spans="1:21" x14ac:dyDescent="0.3">
      <c r="A612" t="s">
        <v>359</v>
      </c>
      <c r="B612" t="s">
        <v>452</v>
      </c>
      <c r="C612" t="s">
        <v>576</v>
      </c>
      <c r="D612" t="s">
        <v>14</v>
      </c>
      <c r="E612" s="2">
        <v>29</v>
      </c>
      <c r="F612" s="2">
        <v>0</v>
      </c>
      <c r="G612" s="2">
        <v>4.9930000000000003</v>
      </c>
      <c r="H612" s="2">
        <v>-6.2447499999999998</v>
      </c>
      <c r="I612" s="1">
        <v>0.84434482758620599</v>
      </c>
      <c r="J612" s="1">
        <v>0.93067241379310295</v>
      </c>
      <c r="K612" s="1">
        <v>0.64959316482535401</v>
      </c>
      <c r="L612" s="1">
        <v>0.62542407655395504</v>
      </c>
      <c r="P612" s="1">
        <f>I612-'Passo 2'!I612</f>
        <v>0</v>
      </c>
      <c r="Q612" s="1">
        <f>J612-'Passo 2'!J612</f>
        <v>0</v>
      </c>
      <c r="R612" s="1">
        <f t="shared" si="37"/>
        <v>24.485999999999972</v>
      </c>
      <c r="S612">
        <f t="shared" si="36"/>
        <v>26.989499999999985</v>
      </c>
      <c r="T612" s="1">
        <f t="shared" si="38"/>
        <v>18.838201779935265</v>
      </c>
      <c r="U612" s="1">
        <f t="shared" si="39"/>
        <v>18.137298220064697</v>
      </c>
    </row>
    <row r="613" spans="1:21" x14ac:dyDescent="0.3">
      <c r="A613" t="s">
        <v>359</v>
      </c>
      <c r="B613" t="s">
        <v>453</v>
      </c>
      <c r="C613" t="s">
        <v>574</v>
      </c>
      <c r="D613" t="s">
        <v>575</v>
      </c>
      <c r="E613" s="2">
        <v>2103.1109999999999</v>
      </c>
      <c r="F613" s="2">
        <v>193.34</v>
      </c>
      <c r="G613" s="2">
        <v>461.85449999999997</v>
      </c>
      <c r="H613" s="2">
        <v>-472.87299999999999</v>
      </c>
      <c r="I613" s="1">
        <v>0.893245530074256</v>
      </c>
      <c r="J613" s="1">
        <v>0.90372381676478297</v>
      </c>
      <c r="K613" s="1">
        <v>0.76299517325927102</v>
      </c>
      <c r="L613" s="1">
        <v>0.57993941269458404</v>
      </c>
      <c r="P613" s="1">
        <f>I613-'Passo 2'!I613</f>
        <v>3.7969940721149786E-3</v>
      </c>
      <c r="Q613" s="1">
        <f>J613-'Passo 2'!J613</f>
        <v>3.3649198734637009E-2</v>
      </c>
      <c r="R613" s="1">
        <f t="shared" si="37"/>
        <v>1878.5944999999986</v>
      </c>
      <c r="S613">
        <f t="shared" si="36"/>
        <v>1900.6314999999993</v>
      </c>
      <c r="T613" s="1">
        <f t="shared" si="38"/>
        <v>1604.6635418284786</v>
      </c>
      <c r="U613" s="1">
        <f t="shared" si="39"/>
        <v>1219.6769581715193</v>
      </c>
    </row>
    <row r="614" spans="1:21" x14ac:dyDescent="0.3">
      <c r="A614" t="s">
        <v>359</v>
      </c>
      <c r="B614" t="s">
        <v>454</v>
      </c>
      <c r="C614" t="s">
        <v>574</v>
      </c>
      <c r="D614" t="s">
        <v>575</v>
      </c>
      <c r="E614" s="2">
        <v>51</v>
      </c>
      <c r="F614" s="2">
        <v>8.2690000000000001</v>
      </c>
      <c r="G614" s="2">
        <v>6.0137499999999999</v>
      </c>
      <c r="H614" s="2">
        <v>-5.9879999999999898</v>
      </c>
      <c r="I614" s="1">
        <v>0.65476470588235203</v>
      </c>
      <c r="J614" s="1">
        <v>0.65375490196078401</v>
      </c>
      <c r="K614" s="1">
        <v>0.53364499492353501</v>
      </c>
      <c r="L614" s="1">
        <v>0.355943240370581</v>
      </c>
      <c r="P614" s="1">
        <f>I614-'Passo 2'!I614</f>
        <v>2.4999999999990585E-3</v>
      </c>
      <c r="Q614" s="1">
        <f>J614-'Passo 2'!J614</f>
        <v>2.5735294117646967E-2</v>
      </c>
      <c r="R614" s="1">
        <f t="shared" si="37"/>
        <v>33.392999999999951</v>
      </c>
      <c r="S614">
        <f t="shared" si="36"/>
        <v>33.341499999999982</v>
      </c>
      <c r="T614" s="1">
        <f t="shared" si="38"/>
        <v>27.215894741100286</v>
      </c>
      <c r="U614" s="1">
        <f t="shared" si="39"/>
        <v>18.153105258899632</v>
      </c>
    </row>
    <row r="615" spans="1:21" x14ac:dyDescent="0.3">
      <c r="A615" t="s">
        <v>359</v>
      </c>
      <c r="B615" t="s">
        <v>455</v>
      </c>
      <c r="C615" t="s">
        <v>574</v>
      </c>
      <c r="D615" t="s">
        <v>575</v>
      </c>
      <c r="E615" s="2">
        <v>408.15100000000001</v>
      </c>
      <c r="F615" s="2">
        <v>0</v>
      </c>
      <c r="G615" s="2">
        <v>99.821749999999994</v>
      </c>
      <c r="H615" s="2">
        <v>-100.6585</v>
      </c>
      <c r="I615" s="1">
        <v>0.98914127369527405</v>
      </c>
      <c r="J615" s="1">
        <v>0.99324147190623002</v>
      </c>
      <c r="K615" s="1">
        <v>0.67448626257594402</v>
      </c>
      <c r="L615" s="1">
        <v>0.80789648302556005</v>
      </c>
      <c r="P615" s="1">
        <f>I615-'Passo 2'!I615</f>
        <v>9.1988014239828053E-2</v>
      </c>
      <c r="Q615" s="1">
        <f>J615-'Passo 2'!J615</f>
        <v>9.2819814235417075E-2</v>
      </c>
      <c r="R615" s="1">
        <f t="shared" si="37"/>
        <v>403.71899999999982</v>
      </c>
      <c r="S615">
        <f t="shared" si="36"/>
        <v>405.3924999999997</v>
      </c>
      <c r="T615" s="1">
        <f t="shared" si="38"/>
        <v>275.29224255663411</v>
      </c>
      <c r="U615" s="1">
        <f t="shared" si="39"/>
        <v>329.74375744336538</v>
      </c>
    </row>
    <row r="616" spans="1:21" x14ac:dyDescent="0.3">
      <c r="A616" t="s">
        <v>359</v>
      </c>
      <c r="B616" t="s">
        <v>456</v>
      </c>
      <c r="C616" t="s">
        <v>574</v>
      </c>
      <c r="D616" t="s">
        <v>575</v>
      </c>
      <c r="E616" s="2">
        <v>25.63</v>
      </c>
      <c r="F616" s="2">
        <v>0</v>
      </c>
      <c r="G616" s="2">
        <v>5.1044999999999998</v>
      </c>
      <c r="H616" s="2">
        <v>-5.0557499999999997</v>
      </c>
      <c r="I616" s="1">
        <v>0.89832227857978897</v>
      </c>
      <c r="J616" s="1">
        <v>0.89451814280140396</v>
      </c>
      <c r="K616" s="1">
        <v>0.75082190135447502</v>
      </c>
      <c r="L616" s="1">
        <v>0.54201852002671802</v>
      </c>
      <c r="P616" s="1">
        <f>I616-'Passo 2'!I616</f>
        <v>5.1307062036679563E-3</v>
      </c>
      <c r="Q616" s="1">
        <f>J616-'Passo 2'!J616</f>
        <v>0</v>
      </c>
      <c r="R616" s="1">
        <f t="shared" si="37"/>
        <v>23.02399999999999</v>
      </c>
      <c r="S616">
        <f t="shared" si="36"/>
        <v>22.926499999999983</v>
      </c>
      <c r="T616" s="1">
        <f t="shared" si="38"/>
        <v>19.243565331715192</v>
      </c>
      <c r="U616" s="1">
        <f t="shared" si="39"/>
        <v>13.891934668284783</v>
      </c>
    </row>
    <row r="617" spans="1:21" x14ac:dyDescent="0.3">
      <c r="A617" t="s">
        <v>359</v>
      </c>
      <c r="B617" t="s">
        <v>457</v>
      </c>
      <c r="C617" t="s">
        <v>574</v>
      </c>
      <c r="D617" t="s">
        <v>575</v>
      </c>
      <c r="E617" s="2">
        <v>117.72499999999999</v>
      </c>
      <c r="F617" s="2">
        <v>0</v>
      </c>
      <c r="G617" s="2">
        <v>20.0395</v>
      </c>
      <c r="H617" s="2">
        <v>-16.655000000000001</v>
      </c>
      <c r="I617" s="1">
        <v>0.84044595455510696</v>
      </c>
      <c r="J617" s="1">
        <v>0.78294754724994697</v>
      </c>
      <c r="K617" s="1">
        <v>0.58160980282197305</v>
      </c>
      <c r="L617" s="1">
        <v>0.54178369898307999</v>
      </c>
      <c r="P617" s="1">
        <f>I617-'Passo 2'!I617</f>
        <v>9.3013378636697119E-4</v>
      </c>
      <c r="Q617" s="1">
        <f>J617-'Passo 2'!J617</f>
        <v>1.5001061796560022E-2</v>
      </c>
      <c r="R617" s="1">
        <f t="shared" si="37"/>
        <v>98.941499999999962</v>
      </c>
      <c r="S617">
        <f t="shared" si="36"/>
        <v>92.172499999999999</v>
      </c>
      <c r="T617" s="1">
        <f t="shared" si="38"/>
        <v>68.470014037216771</v>
      </c>
      <c r="U617" s="1">
        <f t="shared" si="39"/>
        <v>63.781485962783087</v>
      </c>
    </row>
    <row r="618" spans="1:21" x14ac:dyDescent="0.3">
      <c r="A618" t="s">
        <v>359</v>
      </c>
      <c r="B618" t="s">
        <v>458</v>
      </c>
      <c r="C618" t="s">
        <v>574</v>
      </c>
      <c r="D618" t="s">
        <v>575</v>
      </c>
      <c r="E618" s="2">
        <v>3596.85</v>
      </c>
      <c r="F618" s="2">
        <v>4.9960000000000004</v>
      </c>
      <c r="G618" s="2">
        <v>649.81074999999998</v>
      </c>
      <c r="H618" s="2">
        <v>-502.87574999999998</v>
      </c>
      <c r="I618" s="1">
        <v>0.86062763251178098</v>
      </c>
      <c r="J618" s="1">
        <v>0.77892558766698605</v>
      </c>
      <c r="K618" s="1">
        <v>0.61528533385446504</v>
      </c>
      <c r="L618" s="1">
        <v>0.52496238289769204</v>
      </c>
      <c r="P618" s="1">
        <f>I618-'Passo 2'!I618</f>
        <v>9.9514853274393023E-2</v>
      </c>
      <c r="Q618" s="1">
        <f>J618-'Passo 2'!J618</f>
        <v>4.2159945507875052E-2</v>
      </c>
      <c r="R618" s="1">
        <f t="shared" si="37"/>
        <v>3095.5484999999994</v>
      </c>
      <c r="S618">
        <f t="shared" si="36"/>
        <v>2801.6784999999986</v>
      </c>
      <c r="T618" s="1">
        <f t="shared" si="38"/>
        <v>2213.0890530744327</v>
      </c>
      <c r="U618" s="1">
        <f t="shared" si="39"/>
        <v>1888.2109469255636</v>
      </c>
    </row>
    <row r="619" spans="1:21" x14ac:dyDescent="0.3">
      <c r="A619" t="s">
        <v>359</v>
      </c>
      <c r="B619" t="s">
        <v>459</v>
      </c>
      <c r="C619" t="s">
        <v>576</v>
      </c>
      <c r="D619" t="s">
        <v>577</v>
      </c>
      <c r="E619" s="2">
        <v>88.7</v>
      </c>
      <c r="F619" s="2">
        <v>0</v>
      </c>
      <c r="G619" s="2">
        <v>22.175000000000001</v>
      </c>
      <c r="H619" s="2">
        <v>-22.137499999999999</v>
      </c>
      <c r="I619" s="1">
        <v>1</v>
      </c>
      <c r="J619" s="1">
        <v>0.99915445321307705</v>
      </c>
      <c r="K619" s="1">
        <v>0.96512940058303498</v>
      </c>
      <c r="L619" s="1">
        <v>0.53402505263004196</v>
      </c>
      <c r="P619" s="1">
        <f>I619-'Passo 2'!I619</f>
        <v>1.1273957158970394E-3</v>
      </c>
      <c r="Q619" s="1">
        <f>J619-'Passo 2'!J619</f>
        <v>0</v>
      </c>
      <c r="R619" s="1">
        <f t="shared" si="37"/>
        <v>88.7</v>
      </c>
      <c r="S619">
        <f t="shared" si="36"/>
        <v>88.624999999999943</v>
      </c>
      <c r="T619" s="1">
        <f t="shared" si="38"/>
        <v>85.606977831715199</v>
      </c>
      <c r="U619" s="1">
        <f t="shared" si="39"/>
        <v>47.368022168284725</v>
      </c>
    </row>
    <row r="620" spans="1:21" x14ac:dyDescent="0.3">
      <c r="A620" t="s">
        <v>359</v>
      </c>
      <c r="B620" t="s">
        <v>763</v>
      </c>
      <c r="C620" t="s">
        <v>574</v>
      </c>
      <c r="D620" t="s">
        <v>575</v>
      </c>
      <c r="E620" s="2">
        <v>1344.8040000000001</v>
      </c>
      <c r="F620" s="2">
        <v>205.78200000000001</v>
      </c>
      <c r="G620" s="2">
        <v>165.44174999999899</v>
      </c>
      <c r="H620" s="2">
        <v>-199.67849999999899</v>
      </c>
      <c r="I620" s="1">
        <v>0.66953585801350901</v>
      </c>
      <c r="J620" s="1">
        <v>0.72045294332854404</v>
      </c>
      <c r="K620" s="1">
        <v>0.45338731956935602</v>
      </c>
      <c r="L620" s="1">
        <v>0.51311151594868099</v>
      </c>
      <c r="P620" s="1">
        <f>I620-'Passo 2'!I620</f>
        <v>3.6474460218738014E-2</v>
      </c>
      <c r="Q620" s="1">
        <f>J620-'Passo 2'!J620</f>
        <v>6.1234202158828022E-2</v>
      </c>
      <c r="R620" s="1">
        <f t="shared" si="37"/>
        <v>900.39449999999908</v>
      </c>
      <c r="S620">
        <f t="shared" si="36"/>
        <v>968.86799999999937</v>
      </c>
      <c r="T620" s="1">
        <f t="shared" si="38"/>
        <v>609.71708090614834</v>
      </c>
      <c r="U620" s="1">
        <f t="shared" si="39"/>
        <v>690.03441909385003</v>
      </c>
    </row>
    <row r="621" spans="1:21" x14ac:dyDescent="0.3">
      <c r="A621" t="s">
        <v>359</v>
      </c>
      <c r="B621" t="s">
        <v>460</v>
      </c>
      <c r="C621" t="s">
        <v>574</v>
      </c>
      <c r="D621" t="s">
        <v>575</v>
      </c>
      <c r="E621" s="2">
        <v>97.71</v>
      </c>
      <c r="F621" s="2">
        <v>0</v>
      </c>
      <c r="G621" s="2">
        <v>16.912749999999999</v>
      </c>
      <c r="H621" s="2">
        <v>-8.0239999999999903</v>
      </c>
      <c r="I621" s="1">
        <v>0.846182581107358</v>
      </c>
      <c r="J621" s="1">
        <v>0.66424112168662297</v>
      </c>
      <c r="K621" s="1">
        <v>0.66954611948573794</v>
      </c>
      <c r="L621" s="1">
        <v>0.34087758330824403</v>
      </c>
      <c r="P621" s="1">
        <f>I621-'Passo 2'!I621</f>
        <v>6.8329751304881947E-2</v>
      </c>
      <c r="Q621" s="1">
        <f>J621-'Passo 2'!J621</f>
        <v>3.1189233445910958E-2</v>
      </c>
      <c r="R621" s="1">
        <f t="shared" si="37"/>
        <v>82.680499999999938</v>
      </c>
      <c r="S621">
        <f t="shared" si="36"/>
        <v>64.902999999999921</v>
      </c>
      <c r="T621" s="1">
        <f t="shared" si="38"/>
        <v>65.421351334951453</v>
      </c>
      <c r="U621" s="1">
        <f t="shared" si="39"/>
        <v>33.307148665048523</v>
      </c>
    </row>
    <row r="622" spans="1:21" x14ac:dyDescent="0.3">
      <c r="A622" t="s">
        <v>359</v>
      </c>
      <c r="B622" t="s">
        <v>461</v>
      </c>
      <c r="C622" t="s">
        <v>576</v>
      </c>
      <c r="D622" t="s">
        <v>577</v>
      </c>
      <c r="E622" s="2">
        <v>252.399</v>
      </c>
      <c r="F622" s="2">
        <v>0</v>
      </c>
      <c r="G622" s="2">
        <v>60.655000000000001</v>
      </c>
      <c r="H622" s="2">
        <v>-60.661499999999997</v>
      </c>
      <c r="I622" s="1">
        <v>0.98062789472224499</v>
      </c>
      <c r="J622" s="1">
        <v>0.98067940047306001</v>
      </c>
      <c r="K622" s="1">
        <v>0.89774018886929297</v>
      </c>
      <c r="L622" s="1">
        <v>0.56356710632601204</v>
      </c>
      <c r="P622" s="1">
        <f>I622-'Passo 2'!I622</f>
        <v>3.8163780363630995E-2</v>
      </c>
      <c r="Q622" s="1">
        <f>J622-'Passo 2'!J622</f>
        <v>7.3296645391018878E-5</v>
      </c>
      <c r="R622" s="1">
        <f t="shared" si="37"/>
        <v>247.50949999999992</v>
      </c>
      <c r="S622">
        <f t="shared" si="36"/>
        <v>247.52249999999987</v>
      </c>
      <c r="T622" s="1">
        <f t="shared" si="38"/>
        <v>226.58872593042068</v>
      </c>
      <c r="U622" s="1">
        <f t="shared" si="39"/>
        <v>142.2437740695791</v>
      </c>
    </row>
    <row r="623" spans="1:21" x14ac:dyDescent="0.3">
      <c r="A623" t="s">
        <v>359</v>
      </c>
      <c r="B623" t="s">
        <v>462</v>
      </c>
      <c r="C623" t="s">
        <v>576</v>
      </c>
      <c r="D623" t="s">
        <v>577</v>
      </c>
      <c r="E623" s="2">
        <v>116.724</v>
      </c>
      <c r="F623" s="2">
        <v>0</v>
      </c>
      <c r="G623" s="2">
        <v>27.562249999999999</v>
      </c>
      <c r="H623" s="2">
        <v>-29.175249999999998</v>
      </c>
      <c r="I623" s="1">
        <v>0.97226363044446695</v>
      </c>
      <c r="J623" s="1">
        <v>0.999901476988451</v>
      </c>
      <c r="K623" s="1">
        <v>0.94704986794838897</v>
      </c>
      <c r="L623" s="1">
        <v>0.52511523948452898</v>
      </c>
      <c r="P623" s="1">
        <f>I623-'Passo 2'!I623</f>
        <v>3.0156608752269776E-3</v>
      </c>
      <c r="Q623" s="1">
        <f>J623-'Passo 2'!J623</f>
        <v>4.6691340255700098E-4</v>
      </c>
      <c r="R623" s="1">
        <f t="shared" si="37"/>
        <v>113.48649999999996</v>
      </c>
      <c r="S623">
        <f t="shared" si="36"/>
        <v>116.71249999999996</v>
      </c>
      <c r="T623" s="1">
        <f t="shared" si="38"/>
        <v>110.54344878640775</v>
      </c>
      <c r="U623" s="1">
        <f t="shared" si="39"/>
        <v>61.29355121359216</v>
      </c>
    </row>
    <row r="624" spans="1:21" x14ac:dyDescent="0.3">
      <c r="A624" t="s">
        <v>359</v>
      </c>
      <c r="B624" t="s">
        <v>463</v>
      </c>
      <c r="C624" t="s">
        <v>576</v>
      </c>
      <c r="D624" t="s">
        <v>14</v>
      </c>
      <c r="E624" s="2">
        <v>23.449000000000002</v>
      </c>
      <c r="F624" s="2">
        <v>0</v>
      </c>
      <c r="G624" s="2">
        <v>5.8622500000000004</v>
      </c>
      <c r="H624" s="2">
        <v>-1.2500000000000001E-2</v>
      </c>
      <c r="I624" s="1">
        <v>1</v>
      </c>
      <c r="J624" s="1">
        <v>0.501066143545567</v>
      </c>
      <c r="K624" s="1">
        <v>0.53737038473926202</v>
      </c>
      <c r="L624" s="1">
        <v>0.46369575880630398</v>
      </c>
      <c r="P624" s="1">
        <f>I624-'Passo 2'!I624</f>
        <v>0</v>
      </c>
      <c r="Q624" s="1">
        <f>J624-'Passo 2'!J624</f>
        <v>0</v>
      </c>
      <c r="R624" s="1">
        <f t="shared" si="37"/>
        <v>23.449000000000002</v>
      </c>
      <c r="S624">
        <f t="shared" si="36"/>
        <v>11.749500000000001</v>
      </c>
      <c r="T624" s="1">
        <f t="shared" si="38"/>
        <v>12.600798151750956</v>
      </c>
      <c r="U624" s="1">
        <f t="shared" si="39"/>
        <v>10.873201848249023</v>
      </c>
    </row>
    <row r="625" spans="1:21" x14ac:dyDescent="0.3">
      <c r="A625" t="s">
        <v>359</v>
      </c>
      <c r="B625" t="s">
        <v>464</v>
      </c>
      <c r="C625" t="s">
        <v>574</v>
      </c>
      <c r="D625" t="s">
        <v>575</v>
      </c>
      <c r="E625" s="2">
        <v>0</v>
      </c>
      <c r="F625" s="2">
        <v>0</v>
      </c>
      <c r="G625" s="2">
        <v>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P625" s="1">
        <f>I625-'Passo 2'!I625</f>
        <v>0</v>
      </c>
      <c r="Q625" s="1">
        <f>J625-'Passo 2'!J625</f>
        <v>0</v>
      </c>
      <c r="R625" s="1">
        <f t="shared" si="37"/>
        <v>0</v>
      </c>
      <c r="S625">
        <f t="shared" si="36"/>
        <v>0</v>
      </c>
      <c r="T625" s="1">
        <f t="shared" si="38"/>
        <v>0</v>
      </c>
      <c r="U625" s="1">
        <f t="shared" si="39"/>
        <v>0</v>
      </c>
    </row>
    <row r="626" spans="1:21" x14ac:dyDescent="0.3">
      <c r="A626" t="s">
        <v>359</v>
      </c>
      <c r="B626" t="s">
        <v>465</v>
      </c>
      <c r="C626" t="s">
        <v>574</v>
      </c>
      <c r="D626" t="s">
        <v>575</v>
      </c>
      <c r="E626" s="2">
        <v>903.21900000000005</v>
      </c>
      <c r="F626" s="2">
        <v>103.15</v>
      </c>
      <c r="G626" s="2">
        <v>174.60225</v>
      </c>
      <c r="H626" s="2">
        <v>-175.08500000000001</v>
      </c>
      <c r="I626" s="1">
        <v>0.82952085817503796</v>
      </c>
      <c r="J626" s="1">
        <v>0.83058981265894505</v>
      </c>
      <c r="K626" s="1">
        <v>0.60029779124661198</v>
      </c>
      <c r="L626" s="1">
        <v>0.61691420274376996</v>
      </c>
      <c r="P626" s="1">
        <f>I626-'Passo 2'!I626</f>
        <v>5.2257536654998216E-4</v>
      </c>
      <c r="Q626" s="1">
        <f>J626-'Passo 2'!J626</f>
        <v>5.6464711216008823E-5</v>
      </c>
      <c r="R626" s="1">
        <f t="shared" si="37"/>
        <v>749.23899999999969</v>
      </c>
      <c r="S626">
        <f t="shared" si="36"/>
        <v>750.20449999999971</v>
      </c>
      <c r="T626" s="1">
        <f t="shared" si="38"/>
        <v>542.20037071197362</v>
      </c>
      <c r="U626" s="1">
        <f t="shared" si="39"/>
        <v>557.20862928802524</v>
      </c>
    </row>
    <row r="627" spans="1:21" x14ac:dyDescent="0.3">
      <c r="A627" t="s">
        <v>359</v>
      </c>
      <c r="B627" t="s">
        <v>466</v>
      </c>
      <c r="C627" t="s">
        <v>574</v>
      </c>
      <c r="D627" t="s">
        <v>575</v>
      </c>
      <c r="E627" s="2">
        <v>31.109000000000002</v>
      </c>
      <c r="F627" s="2">
        <v>0</v>
      </c>
      <c r="G627" s="2">
        <v>5.3992500000000003</v>
      </c>
      <c r="H627" s="2">
        <v>-5.383</v>
      </c>
      <c r="I627" s="1">
        <v>0.84711819730624505</v>
      </c>
      <c r="J627" s="1">
        <v>0.84607348355781198</v>
      </c>
      <c r="K627" s="1">
        <v>0.65519945866298901</v>
      </c>
      <c r="L627" s="1">
        <v>0.53799222220106901</v>
      </c>
      <c r="P627" s="1">
        <f>I627-'Passo 2'!I627</f>
        <v>3.8734771288050363E-3</v>
      </c>
      <c r="Q627" s="1">
        <f>J627-'Passo 2'!J627</f>
        <v>2.5716030730593697E-4</v>
      </c>
      <c r="R627" s="1">
        <f t="shared" si="37"/>
        <v>26.35299999999998</v>
      </c>
      <c r="S627">
        <f t="shared" si="36"/>
        <v>26.320499999999974</v>
      </c>
      <c r="T627" s="1">
        <f t="shared" si="38"/>
        <v>20.382599959546926</v>
      </c>
      <c r="U627" s="1">
        <f t="shared" si="39"/>
        <v>16.736400040453056</v>
      </c>
    </row>
    <row r="628" spans="1:21" x14ac:dyDescent="0.3">
      <c r="A628" t="s">
        <v>359</v>
      </c>
      <c r="B628" t="s">
        <v>467</v>
      </c>
      <c r="C628" t="s">
        <v>574</v>
      </c>
      <c r="D628" t="s">
        <v>575</v>
      </c>
      <c r="E628" s="2">
        <v>1079.566</v>
      </c>
      <c r="F628" s="2">
        <v>0.71799999999999997</v>
      </c>
      <c r="G628" s="2">
        <v>233.89574999999999</v>
      </c>
      <c r="H628" s="2">
        <v>-232.21775</v>
      </c>
      <c r="I628" s="1">
        <v>0.93298186493461199</v>
      </c>
      <c r="J628" s="1">
        <v>0.92987320830778297</v>
      </c>
      <c r="K628" s="1">
        <v>0.74825840612433003</v>
      </c>
      <c r="L628" s="1">
        <v>0.61492920815770402</v>
      </c>
      <c r="P628" s="1">
        <f>I628-'Passo 2'!I628</f>
        <v>4.0616321744108008E-2</v>
      </c>
      <c r="Q628" s="1">
        <f>J628-'Passo 2'!J628</f>
        <v>1.8851093865497992E-2</v>
      </c>
      <c r="R628" s="1">
        <f t="shared" si="37"/>
        <v>1007.2154999999993</v>
      </c>
      <c r="S628">
        <f t="shared" si="36"/>
        <v>1003.8595</v>
      </c>
      <c r="T628" s="1">
        <f t="shared" si="38"/>
        <v>807.79433446601854</v>
      </c>
      <c r="U628" s="1">
        <f t="shared" si="39"/>
        <v>663.85666553397994</v>
      </c>
    </row>
    <row r="629" spans="1:21" x14ac:dyDescent="0.3">
      <c r="A629" t="s">
        <v>359</v>
      </c>
      <c r="B629" t="s">
        <v>468</v>
      </c>
      <c r="C629" t="s">
        <v>576</v>
      </c>
      <c r="D629" t="s">
        <v>577</v>
      </c>
      <c r="E629" s="2">
        <v>239.904</v>
      </c>
      <c r="F629" s="2">
        <v>0</v>
      </c>
      <c r="G629" s="2">
        <v>49.48</v>
      </c>
      <c r="H629" s="2">
        <v>-51.350749999999998</v>
      </c>
      <c r="I629" s="1">
        <v>0.91249833266639901</v>
      </c>
      <c r="J629" s="1">
        <v>0.92809415432839804</v>
      </c>
      <c r="K629" s="1">
        <v>0.88554090139966402</v>
      </c>
      <c r="L629" s="1">
        <v>0.45505158559513298</v>
      </c>
      <c r="P629" s="1">
        <f>I629-'Passo 2'!I629</f>
        <v>9.1640822995865068E-2</v>
      </c>
      <c r="Q629" s="1">
        <f>J629-'Passo 2'!J629</f>
        <v>1.5235260770980474E-3</v>
      </c>
      <c r="R629" s="1">
        <f t="shared" si="37"/>
        <v>218.91199999999978</v>
      </c>
      <c r="S629">
        <f t="shared" si="36"/>
        <v>222.65350000000001</v>
      </c>
      <c r="T629" s="1">
        <f t="shared" si="38"/>
        <v>212.444804409385</v>
      </c>
      <c r="U629" s="1">
        <f t="shared" si="39"/>
        <v>109.16869559061477</v>
      </c>
    </row>
    <row r="630" spans="1:21" x14ac:dyDescent="0.3">
      <c r="A630" t="s">
        <v>359</v>
      </c>
      <c r="B630" t="s">
        <v>469</v>
      </c>
      <c r="C630" t="s">
        <v>574</v>
      </c>
      <c r="D630" t="s">
        <v>575</v>
      </c>
      <c r="E630" s="2">
        <v>181.35</v>
      </c>
      <c r="F630" s="2">
        <v>0</v>
      </c>
      <c r="G630" s="2">
        <v>31.766749999999998</v>
      </c>
      <c r="H630" s="2">
        <v>-31.52075</v>
      </c>
      <c r="I630" s="1">
        <v>0.85033636614281705</v>
      </c>
      <c r="J630" s="1">
        <v>0.84762338020402495</v>
      </c>
      <c r="K630" s="1">
        <v>0.70262937265724601</v>
      </c>
      <c r="L630" s="1">
        <v>0.49533037368959698</v>
      </c>
      <c r="P630" s="1">
        <f>I630-'Passo 2'!I630</f>
        <v>-1.2737799834579011E-3</v>
      </c>
      <c r="Q630" s="1">
        <f>J630-'Passo 2'!J630</f>
        <v>2.5723738626969306E-3</v>
      </c>
      <c r="R630" s="1">
        <f t="shared" si="37"/>
        <v>154.20849999999987</v>
      </c>
      <c r="S630">
        <f t="shared" si="36"/>
        <v>153.71649999999991</v>
      </c>
      <c r="T630" s="1">
        <f t="shared" si="38"/>
        <v>127.42183673139156</v>
      </c>
      <c r="U630" s="1">
        <f t="shared" si="39"/>
        <v>89.828163268608407</v>
      </c>
    </row>
    <row r="631" spans="1:21" x14ac:dyDescent="0.3">
      <c r="A631" t="s">
        <v>359</v>
      </c>
      <c r="B631" t="s">
        <v>470</v>
      </c>
      <c r="C631" t="s">
        <v>574</v>
      </c>
      <c r="D631" t="s">
        <v>575</v>
      </c>
      <c r="E631" s="2">
        <v>1385.96</v>
      </c>
      <c r="F631" s="2">
        <v>138.03700000000001</v>
      </c>
      <c r="G631" s="2">
        <v>304.8535</v>
      </c>
      <c r="H631" s="2">
        <v>-296.13425000000001</v>
      </c>
      <c r="I631" s="1">
        <v>0.89011840168547396</v>
      </c>
      <c r="J631" s="1">
        <v>0.87753614822938597</v>
      </c>
      <c r="K631" s="1">
        <v>0.74049706664131698</v>
      </c>
      <c r="L631" s="1">
        <v>0.57695581800181694</v>
      </c>
      <c r="P631" s="1">
        <f>I631-'Passo 2'!I631</f>
        <v>3.1033723916995992E-2</v>
      </c>
      <c r="Q631" s="1">
        <f>J631-'Passo 2'!J631</f>
        <v>1.5027129210078982E-2</v>
      </c>
      <c r="R631" s="1">
        <f t="shared" si="37"/>
        <v>1233.6684999999995</v>
      </c>
      <c r="S631">
        <f t="shared" si="36"/>
        <v>1216.2299999999998</v>
      </c>
      <c r="T631" s="1">
        <f t="shared" si="38"/>
        <v>1026.2993144821996</v>
      </c>
      <c r="U631" s="1">
        <f t="shared" si="39"/>
        <v>799.63768551779822</v>
      </c>
    </row>
    <row r="632" spans="1:21" x14ac:dyDescent="0.3">
      <c r="A632" t="s">
        <v>359</v>
      </c>
      <c r="B632" t="s">
        <v>471</v>
      </c>
      <c r="C632" t="s">
        <v>576</v>
      </c>
      <c r="D632" t="s">
        <v>577</v>
      </c>
      <c r="E632" s="2">
        <v>591.51300000000003</v>
      </c>
      <c r="F632" s="2">
        <v>0</v>
      </c>
      <c r="G632" s="2">
        <v>141.10724999999999</v>
      </c>
      <c r="H632" s="2">
        <v>-147.31675000000001</v>
      </c>
      <c r="I632" s="1">
        <v>0.97710616672837203</v>
      </c>
      <c r="J632" s="1">
        <v>0.99810147875025501</v>
      </c>
      <c r="K632" s="1">
        <v>0.67353572663425498</v>
      </c>
      <c r="L632" s="1">
        <v>0.80167191884437194</v>
      </c>
      <c r="P632" s="1">
        <f>I632-'Passo 2'!I632</f>
        <v>9.4934515386813079E-2</v>
      </c>
      <c r="Q632" s="1">
        <f>J632-'Passo 2'!J632</f>
        <v>1.5731691442115059E-2</v>
      </c>
      <c r="R632" s="1">
        <f t="shared" si="37"/>
        <v>577.97099999999955</v>
      </c>
      <c r="S632">
        <f t="shared" si="36"/>
        <v>590.38999999999965</v>
      </c>
      <c r="T632" s="1">
        <f t="shared" si="38"/>
        <v>398.40513826860808</v>
      </c>
      <c r="U632" s="1">
        <f t="shared" si="39"/>
        <v>474.19936173139104</v>
      </c>
    </row>
    <row r="633" spans="1:21" x14ac:dyDescent="0.3">
      <c r="A633" t="s">
        <v>359</v>
      </c>
      <c r="B633" t="s">
        <v>472</v>
      </c>
      <c r="C633" t="s">
        <v>574</v>
      </c>
      <c r="D633" t="s">
        <v>575</v>
      </c>
      <c r="E633" s="2">
        <v>196.00299999999999</v>
      </c>
      <c r="F633" s="2">
        <v>0</v>
      </c>
      <c r="G633" s="2">
        <v>41.354500000000002</v>
      </c>
      <c r="H633" s="2">
        <v>-45.411250000000003</v>
      </c>
      <c r="I633" s="1">
        <v>0.92197823502701404</v>
      </c>
      <c r="J633" s="1">
        <v>0.96337300959679195</v>
      </c>
      <c r="K633" s="1">
        <v>0.68430206644185299</v>
      </c>
      <c r="L633" s="1">
        <v>0.701049178181953</v>
      </c>
      <c r="P633" s="1">
        <f>I633-'Passo 2'!I633</f>
        <v>3.8086151742570129E-3</v>
      </c>
      <c r="Q633" s="1">
        <f>J633-'Passo 2'!J633</f>
        <v>-7.2167262745970184E-3</v>
      </c>
      <c r="R633" s="1">
        <f t="shared" si="37"/>
        <v>180.71049999999983</v>
      </c>
      <c r="S633">
        <f t="shared" si="36"/>
        <v>188.82400000000001</v>
      </c>
      <c r="T633" s="1">
        <f t="shared" si="38"/>
        <v>134.12525792880251</v>
      </c>
      <c r="U633" s="1">
        <f t="shared" si="39"/>
        <v>137.40774207119733</v>
      </c>
    </row>
    <row r="634" spans="1:21" x14ac:dyDescent="0.3">
      <c r="A634" t="s">
        <v>359</v>
      </c>
      <c r="B634" t="s">
        <v>473</v>
      </c>
      <c r="C634" t="s">
        <v>574</v>
      </c>
      <c r="D634" t="s">
        <v>575</v>
      </c>
      <c r="E634" s="2">
        <v>441.32100000000003</v>
      </c>
      <c r="F634" s="2">
        <v>69.507000000000005</v>
      </c>
      <c r="G634" s="2">
        <v>88.134249999999994</v>
      </c>
      <c r="H634" s="2">
        <v>-87.589250000000007</v>
      </c>
      <c r="I634" s="1">
        <v>0.82066228436897404</v>
      </c>
      <c r="J634" s="1">
        <v>0.81819242682763704</v>
      </c>
      <c r="K634" s="1">
        <v>0.60193580355459497</v>
      </c>
      <c r="L634" s="1">
        <v>0.61566770953451599</v>
      </c>
      <c r="P634" s="1">
        <f>I634-'Passo 2'!I634</f>
        <v>4.2138262171980023E-2</v>
      </c>
      <c r="Q634" s="1">
        <f>J634-'Passo 2'!J634</f>
        <v>3.222824202791108E-2</v>
      </c>
      <c r="R634" s="1">
        <f t="shared" si="37"/>
        <v>362.1755</v>
      </c>
      <c r="S634">
        <f t="shared" si="36"/>
        <v>361.08549999999963</v>
      </c>
      <c r="T634" s="1">
        <f t="shared" si="38"/>
        <v>265.64691076051741</v>
      </c>
      <c r="U634" s="1">
        <f t="shared" si="39"/>
        <v>271.70708923948217</v>
      </c>
    </row>
    <row r="635" spans="1:21" x14ac:dyDescent="0.3">
      <c r="A635" t="s">
        <v>359</v>
      </c>
      <c r="B635" t="s">
        <v>474</v>
      </c>
      <c r="C635" t="s">
        <v>576</v>
      </c>
      <c r="D635" t="s">
        <v>14</v>
      </c>
      <c r="E635" s="2">
        <v>0</v>
      </c>
      <c r="F635" s="2">
        <v>0</v>
      </c>
      <c r="G635" s="2">
        <v>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P635" s="1">
        <f>I635-'Passo 2'!I635</f>
        <v>0</v>
      </c>
      <c r="Q635" s="1">
        <f>J635-'Passo 2'!J635</f>
        <v>0</v>
      </c>
      <c r="R635" s="1">
        <f t="shared" si="37"/>
        <v>0</v>
      </c>
      <c r="S635">
        <f t="shared" si="36"/>
        <v>0</v>
      </c>
      <c r="T635" s="1">
        <f t="shared" si="38"/>
        <v>0</v>
      </c>
      <c r="U635" s="1">
        <f t="shared" si="39"/>
        <v>0</v>
      </c>
    </row>
    <row r="636" spans="1:21" x14ac:dyDescent="0.3">
      <c r="A636" t="s">
        <v>359</v>
      </c>
      <c r="B636" t="s">
        <v>475</v>
      </c>
      <c r="C636" t="s">
        <v>574</v>
      </c>
      <c r="D636" t="s">
        <v>575</v>
      </c>
      <c r="E636" s="2">
        <v>403.46899999999999</v>
      </c>
      <c r="F636" s="2">
        <v>1.2999999999999999E-2</v>
      </c>
      <c r="G636" s="2">
        <v>80.179000000000002</v>
      </c>
      <c r="H636" s="2">
        <v>-80.581249999999997</v>
      </c>
      <c r="I636" s="1">
        <v>0.89743202079961504</v>
      </c>
      <c r="J636" s="1">
        <v>0.89942597820402503</v>
      </c>
      <c r="K636" s="1">
        <v>0.68687889984064598</v>
      </c>
      <c r="L636" s="1">
        <v>0.60999520944656005</v>
      </c>
      <c r="P636" s="1">
        <f>I636-'Passo 2'!I636</f>
        <v>6.346212472334023E-3</v>
      </c>
      <c r="Q636" s="1">
        <f>J636-'Passo 2'!J636</f>
        <v>3.5120418173389956E-3</v>
      </c>
      <c r="R636" s="1">
        <f t="shared" si="37"/>
        <v>362.0859999999999</v>
      </c>
      <c r="S636">
        <f t="shared" si="36"/>
        <v>362.89049999999975</v>
      </c>
      <c r="T636" s="1">
        <f t="shared" si="38"/>
        <v>277.13434283980558</v>
      </c>
      <c r="U636" s="1">
        <f t="shared" si="39"/>
        <v>246.11415716019414</v>
      </c>
    </row>
    <row r="637" spans="1:21" x14ac:dyDescent="0.3">
      <c r="A637" t="s">
        <v>359</v>
      </c>
      <c r="B637" t="s">
        <v>764</v>
      </c>
      <c r="C637" t="s">
        <v>574</v>
      </c>
      <c r="D637" t="s">
        <v>575</v>
      </c>
      <c r="E637" s="2">
        <v>0</v>
      </c>
      <c r="F637" s="2">
        <v>0</v>
      </c>
      <c r="G637" s="2">
        <v>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P637" s="1">
        <f>I637-'Passo 2'!I637</f>
        <v>0</v>
      </c>
      <c r="Q637" s="1">
        <f>J637-'Passo 2'!J637</f>
        <v>0</v>
      </c>
      <c r="R637" s="1">
        <f t="shared" si="37"/>
        <v>0</v>
      </c>
      <c r="S637">
        <f t="shared" si="36"/>
        <v>0</v>
      </c>
      <c r="T637" s="1">
        <f t="shared" si="38"/>
        <v>0</v>
      </c>
      <c r="U637" s="1">
        <f t="shared" si="39"/>
        <v>0</v>
      </c>
    </row>
    <row r="638" spans="1:21" x14ac:dyDescent="0.3">
      <c r="A638" t="s">
        <v>359</v>
      </c>
      <c r="B638" t="s">
        <v>765</v>
      </c>
      <c r="C638" t="s">
        <v>574</v>
      </c>
      <c r="D638" t="s">
        <v>575</v>
      </c>
      <c r="E638" s="2">
        <v>374.04199999999997</v>
      </c>
      <c r="F638" s="2">
        <v>146.16</v>
      </c>
      <c r="G638" s="2">
        <v>33.767000000000003</v>
      </c>
      <c r="H638" s="2">
        <v>-28.076750000000001</v>
      </c>
      <c r="I638" s="1">
        <v>0.48517278808262099</v>
      </c>
      <c r="J638" s="1">
        <v>0.45474706049053298</v>
      </c>
      <c r="K638" s="1">
        <v>0.28893176166516998</v>
      </c>
      <c r="L638" s="1">
        <v>0.34636721545504501</v>
      </c>
      <c r="P638" s="1">
        <f>I638-'Passo 2'!I638</f>
        <v>4.2107570807498051E-4</v>
      </c>
      <c r="Q638" s="1">
        <f>J638-'Passo 2'!J638</f>
        <v>1.3795242245530082E-3</v>
      </c>
      <c r="R638" s="1">
        <f t="shared" si="37"/>
        <v>181.47499999999971</v>
      </c>
      <c r="S638">
        <f t="shared" si="36"/>
        <v>170.09449999999993</v>
      </c>
      <c r="T638" s="1">
        <f t="shared" si="38"/>
        <v>108.07261399676351</v>
      </c>
      <c r="U638" s="1">
        <f t="shared" si="39"/>
        <v>129.55588600323594</v>
      </c>
    </row>
    <row r="639" spans="1:21" x14ac:dyDescent="0.3">
      <c r="A639" t="s">
        <v>359</v>
      </c>
      <c r="B639" t="s">
        <v>476</v>
      </c>
      <c r="C639" t="s">
        <v>576</v>
      </c>
      <c r="D639" t="s">
        <v>577</v>
      </c>
      <c r="E639" s="2">
        <v>832.8</v>
      </c>
      <c r="F639" s="2">
        <v>0</v>
      </c>
      <c r="G639" s="2">
        <v>163.41999999999999</v>
      </c>
      <c r="H639" s="2">
        <v>-205.33999999999901</v>
      </c>
      <c r="I639" s="1">
        <v>0.89245917387127705</v>
      </c>
      <c r="J639" s="1">
        <v>0.99313160422670499</v>
      </c>
      <c r="K639" s="1">
        <v>0.78490368860389703</v>
      </c>
      <c r="L639" s="1">
        <v>0.600687089494085</v>
      </c>
      <c r="P639" s="1">
        <f>I639-'Passo 2'!I639</f>
        <v>8.6521373679155023E-2</v>
      </c>
      <c r="Q639" s="1">
        <f>J639-'Passo 2'!J639</f>
        <v>3.1718299711815945E-2</v>
      </c>
      <c r="R639" s="1">
        <f t="shared" si="37"/>
        <v>743.23999999999944</v>
      </c>
      <c r="S639">
        <f t="shared" si="36"/>
        <v>827.07999999999981</v>
      </c>
      <c r="T639" s="1">
        <f t="shared" si="38"/>
        <v>653.66779186932536</v>
      </c>
      <c r="U639" s="1">
        <f t="shared" si="39"/>
        <v>500.25220813067398</v>
      </c>
    </row>
    <row r="640" spans="1:21" x14ac:dyDescent="0.3">
      <c r="A640" t="s">
        <v>359</v>
      </c>
      <c r="B640" t="s">
        <v>477</v>
      </c>
      <c r="C640" t="s">
        <v>574</v>
      </c>
      <c r="D640" t="s">
        <v>575</v>
      </c>
      <c r="E640" s="2">
        <v>342.04300000000001</v>
      </c>
      <c r="F640" s="2">
        <v>0.12</v>
      </c>
      <c r="G640" s="2">
        <v>72.149249999999995</v>
      </c>
      <c r="H640" s="2">
        <v>-72.140749999999997</v>
      </c>
      <c r="I640" s="1">
        <v>0.92169697961952102</v>
      </c>
      <c r="J640" s="1">
        <v>0.92164727826618198</v>
      </c>
      <c r="K640" s="1">
        <v>0.75906709734265898</v>
      </c>
      <c r="L640" s="1">
        <v>0.58445257708423903</v>
      </c>
      <c r="P640" s="1">
        <f>I640-'Passo 2'!I640</f>
        <v>1.6614870060197018E-2</v>
      </c>
      <c r="Q640" s="1">
        <f>J640-'Passo 2'!J640</f>
        <v>7.4595884143219271E-3</v>
      </c>
      <c r="R640" s="1">
        <f t="shared" si="37"/>
        <v>315.25999999999982</v>
      </c>
      <c r="S640">
        <f t="shared" si="36"/>
        <v>315.24299999999971</v>
      </c>
      <c r="T640" s="1">
        <f t="shared" si="38"/>
        <v>259.6335871763751</v>
      </c>
      <c r="U640" s="1">
        <f t="shared" si="39"/>
        <v>199.90791282362437</v>
      </c>
    </row>
    <row r="641" spans="1:21" x14ac:dyDescent="0.3">
      <c r="A641" t="s">
        <v>359</v>
      </c>
      <c r="B641" t="s">
        <v>478</v>
      </c>
      <c r="C641" t="s">
        <v>576</v>
      </c>
      <c r="D641" t="s">
        <v>577</v>
      </c>
      <c r="E641" s="2">
        <v>390.65</v>
      </c>
      <c r="F641" s="2">
        <v>0</v>
      </c>
      <c r="G641" s="2">
        <v>97.103999999999999</v>
      </c>
      <c r="H641" s="2">
        <v>-97.662499999999994</v>
      </c>
      <c r="I641" s="1">
        <v>0.99714066299756798</v>
      </c>
      <c r="J641" s="1">
        <v>1</v>
      </c>
      <c r="K641" s="1">
        <v>0.97333481393760302</v>
      </c>
      <c r="L641" s="1">
        <v>0.52380584905996397</v>
      </c>
      <c r="P641" s="1">
        <f>I641-'Passo 2'!I641</f>
        <v>2.2215538205554997E-2</v>
      </c>
      <c r="Q641" s="1">
        <f>J641-'Passo 2'!J641</f>
        <v>0</v>
      </c>
      <c r="R641" s="1">
        <f t="shared" si="37"/>
        <v>389.5329999999999</v>
      </c>
      <c r="S641">
        <f t="shared" si="36"/>
        <v>390.65</v>
      </c>
      <c r="T641" s="1">
        <f t="shared" si="38"/>
        <v>380.2332450647246</v>
      </c>
      <c r="U641" s="1">
        <f t="shared" si="39"/>
        <v>204.62475493527492</v>
      </c>
    </row>
    <row r="642" spans="1:21" x14ac:dyDescent="0.3">
      <c r="A642" t="s">
        <v>359</v>
      </c>
      <c r="B642" t="s">
        <v>479</v>
      </c>
      <c r="C642" t="s">
        <v>574</v>
      </c>
      <c r="D642" t="s">
        <v>575</v>
      </c>
      <c r="E642" s="2">
        <v>511.19600000000003</v>
      </c>
      <c r="F642" s="2">
        <v>0</v>
      </c>
      <c r="G642" s="2">
        <v>127.07250000000001</v>
      </c>
      <c r="H642" s="2">
        <v>-117.935999999999</v>
      </c>
      <c r="I642" s="1">
        <v>0.99715764599097001</v>
      </c>
      <c r="J642" s="1">
        <v>0.96141206112723798</v>
      </c>
      <c r="K642" s="1">
        <v>0.77955850357690204</v>
      </c>
      <c r="L642" s="1">
        <v>0.67901120354130595</v>
      </c>
      <c r="P642" s="1">
        <f>I642-'Passo 2'!I642</f>
        <v>3.006381114093204E-2</v>
      </c>
      <c r="Q642" s="1">
        <f>J642-'Passo 2'!J642</f>
        <v>2.5381654003551968E-2</v>
      </c>
      <c r="R642" s="1">
        <f t="shared" si="37"/>
        <v>509.74299999999994</v>
      </c>
      <c r="S642">
        <f t="shared" ref="S642:S705" si="40">J642*E642</f>
        <v>491.46999999999957</v>
      </c>
      <c r="T642" s="1">
        <f t="shared" si="38"/>
        <v>398.50718879449806</v>
      </c>
      <c r="U642" s="1">
        <f t="shared" si="39"/>
        <v>347.10781120550143</v>
      </c>
    </row>
    <row r="643" spans="1:21" x14ac:dyDescent="0.3">
      <c r="A643" t="s">
        <v>359</v>
      </c>
      <c r="B643" t="s">
        <v>766</v>
      </c>
      <c r="C643" t="s">
        <v>576</v>
      </c>
      <c r="D643" t="s">
        <v>14</v>
      </c>
      <c r="E643" s="2">
        <v>50.976999999999997</v>
      </c>
      <c r="F643" s="2">
        <v>0</v>
      </c>
      <c r="G643" s="2">
        <v>12.68425</v>
      </c>
      <c r="H643" s="2">
        <v>-12.67375</v>
      </c>
      <c r="I643" s="1">
        <v>0.99764599721443004</v>
      </c>
      <c r="J643" s="1">
        <v>0.99723404672695504</v>
      </c>
      <c r="K643" s="1">
        <v>0.83660564400101001</v>
      </c>
      <c r="L643" s="1">
        <v>0.65827439994037495</v>
      </c>
      <c r="P643" s="1">
        <f>I643-'Passo 2'!I643</f>
        <v>2.5501696843699406E-4</v>
      </c>
      <c r="Q643" s="1">
        <f>J643-'Passo 2'!J643</f>
        <v>0</v>
      </c>
      <c r="R643" s="1">
        <f t="shared" ref="R643:R706" si="41">I643*E643</f>
        <v>50.856999999999999</v>
      </c>
      <c r="S643">
        <f t="shared" si="40"/>
        <v>50.835999999999984</v>
      </c>
      <c r="T643" s="1">
        <f t="shared" ref="T643:T706" si="42">K643*E643</f>
        <v>42.647645914239483</v>
      </c>
      <c r="U643" s="1">
        <f t="shared" ref="U643:U706" si="43">L643*E643</f>
        <v>33.556854085760492</v>
      </c>
    </row>
    <row r="644" spans="1:21" x14ac:dyDescent="0.3">
      <c r="A644" t="s">
        <v>359</v>
      </c>
      <c r="B644" t="s">
        <v>480</v>
      </c>
      <c r="C644" t="s">
        <v>574</v>
      </c>
      <c r="D644" t="s">
        <v>575</v>
      </c>
      <c r="E644" s="2">
        <v>42.000999999999998</v>
      </c>
      <c r="F644" s="2">
        <v>0</v>
      </c>
      <c r="G644" s="2">
        <v>10.043749999999999</v>
      </c>
      <c r="H644" s="2">
        <v>-7.41624999999999</v>
      </c>
      <c r="I644" s="1">
        <v>0.97826242232327798</v>
      </c>
      <c r="J644" s="1">
        <v>0.85314635365824598</v>
      </c>
      <c r="K644" s="1">
        <v>0.74857228896306904</v>
      </c>
      <c r="L644" s="1">
        <v>0.58283648701845503</v>
      </c>
      <c r="P644" s="1">
        <f>I644-'Passo 2'!I644</f>
        <v>0</v>
      </c>
      <c r="Q644" s="1">
        <f>J644-'Passo 2'!J644</f>
        <v>1.9035261065213027E-2</v>
      </c>
      <c r="R644" s="1">
        <f t="shared" si="41"/>
        <v>41.087999999999994</v>
      </c>
      <c r="S644">
        <f t="shared" si="40"/>
        <v>35.832999999999984</v>
      </c>
      <c r="T644" s="1">
        <f t="shared" si="42"/>
        <v>31.440784708737862</v>
      </c>
      <c r="U644" s="1">
        <f t="shared" si="43"/>
        <v>24.479715291262128</v>
      </c>
    </row>
    <row r="645" spans="1:21" x14ac:dyDescent="0.3">
      <c r="A645" t="s">
        <v>359</v>
      </c>
      <c r="B645" t="s">
        <v>481</v>
      </c>
      <c r="C645" t="s">
        <v>576</v>
      </c>
      <c r="D645" t="s">
        <v>14</v>
      </c>
      <c r="E645" s="2">
        <v>0</v>
      </c>
      <c r="F645" s="2">
        <v>0</v>
      </c>
      <c r="G645" s="2">
        <v>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P645" s="1">
        <f>I645-'Passo 2'!I645</f>
        <v>0</v>
      </c>
      <c r="Q645" s="1">
        <f>J645-'Passo 2'!J645</f>
        <v>0</v>
      </c>
      <c r="R645" s="1">
        <f t="shared" si="41"/>
        <v>0</v>
      </c>
      <c r="S645">
        <f t="shared" si="40"/>
        <v>0</v>
      </c>
      <c r="T645" s="1">
        <f t="shared" si="42"/>
        <v>0</v>
      </c>
      <c r="U645" s="1">
        <f t="shared" si="43"/>
        <v>0</v>
      </c>
    </row>
    <row r="646" spans="1:21" x14ac:dyDescent="0.3">
      <c r="A646" t="s">
        <v>359</v>
      </c>
      <c r="B646" t="s">
        <v>482</v>
      </c>
      <c r="C646" t="s">
        <v>34</v>
      </c>
      <c r="D646" t="s">
        <v>35</v>
      </c>
      <c r="E646" s="2">
        <v>358.98599999999999</v>
      </c>
      <c r="F646" s="2">
        <v>0</v>
      </c>
      <c r="G646" s="2">
        <v>75.390249999999995</v>
      </c>
      <c r="H646" s="2">
        <v>-74.366249999999994</v>
      </c>
      <c r="I646" s="1">
        <v>0.92001777228081305</v>
      </c>
      <c r="J646" s="1">
        <v>0.91431281442730294</v>
      </c>
      <c r="K646" s="1">
        <v>0.81979884263454905</v>
      </c>
      <c r="L646" s="1">
        <v>0.51453174407356606</v>
      </c>
      <c r="P646" s="1">
        <f>I646-'Passo 2'!I646</f>
        <v>4.6085362660382101E-2</v>
      </c>
      <c r="Q646" s="1">
        <f>J646-'Passo 2'!J646</f>
        <v>5.7211144724306995E-2</v>
      </c>
      <c r="R646" s="1">
        <f t="shared" si="41"/>
        <v>330.27349999999996</v>
      </c>
      <c r="S646">
        <f t="shared" si="40"/>
        <v>328.22549999999978</v>
      </c>
      <c r="T646" s="1">
        <f t="shared" si="42"/>
        <v>294.29630732200621</v>
      </c>
      <c r="U646" s="1">
        <f t="shared" si="43"/>
        <v>184.70969267799319</v>
      </c>
    </row>
    <row r="647" spans="1:21" x14ac:dyDescent="0.3">
      <c r="A647" t="s">
        <v>359</v>
      </c>
      <c r="B647" t="s">
        <v>483</v>
      </c>
      <c r="C647" t="s">
        <v>574</v>
      </c>
      <c r="D647" t="s">
        <v>575</v>
      </c>
      <c r="E647" s="2">
        <v>55.575000000000003</v>
      </c>
      <c r="F647" s="2">
        <v>0</v>
      </c>
      <c r="G647" s="2">
        <v>9.1437500000000007</v>
      </c>
      <c r="H647" s="2">
        <v>-9.1437500000000007</v>
      </c>
      <c r="I647" s="1">
        <v>0.829059829059829</v>
      </c>
      <c r="J647" s="1">
        <v>0.829059829059829</v>
      </c>
      <c r="K647" s="1">
        <v>0.72588742144133001</v>
      </c>
      <c r="L647" s="1">
        <v>0.432232236678327</v>
      </c>
      <c r="P647" s="1">
        <f>I647-'Passo 2'!I647</f>
        <v>0</v>
      </c>
      <c r="Q647" s="1">
        <f>J647-'Passo 2'!J647</f>
        <v>0</v>
      </c>
      <c r="R647" s="1">
        <f t="shared" si="41"/>
        <v>46.074999999999996</v>
      </c>
      <c r="S647">
        <f t="shared" si="40"/>
        <v>46.074999999999996</v>
      </c>
      <c r="T647" s="1">
        <f t="shared" si="42"/>
        <v>40.34119344660192</v>
      </c>
      <c r="U647" s="1">
        <f t="shared" si="43"/>
        <v>24.021306553398023</v>
      </c>
    </row>
    <row r="648" spans="1:21" x14ac:dyDescent="0.3">
      <c r="A648" t="s">
        <v>359</v>
      </c>
      <c r="B648" t="s">
        <v>484</v>
      </c>
      <c r="C648" t="s">
        <v>34</v>
      </c>
      <c r="D648" t="s">
        <v>35</v>
      </c>
      <c r="E648" s="2">
        <v>65.403999999999996</v>
      </c>
      <c r="F648" s="2">
        <v>0</v>
      </c>
      <c r="G648" s="2">
        <v>13.48625</v>
      </c>
      <c r="H648" s="2">
        <v>-13.66525</v>
      </c>
      <c r="I648" s="1">
        <v>0.91239832426151302</v>
      </c>
      <c r="J648" s="1">
        <v>0.91787199559659904</v>
      </c>
      <c r="K648" s="1">
        <v>0.84231840129726898</v>
      </c>
      <c r="L648" s="1">
        <v>0.48795191856084302</v>
      </c>
      <c r="P648" s="1">
        <f>I648-'Passo 2'!I648</f>
        <v>0.16749740077059505</v>
      </c>
      <c r="Q648" s="1">
        <f>J648-'Passo 2'!J648</f>
        <v>0.14976912727050307</v>
      </c>
      <c r="R648" s="1">
        <f t="shared" si="41"/>
        <v>59.674499999999995</v>
      </c>
      <c r="S648">
        <f t="shared" si="40"/>
        <v>60.032499999999963</v>
      </c>
      <c r="T648" s="1">
        <f t="shared" si="42"/>
        <v>55.090992718446579</v>
      </c>
      <c r="U648" s="1">
        <f t="shared" si="43"/>
        <v>31.914007281553374</v>
      </c>
    </row>
    <row r="649" spans="1:21" x14ac:dyDescent="0.3">
      <c r="A649" t="s">
        <v>359</v>
      </c>
      <c r="B649" t="s">
        <v>485</v>
      </c>
      <c r="C649" t="s">
        <v>574</v>
      </c>
      <c r="D649" t="s">
        <v>575</v>
      </c>
      <c r="E649" s="2">
        <v>1446.45</v>
      </c>
      <c r="F649" s="2">
        <v>3.6999999999999998E-2</v>
      </c>
      <c r="G649" s="2">
        <v>343.36250000000001</v>
      </c>
      <c r="H649" s="2">
        <v>-343.61250000000001</v>
      </c>
      <c r="I649" s="1">
        <v>0.97475301600470099</v>
      </c>
      <c r="J649" s="1">
        <v>0.97509868989595205</v>
      </c>
      <c r="K649" s="1">
        <v>0.95353774507188105</v>
      </c>
      <c r="L649" s="1">
        <v>0.49632675076274702</v>
      </c>
      <c r="P649" s="1">
        <f>I649-'Passo 2'!I649</f>
        <v>-3.4567389125106374E-4</v>
      </c>
      <c r="Q649" s="1">
        <f>J649-'Passo 2'!J649</f>
        <v>0</v>
      </c>
      <c r="R649" s="1">
        <f t="shared" si="41"/>
        <v>1409.9314999999997</v>
      </c>
      <c r="S649">
        <f t="shared" si="40"/>
        <v>1410.4314999999999</v>
      </c>
      <c r="T649" s="1">
        <f t="shared" si="42"/>
        <v>1379.2446713592224</v>
      </c>
      <c r="U649" s="1">
        <f t="shared" si="43"/>
        <v>717.91182864077541</v>
      </c>
    </row>
    <row r="650" spans="1:21" x14ac:dyDescent="0.3">
      <c r="A650" t="s">
        <v>359</v>
      </c>
      <c r="B650" t="s">
        <v>486</v>
      </c>
      <c r="C650" t="s">
        <v>34</v>
      </c>
      <c r="D650" t="s">
        <v>35</v>
      </c>
      <c r="E650" s="2">
        <v>744.702</v>
      </c>
      <c r="F650" s="2">
        <v>0</v>
      </c>
      <c r="G650" s="2">
        <v>153.8655</v>
      </c>
      <c r="H650" s="2">
        <v>-148.91925000000001</v>
      </c>
      <c r="I650" s="1">
        <v>0.91322703578075504</v>
      </c>
      <c r="J650" s="1">
        <v>0.89994319875601203</v>
      </c>
      <c r="K650" s="1">
        <v>0.82618877664442902</v>
      </c>
      <c r="L650" s="1">
        <v>0.48698145789233699</v>
      </c>
      <c r="P650" s="1">
        <f>I650-'Passo 2'!I650</f>
        <v>0.177713367226085</v>
      </c>
      <c r="Q650" s="1">
        <f>J650-'Passo 2'!J650</f>
        <v>6.7262475459982984E-2</v>
      </c>
      <c r="R650" s="1">
        <f t="shared" si="41"/>
        <v>680.08199999999988</v>
      </c>
      <c r="S650">
        <f t="shared" si="40"/>
        <v>670.18949999999973</v>
      </c>
      <c r="T650" s="1">
        <f t="shared" si="42"/>
        <v>615.26443434465955</v>
      </c>
      <c r="U650" s="1">
        <f t="shared" si="43"/>
        <v>362.65606565533915</v>
      </c>
    </row>
    <row r="651" spans="1:21" x14ac:dyDescent="0.3">
      <c r="A651" t="s">
        <v>359</v>
      </c>
      <c r="B651" t="s">
        <v>487</v>
      </c>
      <c r="C651" t="s">
        <v>574</v>
      </c>
      <c r="D651" t="s">
        <v>575</v>
      </c>
      <c r="E651" s="2">
        <v>207</v>
      </c>
      <c r="F651" s="2">
        <v>0</v>
      </c>
      <c r="G651" s="2">
        <v>49.75</v>
      </c>
      <c r="H651" s="2">
        <v>-50.75</v>
      </c>
      <c r="I651" s="1">
        <v>0.98067632850241504</v>
      </c>
      <c r="J651" s="1">
        <v>0.99033816425120702</v>
      </c>
      <c r="K651" s="1">
        <v>0.71777696891171405</v>
      </c>
      <c r="L651" s="1">
        <v>0.75323752384190801</v>
      </c>
      <c r="P651" s="1">
        <f>I651-'Passo 2'!I651</f>
        <v>-1.2077294685989282E-3</v>
      </c>
      <c r="Q651" s="1">
        <f>J651-'Passo 2'!J651</f>
        <v>6.0386473429949739E-3</v>
      </c>
      <c r="R651" s="1">
        <f t="shared" si="41"/>
        <v>202.99999999999991</v>
      </c>
      <c r="S651">
        <f t="shared" si="40"/>
        <v>204.99999999999986</v>
      </c>
      <c r="T651" s="1">
        <f t="shared" si="42"/>
        <v>148.5798325647248</v>
      </c>
      <c r="U651" s="1">
        <f t="shared" si="43"/>
        <v>155.92016743527495</v>
      </c>
    </row>
    <row r="652" spans="1:21" x14ac:dyDescent="0.3">
      <c r="A652" t="s">
        <v>359</v>
      </c>
      <c r="B652" t="s">
        <v>488</v>
      </c>
      <c r="C652" t="s">
        <v>576</v>
      </c>
      <c r="D652" t="s">
        <v>591</v>
      </c>
      <c r="E652" s="2">
        <v>262</v>
      </c>
      <c r="F652" s="2">
        <v>0</v>
      </c>
      <c r="G652" s="2">
        <v>34</v>
      </c>
      <c r="H652" s="2">
        <v>-33.75</v>
      </c>
      <c r="I652" s="1">
        <v>0.75954198473282397</v>
      </c>
      <c r="J652" s="1">
        <v>0.757633587786259</v>
      </c>
      <c r="K652" s="1">
        <v>0.48439154963067199</v>
      </c>
      <c r="L652" s="1">
        <v>0.53278402288841098</v>
      </c>
      <c r="P652" s="1">
        <f>I652-'Passo 2'!I652</f>
        <v>0</v>
      </c>
      <c r="Q652" s="1">
        <f>J652-'Passo 2'!J652</f>
        <v>0</v>
      </c>
      <c r="R652" s="1">
        <f t="shared" si="41"/>
        <v>198.99999999999989</v>
      </c>
      <c r="S652">
        <f t="shared" si="40"/>
        <v>198.49999999999986</v>
      </c>
      <c r="T652" s="1">
        <f t="shared" si="42"/>
        <v>126.91058600323606</v>
      </c>
      <c r="U652" s="1">
        <f t="shared" si="43"/>
        <v>139.58941399676368</v>
      </c>
    </row>
    <row r="653" spans="1:21" x14ac:dyDescent="0.3">
      <c r="A653" t="s">
        <v>359</v>
      </c>
      <c r="B653" t="s">
        <v>489</v>
      </c>
      <c r="C653" t="s">
        <v>34</v>
      </c>
      <c r="D653" t="s">
        <v>35</v>
      </c>
      <c r="E653" s="2">
        <v>1516.1849999999999</v>
      </c>
      <c r="F653" s="2">
        <v>0</v>
      </c>
      <c r="G653" s="2">
        <v>322.38274999999999</v>
      </c>
      <c r="H653" s="2">
        <v>-290.38900000000001</v>
      </c>
      <c r="I653" s="1">
        <v>0.92525516345300796</v>
      </c>
      <c r="J653" s="1">
        <v>0.88305220009431495</v>
      </c>
      <c r="K653" s="1">
        <v>0.83356425637169895</v>
      </c>
      <c r="L653" s="1">
        <v>0.47474310717562401</v>
      </c>
      <c r="P653" s="1">
        <f>I653-'Passo 2'!I653</f>
        <v>0.18803905855815695</v>
      </c>
      <c r="Q653" s="1">
        <f>J653-'Passo 2'!J653</f>
        <v>0.11709850710830094</v>
      </c>
      <c r="R653" s="1">
        <f t="shared" si="41"/>
        <v>1402.8579999999988</v>
      </c>
      <c r="S653">
        <f t="shared" si="40"/>
        <v>1338.8704999999989</v>
      </c>
      <c r="T653" s="1">
        <f t="shared" si="42"/>
        <v>1263.8376220469243</v>
      </c>
      <c r="U653" s="1">
        <f t="shared" si="43"/>
        <v>719.79837795307344</v>
      </c>
    </row>
    <row r="654" spans="1:21" x14ac:dyDescent="0.3">
      <c r="A654" t="s">
        <v>359</v>
      </c>
      <c r="B654" t="s">
        <v>490</v>
      </c>
      <c r="C654" t="s">
        <v>574</v>
      </c>
      <c r="D654" t="s">
        <v>575</v>
      </c>
      <c r="E654" s="2">
        <v>141</v>
      </c>
      <c r="F654" s="2">
        <v>8.0180000000000007</v>
      </c>
      <c r="G654" s="2">
        <v>14.918749999999999</v>
      </c>
      <c r="H654" s="2">
        <v>-15.168749999999999</v>
      </c>
      <c r="I654" s="1">
        <v>0.68318085106382898</v>
      </c>
      <c r="J654" s="1">
        <v>0.68672695035460896</v>
      </c>
      <c r="K654" s="1">
        <v>0.45206492202024301</v>
      </c>
      <c r="L654" s="1">
        <v>0.446275503511671</v>
      </c>
      <c r="P654" s="1">
        <f>I654-'Passo 2'!I654</f>
        <v>-3.5460992907799804E-3</v>
      </c>
      <c r="Q654" s="1">
        <f>J654-'Passo 2'!J654</f>
        <v>0</v>
      </c>
      <c r="R654" s="1">
        <f t="shared" si="41"/>
        <v>96.328499999999892</v>
      </c>
      <c r="S654">
        <f t="shared" si="40"/>
        <v>96.828499999999863</v>
      </c>
      <c r="T654" s="1">
        <f t="shared" si="42"/>
        <v>63.741154004854266</v>
      </c>
      <c r="U654" s="1">
        <f t="shared" si="43"/>
        <v>62.92484599514561</v>
      </c>
    </row>
    <row r="655" spans="1:21" x14ac:dyDescent="0.3">
      <c r="A655" t="s">
        <v>359</v>
      </c>
      <c r="B655" t="s">
        <v>491</v>
      </c>
      <c r="C655" t="s">
        <v>576</v>
      </c>
      <c r="D655" t="s">
        <v>591</v>
      </c>
      <c r="E655" s="2">
        <v>1644.9880000000001</v>
      </c>
      <c r="F655" s="2">
        <v>0</v>
      </c>
      <c r="G655" s="2">
        <v>410.74700000000001</v>
      </c>
      <c r="H655" s="2">
        <v>-410.74700000000001</v>
      </c>
      <c r="I655" s="1">
        <v>0.99939209282985597</v>
      </c>
      <c r="J655" s="1">
        <v>0.99939209282985597</v>
      </c>
      <c r="K655" s="1">
        <v>0.98552514005315495</v>
      </c>
      <c r="L655" s="1">
        <v>0.513259045606557</v>
      </c>
      <c r="P655" s="1">
        <f>I655-'Passo 2'!I655</f>
        <v>0</v>
      </c>
      <c r="Q655" s="1">
        <f>J655-'Passo 2'!J655</f>
        <v>0</v>
      </c>
      <c r="R655" s="1">
        <f t="shared" si="41"/>
        <v>1643.9879999999991</v>
      </c>
      <c r="S655">
        <f t="shared" si="40"/>
        <v>1643.9879999999991</v>
      </c>
      <c r="T655" s="1">
        <f t="shared" si="42"/>
        <v>1621.1770290857594</v>
      </c>
      <c r="U655" s="1">
        <f t="shared" si="43"/>
        <v>844.30497091423899</v>
      </c>
    </row>
    <row r="656" spans="1:21" x14ac:dyDescent="0.3">
      <c r="A656" t="s">
        <v>359</v>
      </c>
      <c r="B656" t="s">
        <v>492</v>
      </c>
      <c r="C656" t="s">
        <v>574</v>
      </c>
      <c r="D656" t="s">
        <v>575</v>
      </c>
      <c r="E656" s="2">
        <v>46</v>
      </c>
      <c r="F656" s="2">
        <v>0</v>
      </c>
      <c r="G656" s="2">
        <v>5.2457499999999904</v>
      </c>
      <c r="H656" s="2">
        <v>-3.5</v>
      </c>
      <c r="I656" s="1">
        <v>0.72807608695652104</v>
      </c>
      <c r="J656" s="1">
        <v>0.65217391304347805</v>
      </c>
      <c r="K656" s="1">
        <v>0.52579470856198096</v>
      </c>
      <c r="L656" s="1">
        <v>0.35445529143801802</v>
      </c>
      <c r="P656" s="1">
        <f>I656-'Passo 2'!I656</f>
        <v>0</v>
      </c>
      <c r="Q656" s="1">
        <f>J656-'Passo 2'!J656</f>
        <v>5.5543478260871026E-3</v>
      </c>
      <c r="R656" s="1">
        <f t="shared" si="41"/>
        <v>33.491499999999967</v>
      </c>
      <c r="S656">
        <f t="shared" si="40"/>
        <v>29.999999999999989</v>
      </c>
      <c r="T656" s="1">
        <f t="shared" si="42"/>
        <v>24.186556593851122</v>
      </c>
      <c r="U656" s="1">
        <f t="shared" si="43"/>
        <v>16.30494340614883</v>
      </c>
    </row>
    <row r="657" spans="1:21" x14ac:dyDescent="0.3">
      <c r="A657" t="s">
        <v>359</v>
      </c>
      <c r="B657" t="s">
        <v>493</v>
      </c>
      <c r="C657" t="s">
        <v>34</v>
      </c>
      <c r="D657" t="s">
        <v>35</v>
      </c>
      <c r="E657" s="2">
        <v>74</v>
      </c>
      <c r="F657" s="2">
        <v>0</v>
      </c>
      <c r="G657" s="2">
        <v>17.25</v>
      </c>
      <c r="H657" s="2">
        <v>-16.501999999999999</v>
      </c>
      <c r="I657" s="1">
        <v>0.96621621621621601</v>
      </c>
      <c r="J657" s="1">
        <v>0.94599999999999895</v>
      </c>
      <c r="K657" s="1">
        <v>0.83547232244380298</v>
      </c>
      <c r="L657" s="1">
        <v>0.57674389377241297</v>
      </c>
      <c r="P657" s="1">
        <f>I657-'Passo 2'!I657</f>
        <v>8.108108108108103E-2</v>
      </c>
      <c r="Q657" s="1">
        <f>J657-'Passo 2'!J657</f>
        <v>0.11491891891891792</v>
      </c>
      <c r="R657" s="1">
        <f t="shared" si="41"/>
        <v>71.499999999999986</v>
      </c>
      <c r="S657">
        <f t="shared" si="40"/>
        <v>70.00399999999992</v>
      </c>
      <c r="T657" s="1">
        <f t="shared" si="42"/>
        <v>61.824951860841423</v>
      </c>
      <c r="U657" s="1">
        <f t="shared" si="43"/>
        <v>42.67904813915856</v>
      </c>
    </row>
    <row r="658" spans="1:21" x14ac:dyDescent="0.3">
      <c r="A658" t="s">
        <v>359</v>
      </c>
      <c r="B658" t="s">
        <v>494</v>
      </c>
      <c r="C658" t="s">
        <v>34</v>
      </c>
      <c r="D658" t="s">
        <v>35</v>
      </c>
      <c r="E658" s="2">
        <v>3547.491</v>
      </c>
      <c r="F658" s="2">
        <v>0</v>
      </c>
      <c r="G658" s="2">
        <v>715.46299999999997</v>
      </c>
      <c r="H658" s="2">
        <v>-715.66750000000002</v>
      </c>
      <c r="I658" s="1">
        <v>0.90336282741802498</v>
      </c>
      <c r="J658" s="1">
        <v>0.90347812017000095</v>
      </c>
      <c r="K658" s="1">
        <v>0.80043299664439704</v>
      </c>
      <c r="L658" s="1">
        <v>0.50640795094363</v>
      </c>
      <c r="P658" s="1">
        <f>I658-'Passo 2'!I658</f>
        <v>0.16355319858457695</v>
      </c>
      <c r="Q658" s="1">
        <f>J658-'Passo 2'!J658</f>
        <v>7.3616677251611917E-2</v>
      </c>
      <c r="R658" s="1">
        <f t="shared" si="41"/>
        <v>3204.6714999999967</v>
      </c>
      <c r="S658">
        <f t="shared" si="40"/>
        <v>3205.0804999999968</v>
      </c>
      <c r="T658" s="1">
        <f t="shared" si="42"/>
        <v>2839.5288516990286</v>
      </c>
      <c r="U658" s="1">
        <f t="shared" si="43"/>
        <v>1796.4776483009689</v>
      </c>
    </row>
    <row r="659" spans="1:21" x14ac:dyDescent="0.3">
      <c r="A659" t="s">
        <v>359</v>
      </c>
      <c r="B659" t="s">
        <v>495</v>
      </c>
      <c r="C659" t="s">
        <v>574</v>
      </c>
      <c r="D659" t="s">
        <v>575</v>
      </c>
      <c r="E659" s="2">
        <v>681</v>
      </c>
      <c r="F659" s="2">
        <v>6.1189999999999998</v>
      </c>
      <c r="G659" s="2">
        <v>59.209499999999998</v>
      </c>
      <c r="H659" s="2">
        <v>-61.334499999999998</v>
      </c>
      <c r="I659" s="1">
        <v>0.66939720998531504</v>
      </c>
      <c r="J659" s="1">
        <v>0.67563803230543296</v>
      </c>
      <c r="K659" s="1">
        <v>0.40816674216719101</v>
      </c>
      <c r="L659" s="1">
        <v>0.44136115797965098</v>
      </c>
      <c r="P659" s="1">
        <f>I659-'Passo 2'!I659</f>
        <v>-2.2026431718059625E-3</v>
      </c>
      <c r="Q659" s="1">
        <f>J659-'Passo 2'!J659</f>
        <v>2.5697503671069377E-3</v>
      </c>
      <c r="R659" s="1">
        <f t="shared" si="41"/>
        <v>455.85949999999957</v>
      </c>
      <c r="S659">
        <f t="shared" si="40"/>
        <v>460.10949999999985</v>
      </c>
      <c r="T659" s="1">
        <f t="shared" si="42"/>
        <v>277.96155141585706</v>
      </c>
      <c r="U659" s="1">
        <f t="shared" si="43"/>
        <v>300.56694858414232</v>
      </c>
    </row>
    <row r="660" spans="1:21" x14ac:dyDescent="0.3">
      <c r="A660" t="s">
        <v>359</v>
      </c>
      <c r="B660" t="s">
        <v>496</v>
      </c>
      <c r="C660" t="s">
        <v>576</v>
      </c>
      <c r="D660" t="s">
        <v>591</v>
      </c>
      <c r="E660" s="2">
        <v>422</v>
      </c>
      <c r="F660" s="2">
        <v>0</v>
      </c>
      <c r="G660" s="2">
        <v>94.667000000000002</v>
      </c>
      <c r="H660" s="2">
        <v>-98.667000000000002</v>
      </c>
      <c r="I660" s="1">
        <v>0.94865876777251101</v>
      </c>
      <c r="J660" s="1">
        <v>0.96761611374407497</v>
      </c>
      <c r="K660" s="1">
        <v>0.67869689709581404</v>
      </c>
      <c r="L660" s="1">
        <v>0.73757798442077305</v>
      </c>
      <c r="P660" s="1">
        <f>I660-'Passo 2'!I660</f>
        <v>0</v>
      </c>
      <c r="Q660" s="1">
        <f>J660-'Passo 2'!J660</f>
        <v>-1.1848341232230108E-3</v>
      </c>
      <c r="R660" s="1">
        <f t="shared" si="41"/>
        <v>400.33399999999966</v>
      </c>
      <c r="S660">
        <f t="shared" si="40"/>
        <v>408.33399999999966</v>
      </c>
      <c r="T660" s="1">
        <f t="shared" si="42"/>
        <v>286.41009057443353</v>
      </c>
      <c r="U660" s="1">
        <f t="shared" si="43"/>
        <v>311.25790942556625</v>
      </c>
    </row>
    <row r="661" spans="1:21" x14ac:dyDescent="0.3">
      <c r="A661" t="s">
        <v>359</v>
      </c>
      <c r="B661" t="s">
        <v>497</v>
      </c>
      <c r="C661" t="s">
        <v>574</v>
      </c>
      <c r="D661" t="s">
        <v>575</v>
      </c>
      <c r="E661" s="2">
        <v>35.438000000000002</v>
      </c>
      <c r="F661" s="2">
        <v>8.0000000000000002E-3</v>
      </c>
      <c r="G661" s="2">
        <v>3.6095000000000002</v>
      </c>
      <c r="H661" s="2">
        <v>-3.6095000000000002</v>
      </c>
      <c r="I661" s="1">
        <v>0.703595011005135</v>
      </c>
      <c r="J661" s="1">
        <v>0.703595011005135</v>
      </c>
      <c r="K661" s="1">
        <v>0.42771611037353902</v>
      </c>
      <c r="L661" s="1">
        <v>0.47958678482370598</v>
      </c>
      <c r="P661" s="1">
        <f>I661-'Passo 2'!I661</f>
        <v>0</v>
      </c>
      <c r="Q661" s="1">
        <f>J661-'Passo 2'!J661</f>
        <v>0</v>
      </c>
      <c r="R661" s="1">
        <f t="shared" si="41"/>
        <v>24.933999999999976</v>
      </c>
      <c r="S661">
        <f t="shared" si="40"/>
        <v>24.933999999999976</v>
      </c>
      <c r="T661" s="1">
        <f t="shared" si="42"/>
        <v>15.157403519417477</v>
      </c>
      <c r="U661" s="1">
        <f t="shared" si="43"/>
        <v>16.995596480582492</v>
      </c>
    </row>
    <row r="662" spans="1:21" x14ac:dyDescent="0.3">
      <c r="A662" t="s">
        <v>359</v>
      </c>
      <c r="B662" t="s">
        <v>498</v>
      </c>
      <c r="C662" t="s">
        <v>34</v>
      </c>
      <c r="D662" t="s">
        <v>35</v>
      </c>
      <c r="E662" s="2">
        <v>1139.8869999999999</v>
      </c>
      <c r="F662" s="2">
        <v>0</v>
      </c>
      <c r="G662" s="2">
        <v>246.47</v>
      </c>
      <c r="H662" s="2">
        <v>-229.34975</v>
      </c>
      <c r="I662" s="1">
        <v>0.93244637407041198</v>
      </c>
      <c r="J662" s="1">
        <v>0.90240787025380598</v>
      </c>
      <c r="K662" s="1">
        <v>0.837564945616039</v>
      </c>
      <c r="L662" s="1">
        <v>0.49728929870817801</v>
      </c>
      <c r="P662" s="1">
        <f>I662-'Passo 2'!I662</f>
        <v>0.18511571761060497</v>
      </c>
      <c r="Q662" s="1">
        <f>J662-'Passo 2'!J662</f>
        <v>0.17614816205466</v>
      </c>
      <c r="R662" s="1">
        <f t="shared" si="41"/>
        <v>1062.8834999999997</v>
      </c>
      <c r="S662">
        <f t="shared" si="40"/>
        <v>1028.643</v>
      </c>
      <c r="T662" s="1">
        <f t="shared" si="42"/>
        <v>954.72939316342979</v>
      </c>
      <c r="U662" s="1">
        <f t="shared" si="43"/>
        <v>566.85360683656893</v>
      </c>
    </row>
    <row r="663" spans="1:21" x14ac:dyDescent="0.3">
      <c r="A663" t="s">
        <v>359</v>
      </c>
      <c r="B663" t="s">
        <v>499</v>
      </c>
      <c r="C663" t="s">
        <v>574</v>
      </c>
      <c r="D663" t="s">
        <v>575</v>
      </c>
      <c r="E663" s="2">
        <v>202</v>
      </c>
      <c r="F663" s="2">
        <v>4.0860000000000003</v>
      </c>
      <c r="G663" s="2">
        <v>23.4785</v>
      </c>
      <c r="H663" s="2">
        <v>-26.2285</v>
      </c>
      <c r="I663" s="1">
        <v>0.72234653465346499</v>
      </c>
      <c r="J663" s="1">
        <v>0.74957425742574202</v>
      </c>
      <c r="K663" s="1">
        <v>0.39391800982889502</v>
      </c>
      <c r="L663" s="1">
        <v>0.588116643636451</v>
      </c>
      <c r="P663" s="1">
        <f>I663-'Passo 2'!I663</f>
        <v>-4.9504950495050659E-3</v>
      </c>
      <c r="Q663" s="1">
        <f>J663-'Passo 2'!J663</f>
        <v>2.4752475247520334E-3</v>
      </c>
      <c r="R663" s="1">
        <f t="shared" si="41"/>
        <v>145.91399999999993</v>
      </c>
      <c r="S663">
        <f t="shared" si="40"/>
        <v>151.41399999999987</v>
      </c>
      <c r="T663" s="1">
        <f t="shared" si="42"/>
        <v>79.571437985436788</v>
      </c>
      <c r="U663" s="1">
        <f t="shared" si="43"/>
        <v>118.79956201456311</v>
      </c>
    </row>
    <row r="664" spans="1:21" x14ac:dyDescent="0.3">
      <c r="A664" t="s">
        <v>359</v>
      </c>
      <c r="B664" t="s">
        <v>500</v>
      </c>
      <c r="C664" t="s">
        <v>576</v>
      </c>
      <c r="D664" t="s">
        <v>591</v>
      </c>
      <c r="E664" s="2">
        <v>41</v>
      </c>
      <c r="F664" s="2">
        <v>0</v>
      </c>
      <c r="G664" s="2">
        <v>5.7454999999999998</v>
      </c>
      <c r="H664" s="2">
        <v>-5.4954999999999998</v>
      </c>
      <c r="I664" s="1">
        <v>0.78026829268292597</v>
      </c>
      <c r="J664" s="1">
        <v>0.768073170731707</v>
      </c>
      <c r="K664" s="1">
        <v>0.64980937228668401</v>
      </c>
      <c r="L664" s="1">
        <v>0.39853209112795002</v>
      </c>
      <c r="P664" s="1">
        <f>I664-'Passo 2'!I664</f>
        <v>0</v>
      </c>
      <c r="Q664" s="1">
        <f>J664-'Passo 2'!J664</f>
        <v>0</v>
      </c>
      <c r="R664" s="1">
        <f t="shared" si="41"/>
        <v>31.990999999999964</v>
      </c>
      <c r="S664">
        <f t="shared" si="40"/>
        <v>31.490999999999985</v>
      </c>
      <c r="T664" s="1">
        <f t="shared" si="42"/>
        <v>26.642184263754043</v>
      </c>
      <c r="U664" s="1">
        <f t="shared" si="43"/>
        <v>16.339815736245949</v>
      </c>
    </row>
    <row r="665" spans="1:21" x14ac:dyDescent="0.3">
      <c r="A665" t="s">
        <v>359</v>
      </c>
      <c r="B665" t="s">
        <v>501</v>
      </c>
      <c r="C665" t="s">
        <v>574</v>
      </c>
      <c r="D665" t="s">
        <v>575</v>
      </c>
      <c r="E665" s="2">
        <v>49</v>
      </c>
      <c r="F665" s="2">
        <v>0</v>
      </c>
      <c r="G665" s="2">
        <v>3.24724999999999</v>
      </c>
      <c r="H665" s="2">
        <v>-11.5</v>
      </c>
      <c r="I665" s="1">
        <v>0.63254081632653003</v>
      </c>
      <c r="J665" s="1">
        <v>0.96938775510204001</v>
      </c>
      <c r="K665" s="1">
        <v>0.617911986493626</v>
      </c>
      <c r="L665" s="1">
        <v>0.48401658493494398</v>
      </c>
      <c r="P665" s="1">
        <f>I665-'Passo 2'!I665</f>
        <v>0</v>
      </c>
      <c r="Q665" s="1">
        <f>J665-'Passo 2'!J665</f>
        <v>5.1020408163260367E-3</v>
      </c>
      <c r="R665" s="1">
        <f t="shared" si="41"/>
        <v>30.99449999999997</v>
      </c>
      <c r="S665">
        <f t="shared" si="40"/>
        <v>47.499999999999957</v>
      </c>
      <c r="T665" s="1">
        <f t="shared" si="42"/>
        <v>30.277687338187675</v>
      </c>
      <c r="U665" s="1">
        <f t="shared" si="43"/>
        <v>23.716812661812256</v>
      </c>
    </row>
    <row r="666" spans="1:21" x14ac:dyDescent="0.3">
      <c r="A666" t="s">
        <v>359</v>
      </c>
      <c r="B666" t="s">
        <v>502</v>
      </c>
      <c r="C666" t="s">
        <v>576</v>
      </c>
      <c r="D666" t="s">
        <v>591</v>
      </c>
      <c r="E666" s="2">
        <v>0</v>
      </c>
      <c r="F666" s="2">
        <v>0</v>
      </c>
      <c r="G666" s="2">
        <v>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P666" s="1">
        <f>I666-'Passo 2'!I666</f>
        <v>0</v>
      </c>
      <c r="Q666" s="1">
        <f>J666-'Passo 2'!J666</f>
        <v>0</v>
      </c>
      <c r="R666" s="1">
        <f t="shared" si="41"/>
        <v>0</v>
      </c>
      <c r="S666">
        <f t="shared" si="40"/>
        <v>0</v>
      </c>
      <c r="T666" s="1">
        <f t="shared" si="42"/>
        <v>0</v>
      </c>
      <c r="U666" s="1">
        <f t="shared" si="43"/>
        <v>0</v>
      </c>
    </row>
    <row r="667" spans="1:21" x14ac:dyDescent="0.3">
      <c r="A667" t="s">
        <v>359</v>
      </c>
      <c r="B667" t="s">
        <v>503</v>
      </c>
      <c r="C667" t="s">
        <v>574</v>
      </c>
      <c r="D667" t="s">
        <v>575</v>
      </c>
      <c r="E667" s="2">
        <v>22.288</v>
      </c>
      <c r="F667" s="2">
        <v>3.0000000000000001E-3</v>
      </c>
      <c r="G667" s="2">
        <v>4.5720000000000001</v>
      </c>
      <c r="H667" s="2">
        <v>-4.5720000000000001</v>
      </c>
      <c r="I667" s="1">
        <v>0.91019831299353904</v>
      </c>
      <c r="J667" s="1">
        <v>0.91019831299353904</v>
      </c>
      <c r="K667" s="1">
        <v>0.82138231574829701</v>
      </c>
      <c r="L667" s="1">
        <v>0.49908161102844301</v>
      </c>
      <c r="P667" s="1">
        <f>I667-'Passo 2'!I667</f>
        <v>0</v>
      </c>
      <c r="Q667" s="1">
        <f>J667-'Passo 2'!J667</f>
        <v>0</v>
      </c>
      <c r="R667" s="1">
        <f t="shared" si="41"/>
        <v>20.286499999999997</v>
      </c>
      <c r="S667">
        <f t="shared" si="40"/>
        <v>20.286499999999997</v>
      </c>
      <c r="T667" s="1">
        <f t="shared" si="42"/>
        <v>18.306969053398046</v>
      </c>
      <c r="U667" s="1">
        <f t="shared" si="43"/>
        <v>11.123530946601937</v>
      </c>
    </row>
    <row r="668" spans="1:21" x14ac:dyDescent="0.3">
      <c r="A668" t="s">
        <v>359</v>
      </c>
      <c r="B668" t="s">
        <v>504</v>
      </c>
      <c r="C668" t="s">
        <v>576</v>
      </c>
      <c r="D668" t="s">
        <v>591</v>
      </c>
      <c r="E668" s="2">
        <v>12.5</v>
      </c>
      <c r="F668" s="2">
        <v>0</v>
      </c>
      <c r="G668" s="2">
        <v>2.9975000000000001</v>
      </c>
      <c r="H668" s="2">
        <v>-2.9975000000000001</v>
      </c>
      <c r="I668" s="1">
        <v>0.97960000000000003</v>
      </c>
      <c r="J668" s="1">
        <v>0.97960000000000003</v>
      </c>
      <c r="K668" s="1">
        <v>0.70524092880258804</v>
      </c>
      <c r="L668" s="1">
        <v>0.75395907119741101</v>
      </c>
      <c r="P668" s="1">
        <f>I668-'Passo 2'!I668</f>
        <v>0</v>
      </c>
      <c r="Q668" s="1">
        <f>J668-'Passo 2'!J668</f>
        <v>0</v>
      </c>
      <c r="R668" s="1">
        <f t="shared" si="41"/>
        <v>12.245000000000001</v>
      </c>
      <c r="S668">
        <f t="shared" si="40"/>
        <v>12.245000000000001</v>
      </c>
      <c r="T668" s="1">
        <f t="shared" si="42"/>
        <v>8.8155116100323507</v>
      </c>
      <c r="U668" s="1">
        <f t="shared" si="43"/>
        <v>9.424488389967637</v>
      </c>
    </row>
    <row r="669" spans="1:21" x14ac:dyDescent="0.3">
      <c r="A669" t="s">
        <v>359</v>
      </c>
      <c r="B669" t="s">
        <v>505</v>
      </c>
      <c r="C669" t="s">
        <v>34</v>
      </c>
      <c r="D669" t="s">
        <v>35</v>
      </c>
      <c r="E669" s="2">
        <v>6.7380000000000004</v>
      </c>
      <c r="F669" s="2">
        <v>0</v>
      </c>
      <c r="G669" s="2">
        <v>1.6845000000000001</v>
      </c>
      <c r="H669" s="2">
        <v>-1.6845000000000001</v>
      </c>
      <c r="I669" s="1">
        <v>1</v>
      </c>
      <c r="J669" s="1">
        <v>1</v>
      </c>
      <c r="K669" s="1">
        <v>0.99600015273467102</v>
      </c>
      <c r="L669" s="1">
        <v>0.50399984726532898</v>
      </c>
      <c r="P669" s="1">
        <f>I669-'Passo 2'!I669</f>
        <v>0</v>
      </c>
      <c r="Q669" s="1">
        <f>J669-'Passo 2'!J669</f>
        <v>0</v>
      </c>
      <c r="R669" s="1">
        <f t="shared" si="41"/>
        <v>6.7380000000000004</v>
      </c>
      <c r="S669">
        <f t="shared" si="40"/>
        <v>6.7380000000000004</v>
      </c>
      <c r="T669" s="1">
        <f t="shared" si="42"/>
        <v>6.7110490291262135</v>
      </c>
      <c r="U669" s="1">
        <f t="shared" si="43"/>
        <v>3.3959509708737867</v>
      </c>
    </row>
    <row r="670" spans="1:21" x14ac:dyDescent="0.3">
      <c r="A670" t="s">
        <v>359</v>
      </c>
      <c r="B670" t="s">
        <v>506</v>
      </c>
      <c r="C670" t="s">
        <v>34</v>
      </c>
      <c r="D670" t="s">
        <v>35</v>
      </c>
      <c r="E670" s="2">
        <v>1821.4580000000001</v>
      </c>
      <c r="F670" s="2">
        <v>0</v>
      </c>
      <c r="G670" s="2">
        <v>376.42174999999997</v>
      </c>
      <c r="H670" s="2">
        <v>-356.83049999999997</v>
      </c>
      <c r="I670" s="1">
        <v>0.91331916519623302</v>
      </c>
      <c r="J670" s="1">
        <v>0.89180755197210104</v>
      </c>
      <c r="K670" s="1">
        <v>0.81786621435217699</v>
      </c>
      <c r="L670" s="1">
        <v>0.48726050281615602</v>
      </c>
      <c r="P670" s="1">
        <f>I670-'Passo 2'!I670</f>
        <v>0.16714467201549599</v>
      </c>
      <c r="Q670" s="1">
        <f>J670-'Passo 2'!J670</f>
        <v>0.16551630616791602</v>
      </c>
      <c r="R670" s="1">
        <f t="shared" si="41"/>
        <v>1663.5725000000002</v>
      </c>
      <c r="S670">
        <f t="shared" si="40"/>
        <v>1624.3899999999992</v>
      </c>
      <c r="T670" s="1">
        <f t="shared" si="42"/>
        <v>1489.7089590614876</v>
      </c>
      <c r="U670" s="1">
        <f t="shared" si="43"/>
        <v>887.52454093850997</v>
      </c>
    </row>
    <row r="671" spans="1:21" x14ac:dyDescent="0.3">
      <c r="A671" t="s">
        <v>359</v>
      </c>
      <c r="B671" t="s">
        <v>507</v>
      </c>
      <c r="C671" t="s">
        <v>574</v>
      </c>
      <c r="D671" t="s">
        <v>575</v>
      </c>
      <c r="E671" s="2">
        <v>630</v>
      </c>
      <c r="F671" s="2">
        <v>39.24</v>
      </c>
      <c r="G671" s="2">
        <v>64.19</v>
      </c>
      <c r="H671" s="2">
        <v>-72.69</v>
      </c>
      <c r="I671" s="1">
        <v>0.67263492063492003</v>
      </c>
      <c r="J671" s="1">
        <v>0.69961904761904703</v>
      </c>
      <c r="K671" s="1">
        <v>0.34589586126521799</v>
      </c>
      <c r="L671" s="1">
        <v>0.55750096413160699</v>
      </c>
      <c r="P671" s="1">
        <f>I671-'Passo 2'!I671</f>
        <v>0</v>
      </c>
      <c r="Q671" s="1">
        <f>J671-'Passo 2'!J671</f>
        <v>1.1904761904760752E-3</v>
      </c>
      <c r="R671" s="1">
        <f t="shared" si="41"/>
        <v>423.75999999999959</v>
      </c>
      <c r="S671">
        <f t="shared" si="40"/>
        <v>440.75999999999965</v>
      </c>
      <c r="T671" s="1">
        <f t="shared" si="42"/>
        <v>217.91439259708733</v>
      </c>
      <c r="U671" s="1">
        <f t="shared" si="43"/>
        <v>351.22560740291243</v>
      </c>
    </row>
    <row r="672" spans="1:21" x14ac:dyDescent="0.3">
      <c r="A672" t="s">
        <v>359</v>
      </c>
      <c r="B672" t="s">
        <v>508</v>
      </c>
      <c r="C672" t="s">
        <v>576</v>
      </c>
      <c r="D672" t="s">
        <v>591</v>
      </c>
      <c r="E672" s="2">
        <v>90</v>
      </c>
      <c r="F672" s="2">
        <v>0.75</v>
      </c>
      <c r="G672" s="2">
        <v>13.988250000000001</v>
      </c>
      <c r="H672" s="2">
        <v>-13.488250000000001</v>
      </c>
      <c r="I672" s="1">
        <v>0.80668333333333297</v>
      </c>
      <c r="J672" s="1">
        <v>0.79557222222222201</v>
      </c>
      <c r="K672" s="1">
        <v>0.58553837962962896</v>
      </c>
      <c r="L672" s="1">
        <v>0.52088384259259202</v>
      </c>
      <c r="P672" s="1">
        <f>I672-'Passo 2'!I672</f>
        <v>0</v>
      </c>
      <c r="Q672" s="1">
        <f>J672-'Passo 2'!J672</f>
        <v>-1.1111111111110961E-2</v>
      </c>
      <c r="R672" s="1">
        <f t="shared" si="41"/>
        <v>72.601499999999973</v>
      </c>
      <c r="S672">
        <f t="shared" si="40"/>
        <v>71.601499999999987</v>
      </c>
      <c r="T672" s="1">
        <f t="shared" si="42"/>
        <v>52.698454166666608</v>
      </c>
      <c r="U672" s="1">
        <f t="shared" si="43"/>
        <v>46.879545833333282</v>
      </c>
    </row>
    <row r="673" spans="1:21" x14ac:dyDescent="0.3">
      <c r="A673" t="s">
        <v>359</v>
      </c>
      <c r="B673" t="s">
        <v>509</v>
      </c>
      <c r="C673" t="s">
        <v>574</v>
      </c>
      <c r="D673" t="s">
        <v>575</v>
      </c>
      <c r="E673" s="2">
        <v>62</v>
      </c>
      <c r="F673" s="2">
        <v>2.1</v>
      </c>
      <c r="G673" s="2">
        <v>13.475</v>
      </c>
      <c r="H673" s="2">
        <v>-13.475</v>
      </c>
      <c r="I673" s="1">
        <v>0.91774193548387095</v>
      </c>
      <c r="J673" s="1">
        <v>0.91774193548387095</v>
      </c>
      <c r="K673" s="1">
        <v>0.553173780535546</v>
      </c>
      <c r="L673" s="1">
        <v>0.79924557430316301</v>
      </c>
      <c r="P673" s="1">
        <f>I673-'Passo 2'!I673</f>
        <v>0</v>
      </c>
      <c r="Q673" s="1">
        <f>J673-'Passo 2'!J673</f>
        <v>0</v>
      </c>
      <c r="R673" s="1">
        <f t="shared" si="41"/>
        <v>56.9</v>
      </c>
      <c r="S673">
        <f t="shared" si="40"/>
        <v>56.9</v>
      </c>
      <c r="T673" s="1">
        <f t="shared" si="42"/>
        <v>34.296774393203854</v>
      </c>
      <c r="U673" s="1">
        <f t="shared" si="43"/>
        <v>49.553225606796104</v>
      </c>
    </row>
    <row r="674" spans="1:21" x14ac:dyDescent="0.3">
      <c r="A674" t="s">
        <v>359</v>
      </c>
      <c r="B674" t="s">
        <v>510</v>
      </c>
      <c r="C674" t="s">
        <v>34</v>
      </c>
      <c r="D674" t="s">
        <v>35</v>
      </c>
      <c r="E674" s="2">
        <v>135.29400000000001</v>
      </c>
      <c r="F674" s="2">
        <v>0</v>
      </c>
      <c r="G674" s="2">
        <v>28.25675</v>
      </c>
      <c r="H674" s="2">
        <v>-27.65175</v>
      </c>
      <c r="I674" s="1">
        <v>0.917708841485949</v>
      </c>
      <c r="J674" s="1">
        <v>0.90876535544813497</v>
      </c>
      <c r="K674" s="1">
        <v>0.84956447000259205</v>
      </c>
      <c r="L674" s="1">
        <v>0.47690972693149097</v>
      </c>
      <c r="P674" s="1">
        <f>I674-'Passo 2'!I674</f>
        <v>0.18531863940751303</v>
      </c>
      <c r="Q674" s="1">
        <f>J674-'Passo 2'!J674</f>
        <v>0.17704406699484099</v>
      </c>
      <c r="R674" s="1">
        <f t="shared" si="41"/>
        <v>124.1605</v>
      </c>
      <c r="S674">
        <f t="shared" si="40"/>
        <v>122.95049999999998</v>
      </c>
      <c r="T674" s="1">
        <f t="shared" si="42"/>
        <v>114.9409754045307</v>
      </c>
      <c r="U674" s="1">
        <f t="shared" si="43"/>
        <v>64.523024595469138</v>
      </c>
    </row>
    <row r="675" spans="1:21" x14ac:dyDescent="0.3">
      <c r="A675" t="s">
        <v>359</v>
      </c>
      <c r="B675" t="s">
        <v>511</v>
      </c>
      <c r="C675" t="s">
        <v>574</v>
      </c>
      <c r="D675" t="s">
        <v>575</v>
      </c>
      <c r="E675" s="2">
        <v>18</v>
      </c>
      <c r="F675" s="2">
        <v>0</v>
      </c>
      <c r="G675" s="2">
        <v>3.5</v>
      </c>
      <c r="H675" s="2">
        <v>-2.25</v>
      </c>
      <c r="I675" s="1">
        <v>0.88888888888888795</v>
      </c>
      <c r="J675" s="1">
        <v>0.75</v>
      </c>
      <c r="K675" s="1">
        <v>0.63730967277957495</v>
      </c>
      <c r="L675" s="1">
        <v>0.501579216109313</v>
      </c>
      <c r="P675" s="1">
        <f>I675-'Passo 2'!I675</f>
        <v>0</v>
      </c>
      <c r="Q675" s="1">
        <f>J675-'Passo 2'!J675</f>
        <v>0</v>
      </c>
      <c r="R675" s="1">
        <f t="shared" si="41"/>
        <v>15.999999999999982</v>
      </c>
      <c r="S675">
        <f t="shared" si="40"/>
        <v>13.5</v>
      </c>
      <c r="T675" s="1">
        <f t="shared" si="42"/>
        <v>11.47157411003235</v>
      </c>
      <c r="U675" s="1">
        <f t="shared" si="43"/>
        <v>9.0284258899676342</v>
      </c>
    </row>
    <row r="676" spans="1:21" x14ac:dyDescent="0.3">
      <c r="A676" t="s">
        <v>359</v>
      </c>
      <c r="B676" t="s">
        <v>512</v>
      </c>
      <c r="C676" t="s">
        <v>574</v>
      </c>
      <c r="D676" t="s">
        <v>575</v>
      </c>
      <c r="E676" s="2">
        <v>29</v>
      </c>
      <c r="F676" s="2">
        <v>6.0000000000000001E-3</v>
      </c>
      <c r="G676" s="2">
        <v>5.0529999999999999</v>
      </c>
      <c r="H676" s="2">
        <v>-5.0529999999999999</v>
      </c>
      <c r="I676" s="1">
        <v>0.84837931034482705</v>
      </c>
      <c r="J676" s="1">
        <v>0.84837931034482705</v>
      </c>
      <c r="K676" s="1">
        <v>0.56485420154000598</v>
      </c>
      <c r="L676" s="1">
        <v>0.63200786742550996</v>
      </c>
      <c r="P676" s="1">
        <f>I676-'Passo 2'!I676</f>
        <v>0</v>
      </c>
      <c r="Q676" s="1">
        <f>J676-'Passo 2'!J676</f>
        <v>0</v>
      </c>
      <c r="R676" s="1">
        <f t="shared" si="41"/>
        <v>24.602999999999984</v>
      </c>
      <c r="S676">
        <f t="shared" si="40"/>
        <v>24.602999999999984</v>
      </c>
      <c r="T676" s="1">
        <f t="shared" si="42"/>
        <v>16.380771844660174</v>
      </c>
      <c r="U676" s="1">
        <f t="shared" si="43"/>
        <v>18.32822815533979</v>
      </c>
    </row>
    <row r="677" spans="1:21" x14ac:dyDescent="0.3">
      <c r="A677" t="s">
        <v>359</v>
      </c>
      <c r="B677" t="s">
        <v>513</v>
      </c>
      <c r="C677" t="s">
        <v>580</v>
      </c>
      <c r="D677" t="s">
        <v>581</v>
      </c>
      <c r="E677" s="2">
        <v>22</v>
      </c>
      <c r="F677" s="2">
        <v>6.0000000000000001E-3</v>
      </c>
      <c r="G677" s="2">
        <v>2.8724999999999898</v>
      </c>
      <c r="H677" s="2">
        <v>-3.1269999999999998</v>
      </c>
      <c r="I677" s="1">
        <v>0.76099999999999901</v>
      </c>
      <c r="J677" s="1">
        <v>0.78413636363636297</v>
      </c>
      <c r="K677" s="1">
        <v>0.62338475286849004</v>
      </c>
      <c r="L677" s="1">
        <v>0.42188797440423598</v>
      </c>
      <c r="P677" s="1">
        <f>I677-'Passo 2'!I677</f>
        <v>0</v>
      </c>
      <c r="Q677" s="1">
        <f>J677-'Passo 2'!J677</f>
        <v>1.1749999999999927E-2</v>
      </c>
      <c r="R677" s="1">
        <f t="shared" si="41"/>
        <v>16.74199999999998</v>
      </c>
      <c r="S677">
        <f t="shared" si="40"/>
        <v>17.250999999999983</v>
      </c>
      <c r="T677" s="1">
        <f t="shared" si="42"/>
        <v>13.71446456310678</v>
      </c>
      <c r="U677" s="1">
        <f t="shared" si="43"/>
        <v>9.2815354368931917</v>
      </c>
    </row>
    <row r="678" spans="1:21" x14ac:dyDescent="0.3">
      <c r="A678" t="s">
        <v>359</v>
      </c>
      <c r="B678" t="s">
        <v>514</v>
      </c>
      <c r="C678" t="s">
        <v>34</v>
      </c>
      <c r="D678" t="s">
        <v>35</v>
      </c>
      <c r="E678" s="2">
        <v>1486.059</v>
      </c>
      <c r="F678" s="2">
        <v>0</v>
      </c>
      <c r="G678" s="2">
        <v>336.792249999999</v>
      </c>
      <c r="H678" s="2">
        <v>-232.41675000000001</v>
      </c>
      <c r="I678" s="1">
        <v>0.95326901556398502</v>
      </c>
      <c r="J678" s="1">
        <v>0.81279612720625405</v>
      </c>
      <c r="K678" s="1">
        <v>0.88375805929630302</v>
      </c>
      <c r="L678" s="1">
        <v>0.38230708347393599</v>
      </c>
      <c r="P678" s="1">
        <f>I678-'Passo 2'!I678</f>
        <v>0.126582457358692</v>
      </c>
      <c r="Q678" s="1">
        <f>J678-'Passo 2'!J678</f>
        <v>4.4644257058434E-2</v>
      </c>
      <c r="R678" s="1">
        <f t="shared" si="41"/>
        <v>1416.614</v>
      </c>
      <c r="S678">
        <f t="shared" si="40"/>
        <v>1207.8629999999987</v>
      </c>
      <c r="T678" s="1">
        <f t="shared" si="42"/>
        <v>1313.3166178398048</v>
      </c>
      <c r="U678" s="1">
        <f t="shared" si="43"/>
        <v>568.13088216019389</v>
      </c>
    </row>
    <row r="679" spans="1:21" x14ac:dyDescent="0.3">
      <c r="A679" t="s">
        <v>359</v>
      </c>
      <c r="B679" t="s">
        <v>515</v>
      </c>
      <c r="C679" t="s">
        <v>574</v>
      </c>
      <c r="D679" t="s">
        <v>575</v>
      </c>
      <c r="E679" s="2">
        <v>246</v>
      </c>
      <c r="F679" s="2">
        <v>6.9000000000000006E-2</v>
      </c>
      <c r="G679" s="2">
        <v>22.513000000000002</v>
      </c>
      <c r="H679" s="2">
        <v>-23.138000000000002</v>
      </c>
      <c r="I679" s="1">
        <v>0.68289227642276396</v>
      </c>
      <c r="J679" s="1">
        <v>0.68797357723577202</v>
      </c>
      <c r="K679" s="1">
        <v>0.38741191507485401</v>
      </c>
      <c r="L679" s="1">
        <v>0.48359418248612002</v>
      </c>
      <c r="P679" s="1">
        <f>I679-'Passo 2'!I679</f>
        <v>-3.0487804878049918E-3</v>
      </c>
      <c r="Q679" s="1">
        <f>J679-'Passo 2'!J679</f>
        <v>1.016260162602034E-3</v>
      </c>
      <c r="R679" s="1">
        <f t="shared" si="41"/>
        <v>167.99149999999995</v>
      </c>
      <c r="S679">
        <f t="shared" si="40"/>
        <v>169.24149999999992</v>
      </c>
      <c r="T679" s="1">
        <f t="shared" si="42"/>
        <v>95.303331108414085</v>
      </c>
      <c r="U679" s="1">
        <f t="shared" si="43"/>
        <v>118.96416889158553</v>
      </c>
    </row>
    <row r="680" spans="1:21" x14ac:dyDescent="0.3">
      <c r="A680" t="s">
        <v>359</v>
      </c>
      <c r="B680" t="s">
        <v>516</v>
      </c>
      <c r="C680" t="s">
        <v>576</v>
      </c>
      <c r="D680" t="s">
        <v>591</v>
      </c>
      <c r="E680" s="2">
        <v>23</v>
      </c>
      <c r="F680" s="2">
        <v>0</v>
      </c>
      <c r="G680" s="2">
        <v>2.25</v>
      </c>
      <c r="H680" s="2">
        <v>-2.25</v>
      </c>
      <c r="I680" s="1">
        <v>0.69565217391304301</v>
      </c>
      <c r="J680" s="1">
        <v>0.69565217391304301</v>
      </c>
      <c r="K680" s="1">
        <v>0.51027978049809997</v>
      </c>
      <c r="L680" s="1">
        <v>0.38102456732798601</v>
      </c>
      <c r="P680" s="1">
        <f>I680-'Passo 2'!I680</f>
        <v>0</v>
      </c>
      <c r="Q680" s="1">
        <f>J680-'Passo 2'!J680</f>
        <v>0</v>
      </c>
      <c r="R680" s="1">
        <f t="shared" si="41"/>
        <v>15.999999999999989</v>
      </c>
      <c r="S680">
        <f t="shared" si="40"/>
        <v>15.999999999999989</v>
      </c>
      <c r="T680" s="1">
        <f t="shared" si="42"/>
        <v>11.7364349514563</v>
      </c>
      <c r="U680" s="1">
        <f t="shared" si="43"/>
        <v>8.7635650485436773</v>
      </c>
    </row>
    <row r="681" spans="1:21" x14ac:dyDescent="0.3">
      <c r="A681" t="s">
        <v>359</v>
      </c>
      <c r="B681" t="s">
        <v>517</v>
      </c>
      <c r="C681" t="s">
        <v>574</v>
      </c>
      <c r="D681" t="s">
        <v>575</v>
      </c>
      <c r="E681" s="2">
        <v>3</v>
      </c>
      <c r="F681" s="2">
        <v>1E-3</v>
      </c>
      <c r="G681" s="2">
        <v>0.25</v>
      </c>
      <c r="H681" s="2">
        <v>-0.25</v>
      </c>
      <c r="I681" s="1">
        <v>0.66649999999999998</v>
      </c>
      <c r="J681" s="1">
        <v>0.66649999999999998</v>
      </c>
      <c r="K681" s="1">
        <v>0.43937709007551201</v>
      </c>
      <c r="L681" s="1">
        <v>0.39378957659115399</v>
      </c>
      <c r="P681" s="1">
        <f>I681-'Passo 2'!I681</f>
        <v>0</v>
      </c>
      <c r="Q681" s="1">
        <f>J681-'Passo 2'!J681</f>
        <v>0</v>
      </c>
      <c r="R681" s="1">
        <f t="shared" si="41"/>
        <v>1.9994999999999998</v>
      </c>
      <c r="S681">
        <f t="shared" si="40"/>
        <v>1.9994999999999998</v>
      </c>
      <c r="T681" s="1">
        <f t="shared" si="42"/>
        <v>1.318131270226536</v>
      </c>
      <c r="U681" s="1">
        <f t="shared" si="43"/>
        <v>1.1813687297734621</v>
      </c>
    </row>
    <row r="682" spans="1:21" x14ac:dyDescent="0.3">
      <c r="A682" t="s">
        <v>359</v>
      </c>
      <c r="B682" t="s">
        <v>518</v>
      </c>
      <c r="C682" t="s">
        <v>34</v>
      </c>
      <c r="D682" t="s">
        <v>35</v>
      </c>
      <c r="E682" s="2">
        <v>326.20400000000001</v>
      </c>
      <c r="F682" s="2">
        <v>0</v>
      </c>
      <c r="G682" s="2">
        <v>70.125</v>
      </c>
      <c r="H682" s="2">
        <v>-66.726749999999996</v>
      </c>
      <c r="I682" s="1">
        <v>0.92994567816458396</v>
      </c>
      <c r="J682" s="1">
        <v>0.90911055658422302</v>
      </c>
      <c r="K682" s="1">
        <v>0.84768827242598599</v>
      </c>
      <c r="L682" s="1">
        <v>0.49136796232281998</v>
      </c>
      <c r="P682" s="1">
        <f>I682-'Passo 2'!I682</f>
        <v>0.18140488773896091</v>
      </c>
      <c r="Q682" s="1">
        <f>J682-'Passo 2'!J682</f>
        <v>0.16122886292013605</v>
      </c>
      <c r="R682" s="1">
        <f t="shared" si="41"/>
        <v>303.35199999999998</v>
      </c>
      <c r="S682">
        <f t="shared" si="40"/>
        <v>296.55549999999988</v>
      </c>
      <c r="T682" s="1">
        <f t="shared" si="42"/>
        <v>276.51930521844633</v>
      </c>
      <c r="U682" s="1">
        <f t="shared" si="43"/>
        <v>160.28619478155318</v>
      </c>
    </row>
    <row r="683" spans="1:21" x14ac:dyDescent="0.3">
      <c r="A683" t="s">
        <v>359</v>
      </c>
      <c r="B683" t="s">
        <v>519</v>
      </c>
      <c r="C683" t="s">
        <v>574</v>
      </c>
      <c r="D683" t="s">
        <v>575</v>
      </c>
      <c r="E683" s="2">
        <v>195.25</v>
      </c>
      <c r="F683" s="2">
        <v>1.018</v>
      </c>
      <c r="G683" s="2">
        <v>24.0625</v>
      </c>
      <c r="H683" s="2">
        <v>-24.0625</v>
      </c>
      <c r="I683" s="1">
        <v>0.74387195902688796</v>
      </c>
      <c r="J683" s="1">
        <v>0.74387195902688796</v>
      </c>
      <c r="K683" s="1">
        <v>0.52008047975999505</v>
      </c>
      <c r="L683" s="1">
        <v>0.47027035250632898</v>
      </c>
      <c r="P683" s="1">
        <f>I683-'Passo 2'!I683</f>
        <v>0</v>
      </c>
      <c r="Q683" s="1">
        <f>J683-'Passo 2'!J683</f>
        <v>0</v>
      </c>
      <c r="R683" s="1">
        <f t="shared" si="41"/>
        <v>145.24099999999987</v>
      </c>
      <c r="S683">
        <f t="shared" si="40"/>
        <v>145.24099999999987</v>
      </c>
      <c r="T683" s="1">
        <f t="shared" si="42"/>
        <v>101.54571367313903</v>
      </c>
      <c r="U683" s="1">
        <f t="shared" si="43"/>
        <v>91.820286326860739</v>
      </c>
    </row>
    <row r="684" spans="1:21" x14ac:dyDescent="0.3">
      <c r="A684" t="s">
        <v>359</v>
      </c>
      <c r="B684" t="s">
        <v>520</v>
      </c>
      <c r="C684" t="s">
        <v>34</v>
      </c>
      <c r="D684" t="s">
        <v>35</v>
      </c>
      <c r="E684" s="2">
        <v>43.271000000000001</v>
      </c>
      <c r="F684" s="2">
        <v>0</v>
      </c>
      <c r="G684" s="2">
        <v>8.6877499999999994</v>
      </c>
      <c r="H684" s="2">
        <v>-7.9292499999999997</v>
      </c>
      <c r="I684" s="1">
        <v>0.90155069214947603</v>
      </c>
      <c r="J684" s="1">
        <v>0.86649257008157798</v>
      </c>
      <c r="K684" s="1">
        <v>0.87227493278419299</v>
      </c>
      <c r="L684" s="1">
        <v>0.39576832944686102</v>
      </c>
      <c r="P684" s="1">
        <f>I684-'Passo 2'!I684</f>
        <v>0.16452127290795204</v>
      </c>
      <c r="Q684" s="1">
        <f>J684-'Passo 2'!J684</f>
        <v>0.15580874026484204</v>
      </c>
      <c r="R684" s="1">
        <f t="shared" si="41"/>
        <v>39.010999999999981</v>
      </c>
      <c r="S684">
        <f t="shared" si="40"/>
        <v>37.493999999999964</v>
      </c>
      <c r="T684" s="1">
        <f t="shared" si="42"/>
        <v>37.744208616504814</v>
      </c>
      <c r="U684" s="1">
        <f t="shared" si="43"/>
        <v>17.125291383495124</v>
      </c>
    </row>
    <row r="685" spans="1:21" x14ac:dyDescent="0.3">
      <c r="A685" t="s">
        <v>359</v>
      </c>
      <c r="B685" t="s">
        <v>521</v>
      </c>
      <c r="C685" t="s">
        <v>574</v>
      </c>
      <c r="D685" t="s">
        <v>575</v>
      </c>
      <c r="E685" s="2">
        <v>3</v>
      </c>
      <c r="F685" s="2">
        <v>0</v>
      </c>
      <c r="G685" s="2">
        <v>0.5</v>
      </c>
      <c r="H685" s="2">
        <v>-0.5</v>
      </c>
      <c r="I685" s="1">
        <v>0.83333333333333304</v>
      </c>
      <c r="J685" s="1">
        <v>0.83333333333333304</v>
      </c>
      <c r="K685" s="1">
        <v>0.56715355987055005</v>
      </c>
      <c r="L685" s="1">
        <v>0.59951310679611602</v>
      </c>
      <c r="P685" s="1">
        <f>I685-'Passo 2'!I685</f>
        <v>0</v>
      </c>
      <c r="Q685" s="1">
        <f>J685-'Passo 2'!J685</f>
        <v>0</v>
      </c>
      <c r="R685" s="1">
        <f t="shared" si="41"/>
        <v>2.4999999999999991</v>
      </c>
      <c r="S685">
        <f t="shared" si="40"/>
        <v>2.4999999999999991</v>
      </c>
      <c r="T685" s="1">
        <f t="shared" si="42"/>
        <v>1.70146067961165</v>
      </c>
      <c r="U685" s="1">
        <f t="shared" si="43"/>
        <v>1.7985393203883482</v>
      </c>
    </row>
    <row r="686" spans="1:21" x14ac:dyDescent="0.3">
      <c r="A686" t="s">
        <v>359</v>
      </c>
      <c r="B686" t="s">
        <v>522</v>
      </c>
      <c r="C686" t="s">
        <v>34</v>
      </c>
      <c r="D686" t="s">
        <v>35</v>
      </c>
      <c r="E686" s="2">
        <v>71.664000000000001</v>
      </c>
      <c r="F686" s="2">
        <v>0</v>
      </c>
      <c r="G686" s="2">
        <v>15.11425</v>
      </c>
      <c r="H686" s="2">
        <v>-13.712</v>
      </c>
      <c r="I686" s="1">
        <v>0.92180871846394197</v>
      </c>
      <c r="J686" s="1">
        <v>0.88267470417503902</v>
      </c>
      <c r="K686" s="1">
        <v>0.85518807857199097</v>
      </c>
      <c r="L686" s="1">
        <v>0.44929534406699001</v>
      </c>
      <c r="P686" s="1">
        <f>I686-'Passo 2'!I686</f>
        <v>0.18143000669792297</v>
      </c>
      <c r="Q686" s="1">
        <f>J686-'Passo 2'!J686</f>
        <v>0.16821556150926598</v>
      </c>
      <c r="R686" s="1">
        <f t="shared" si="41"/>
        <v>66.060499999999934</v>
      </c>
      <c r="S686">
        <f t="shared" si="40"/>
        <v>63.256</v>
      </c>
      <c r="T686" s="1">
        <f t="shared" si="42"/>
        <v>61.286198462783162</v>
      </c>
      <c r="U686" s="1">
        <f t="shared" si="43"/>
        <v>32.198301537216771</v>
      </c>
    </row>
    <row r="687" spans="1:21" x14ac:dyDescent="0.3">
      <c r="A687" t="s">
        <v>359</v>
      </c>
      <c r="B687" t="s">
        <v>523</v>
      </c>
      <c r="C687" t="s">
        <v>34</v>
      </c>
      <c r="D687" t="s">
        <v>35</v>
      </c>
      <c r="E687" s="2">
        <v>5</v>
      </c>
      <c r="F687" s="2">
        <v>0</v>
      </c>
      <c r="G687" s="2">
        <v>1.127</v>
      </c>
      <c r="H687" s="2">
        <v>-1.25</v>
      </c>
      <c r="I687" s="1">
        <v>0.95079999999999898</v>
      </c>
      <c r="J687" s="1">
        <v>1</v>
      </c>
      <c r="K687" s="1">
        <v>0.82093897249190895</v>
      </c>
      <c r="L687" s="1">
        <v>0.62986102750809003</v>
      </c>
      <c r="P687" s="1">
        <f>I687-'Passo 2'!I687</f>
        <v>6.579999999999897E-2</v>
      </c>
      <c r="Q687" s="1">
        <f>J687-'Passo 2'!J687</f>
        <v>0.15000000000000002</v>
      </c>
      <c r="R687" s="1">
        <f t="shared" si="41"/>
        <v>4.7539999999999951</v>
      </c>
      <c r="S687">
        <f t="shared" si="40"/>
        <v>5</v>
      </c>
      <c r="T687" s="1">
        <f t="shared" si="42"/>
        <v>4.104694862459545</v>
      </c>
      <c r="U687" s="1">
        <f t="shared" si="43"/>
        <v>3.1493051375404502</v>
      </c>
    </row>
    <row r="688" spans="1:21" x14ac:dyDescent="0.3">
      <c r="A688" t="s">
        <v>359</v>
      </c>
      <c r="B688" t="s">
        <v>524</v>
      </c>
      <c r="C688" t="s">
        <v>34</v>
      </c>
      <c r="D688" t="s">
        <v>35</v>
      </c>
      <c r="E688" s="2">
        <v>3964.1390000000001</v>
      </c>
      <c r="F688" s="2">
        <v>0</v>
      </c>
      <c r="G688" s="2">
        <v>843.70425</v>
      </c>
      <c r="H688" s="2">
        <v>-781.33924999999999</v>
      </c>
      <c r="I688" s="1">
        <v>0.92566834815832599</v>
      </c>
      <c r="J688" s="1">
        <v>0.89420376026168602</v>
      </c>
      <c r="K688" s="1">
        <v>0.82888486195034705</v>
      </c>
      <c r="L688" s="1">
        <v>0.49098724646966402</v>
      </c>
      <c r="P688" s="1">
        <f>I688-'Passo 2'!I688</f>
        <v>0.180622954946837</v>
      </c>
      <c r="Q688" s="1">
        <f>J688-'Passo 2'!J688</f>
        <v>0.13561772178019005</v>
      </c>
      <c r="R688" s="1">
        <f t="shared" si="41"/>
        <v>3669.4779999999982</v>
      </c>
      <c r="S688">
        <f t="shared" si="40"/>
        <v>3544.748</v>
      </c>
      <c r="T688" s="1">
        <f t="shared" si="42"/>
        <v>3285.8148077669871</v>
      </c>
      <c r="U688" s="1">
        <f t="shared" si="43"/>
        <v>1946.3416922330075</v>
      </c>
    </row>
    <row r="689" spans="1:21" x14ac:dyDescent="0.3">
      <c r="A689" t="s">
        <v>359</v>
      </c>
      <c r="B689" t="s">
        <v>525</v>
      </c>
      <c r="C689" t="s">
        <v>574</v>
      </c>
      <c r="D689" t="s">
        <v>575</v>
      </c>
      <c r="E689" s="2">
        <v>186</v>
      </c>
      <c r="F689" s="2">
        <v>5.7000000000000002E-2</v>
      </c>
      <c r="G689" s="2">
        <v>38.259250000000002</v>
      </c>
      <c r="H689" s="2">
        <v>-38.509250000000002</v>
      </c>
      <c r="I689" s="1">
        <v>0.91123655913978496</v>
      </c>
      <c r="J689" s="1">
        <v>0.91392473118279505</v>
      </c>
      <c r="K689" s="1">
        <v>0.60442900093955498</v>
      </c>
      <c r="L689" s="1">
        <v>0.72088551518947697</v>
      </c>
      <c r="P689" s="1">
        <f>I689-'Passo 2'!I689</f>
        <v>0</v>
      </c>
      <c r="Q689" s="1">
        <f>J689-'Passo 2'!J689</f>
        <v>1.3440860215050421E-3</v>
      </c>
      <c r="R689" s="1">
        <f t="shared" si="41"/>
        <v>169.49</v>
      </c>
      <c r="S689">
        <f t="shared" si="40"/>
        <v>169.98999999999987</v>
      </c>
      <c r="T689" s="1">
        <f t="shared" si="42"/>
        <v>112.42379417475723</v>
      </c>
      <c r="U689" s="1">
        <f t="shared" si="43"/>
        <v>134.08470582524271</v>
      </c>
    </row>
    <row r="690" spans="1:21" x14ac:dyDescent="0.3">
      <c r="A690" t="s">
        <v>359</v>
      </c>
      <c r="B690" t="s">
        <v>526</v>
      </c>
      <c r="C690" t="s">
        <v>576</v>
      </c>
      <c r="D690" t="s">
        <v>591</v>
      </c>
      <c r="E690" s="2">
        <v>1352</v>
      </c>
      <c r="F690" s="2">
        <v>0</v>
      </c>
      <c r="G690" s="2">
        <v>305.98200000000003</v>
      </c>
      <c r="H690" s="2">
        <v>-317.10700000000003</v>
      </c>
      <c r="I690" s="1">
        <v>0.95263609467455601</v>
      </c>
      <c r="J690" s="1">
        <v>0.96909319526627202</v>
      </c>
      <c r="K690" s="1">
        <v>0.70809676246744602</v>
      </c>
      <c r="L690" s="1">
        <v>0.71363252747338202</v>
      </c>
      <c r="P690" s="1">
        <f>I690-'Passo 2'!I690</f>
        <v>-2.5891272189350056E-3</v>
      </c>
      <c r="Q690" s="1">
        <f>J690-'Passo 2'!J690</f>
        <v>-4.4378698224849522E-3</v>
      </c>
      <c r="R690" s="1">
        <f t="shared" si="41"/>
        <v>1287.9639999999997</v>
      </c>
      <c r="S690">
        <f t="shared" si="40"/>
        <v>1310.2139999999997</v>
      </c>
      <c r="T690" s="1">
        <f t="shared" si="42"/>
        <v>957.34682285598706</v>
      </c>
      <c r="U690" s="1">
        <f t="shared" si="43"/>
        <v>964.83117714401249</v>
      </c>
    </row>
    <row r="691" spans="1:21" x14ac:dyDescent="0.3">
      <c r="A691" t="s">
        <v>359</v>
      </c>
      <c r="B691" t="s">
        <v>767</v>
      </c>
      <c r="C691" t="s">
        <v>576</v>
      </c>
      <c r="D691" t="s">
        <v>589</v>
      </c>
      <c r="E691" s="2">
        <v>71.596999999999994</v>
      </c>
      <c r="F691" s="2">
        <v>0</v>
      </c>
      <c r="G691" s="2">
        <v>17.899249999999999</v>
      </c>
      <c r="H691" s="2">
        <v>-17.72325</v>
      </c>
      <c r="I691" s="1">
        <v>1</v>
      </c>
      <c r="J691" s="1">
        <v>0.99508359288796999</v>
      </c>
      <c r="K691" s="1">
        <v>0.99966794092410305</v>
      </c>
      <c r="L691" s="1">
        <v>0.495415651963866</v>
      </c>
      <c r="P691" s="1">
        <f>I691-'Passo 2'!I691</f>
        <v>4.7837199882679871E-3</v>
      </c>
      <c r="Q691" s="1">
        <f>J691-'Passo 2'!J691</f>
        <v>0</v>
      </c>
      <c r="R691" s="1">
        <f t="shared" si="41"/>
        <v>71.596999999999994</v>
      </c>
      <c r="S691">
        <f t="shared" si="40"/>
        <v>71.244999999999976</v>
      </c>
      <c r="T691" s="1">
        <f t="shared" si="42"/>
        <v>71.573225566342998</v>
      </c>
      <c r="U691" s="1">
        <f t="shared" si="43"/>
        <v>35.470274433656911</v>
      </c>
    </row>
    <row r="692" spans="1:21" x14ac:dyDescent="0.3">
      <c r="A692" t="s">
        <v>359</v>
      </c>
      <c r="B692" t="s">
        <v>527</v>
      </c>
      <c r="C692" t="s">
        <v>574</v>
      </c>
      <c r="D692" t="s">
        <v>575</v>
      </c>
      <c r="E692" s="2">
        <v>84.97</v>
      </c>
      <c r="F692" s="2">
        <v>0</v>
      </c>
      <c r="G692" s="2">
        <v>20.5</v>
      </c>
      <c r="H692" s="2">
        <v>-20.193249999999999</v>
      </c>
      <c r="I692" s="1">
        <v>0.98252324349770503</v>
      </c>
      <c r="J692" s="1">
        <v>0.97530304813463498</v>
      </c>
      <c r="K692" s="1">
        <v>0.73032756421169698</v>
      </c>
      <c r="L692" s="1">
        <v>0.72749872742064303</v>
      </c>
      <c r="P692" s="1">
        <f>I692-'Passo 2'!I692</f>
        <v>0</v>
      </c>
      <c r="Q692" s="1">
        <f>J692-'Passo 2'!J692</f>
        <v>5.295986818869558E-4</v>
      </c>
      <c r="R692" s="1">
        <f t="shared" si="41"/>
        <v>83.484999999999999</v>
      </c>
      <c r="S692">
        <f t="shared" si="40"/>
        <v>82.871499999999926</v>
      </c>
      <c r="T692" s="1">
        <f t="shared" si="42"/>
        <v>62.055933131067889</v>
      </c>
      <c r="U692" s="1">
        <f t="shared" si="43"/>
        <v>61.815566868932038</v>
      </c>
    </row>
    <row r="693" spans="1:21" x14ac:dyDescent="0.3">
      <c r="A693" t="s">
        <v>359</v>
      </c>
      <c r="B693" t="s">
        <v>528</v>
      </c>
      <c r="C693" t="s">
        <v>574</v>
      </c>
      <c r="D693" t="s">
        <v>575</v>
      </c>
      <c r="E693" s="2">
        <v>735</v>
      </c>
      <c r="F693" s="2">
        <v>0</v>
      </c>
      <c r="G693" s="2">
        <v>161.70325</v>
      </c>
      <c r="H693" s="2">
        <v>-183.75</v>
      </c>
      <c r="I693" s="1">
        <v>0.94000884353741498</v>
      </c>
      <c r="J693" s="1">
        <v>1</v>
      </c>
      <c r="K693" s="1">
        <v>0.93122428015542702</v>
      </c>
      <c r="L693" s="1">
        <v>0.50878456338198697</v>
      </c>
      <c r="P693" s="1">
        <f>I693-'Passo 2'!I693</f>
        <v>0.21211836734693901</v>
      </c>
      <c r="Q693" s="1">
        <f>J693-'Passo 2'!J693</f>
        <v>0.22316326530612296</v>
      </c>
      <c r="R693" s="1">
        <f t="shared" si="41"/>
        <v>690.90650000000005</v>
      </c>
      <c r="S693">
        <f t="shared" si="40"/>
        <v>735</v>
      </c>
      <c r="T693" s="1">
        <f t="shared" si="42"/>
        <v>684.44984591423884</v>
      </c>
      <c r="U693" s="1">
        <f t="shared" si="43"/>
        <v>373.95665408576042</v>
      </c>
    </row>
    <row r="694" spans="1:21" x14ac:dyDescent="0.3">
      <c r="A694" t="s">
        <v>359</v>
      </c>
      <c r="B694" t="s">
        <v>529</v>
      </c>
      <c r="C694" t="s">
        <v>574</v>
      </c>
      <c r="D694" t="s">
        <v>575</v>
      </c>
      <c r="E694" s="2">
        <v>3.02</v>
      </c>
      <c r="F694" s="2">
        <v>0</v>
      </c>
      <c r="G694" s="2">
        <v>0</v>
      </c>
      <c r="H694" s="2">
        <v>-0.755</v>
      </c>
      <c r="I694" s="1">
        <v>0.5</v>
      </c>
      <c r="J694" s="1">
        <v>1</v>
      </c>
      <c r="K694" s="1">
        <v>0.15728155339805799</v>
      </c>
      <c r="L694" s="1">
        <v>0.84271844660194095</v>
      </c>
      <c r="P694" s="1">
        <f>I694-'Passo 2'!I694</f>
        <v>0</v>
      </c>
      <c r="Q694" s="1">
        <f>J694-'Passo 2'!J694</f>
        <v>0</v>
      </c>
      <c r="R694" s="1">
        <f t="shared" si="41"/>
        <v>1.51</v>
      </c>
      <c r="S694">
        <f t="shared" si="40"/>
        <v>3.02</v>
      </c>
      <c r="T694" s="1">
        <f t="shared" si="42"/>
        <v>0.47499029126213516</v>
      </c>
      <c r="U694" s="1">
        <f t="shared" si="43"/>
        <v>2.5450097087378616</v>
      </c>
    </row>
    <row r="695" spans="1:21" x14ac:dyDescent="0.3">
      <c r="A695" t="s">
        <v>359</v>
      </c>
      <c r="B695" t="s">
        <v>768</v>
      </c>
      <c r="C695" t="s">
        <v>576</v>
      </c>
      <c r="D695" t="s">
        <v>577</v>
      </c>
      <c r="E695" s="2">
        <v>28.46</v>
      </c>
      <c r="F695" s="2">
        <v>0</v>
      </c>
      <c r="G695" s="2">
        <v>4.6362500000000004</v>
      </c>
      <c r="H695" s="2">
        <v>-4.6772499999999999</v>
      </c>
      <c r="I695" s="1">
        <v>0.82580815179198797</v>
      </c>
      <c r="J695" s="1">
        <v>0.82868938861560004</v>
      </c>
      <c r="K695" s="1">
        <v>0.54930322919580499</v>
      </c>
      <c r="L695" s="1">
        <v>0.60519431121178402</v>
      </c>
      <c r="P695" s="1">
        <f>I695-'Passo 2'!I695</f>
        <v>5.0245959241039917E-2</v>
      </c>
      <c r="Q695" s="1">
        <f>J695-'Passo 2'!J695</f>
        <v>1.7919887561490544E-3</v>
      </c>
      <c r="R695" s="1">
        <f t="shared" si="41"/>
        <v>23.50249999999998</v>
      </c>
      <c r="S695">
        <f t="shared" si="40"/>
        <v>23.584499999999977</v>
      </c>
      <c r="T695" s="1">
        <f t="shared" si="42"/>
        <v>15.633169902912611</v>
      </c>
      <c r="U695" s="1">
        <f t="shared" si="43"/>
        <v>17.223830097087372</v>
      </c>
    </row>
    <row r="696" spans="1:21" x14ac:dyDescent="0.3">
      <c r="A696" t="s">
        <v>359</v>
      </c>
      <c r="B696" t="s">
        <v>530</v>
      </c>
      <c r="C696" t="s">
        <v>574</v>
      </c>
      <c r="D696" t="s">
        <v>575</v>
      </c>
      <c r="E696" s="2">
        <v>503.97899999999998</v>
      </c>
      <c r="F696" s="2">
        <v>0.11899999999999999</v>
      </c>
      <c r="G696" s="2">
        <v>124.09675</v>
      </c>
      <c r="H696" s="2">
        <v>-99.896500000000003</v>
      </c>
      <c r="I696" s="1">
        <v>0.99234987965768395</v>
      </c>
      <c r="J696" s="1">
        <v>0.89631314003162799</v>
      </c>
      <c r="K696" s="1">
        <v>0.71530701886362402</v>
      </c>
      <c r="L696" s="1">
        <v>0.67347406130042997</v>
      </c>
      <c r="P696" s="1">
        <f>I696-'Passo 2'!I696</f>
        <v>1.2897362786978839E-5</v>
      </c>
      <c r="Q696" s="1">
        <f>J696-'Passo 2'!J696</f>
        <v>-6.2730788386023972E-2</v>
      </c>
      <c r="R696" s="1">
        <f t="shared" si="41"/>
        <v>500.12349999999986</v>
      </c>
      <c r="S696">
        <f t="shared" si="40"/>
        <v>451.72299999999984</v>
      </c>
      <c r="T696" s="1">
        <f t="shared" si="42"/>
        <v>360.49971605987037</v>
      </c>
      <c r="U696" s="1">
        <f t="shared" si="43"/>
        <v>339.41678394012939</v>
      </c>
    </row>
    <row r="697" spans="1:21" x14ac:dyDescent="0.3">
      <c r="A697" t="s">
        <v>359</v>
      </c>
      <c r="B697" t="s">
        <v>531</v>
      </c>
      <c r="C697" t="s">
        <v>574</v>
      </c>
      <c r="D697" t="s">
        <v>575</v>
      </c>
      <c r="E697" s="2">
        <v>73.444999999999993</v>
      </c>
      <c r="F697" s="2">
        <v>0</v>
      </c>
      <c r="G697" s="2">
        <v>13.06325</v>
      </c>
      <c r="H697" s="2">
        <v>-13.0625</v>
      </c>
      <c r="I697" s="1">
        <v>0.855728776635577</v>
      </c>
      <c r="J697" s="1">
        <v>0.85570835318946104</v>
      </c>
      <c r="K697" s="1">
        <v>0.56312393187249499</v>
      </c>
      <c r="L697" s="1">
        <v>0.64831319795254405</v>
      </c>
      <c r="P697" s="1">
        <f>I697-'Passo 2'!I697</f>
        <v>6.4252161481380021E-2</v>
      </c>
      <c r="Q697" s="1">
        <f>J697-'Passo 2'!J697</f>
        <v>3.3562529784190165E-3</v>
      </c>
      <c r="R697" s="1">
        <f t="shared" si="41"/>
        <v>62.848999999999947</v>
      </c>
      <c r="S697">
        <f t="shared" si="40"/>
        <v>62.847499999999961</v>
      </c>
      <c r="T697" s="1">
        <f t="shared" si="42"/>
        <v>41.358637176375389</v>
      </c>
      <c r="U697" s="1">
        <f t="shared" si="43"/>
        <v>47.615362823624594</v>
      </c>
    </row>
    <row r="698" spans="1:21" x14ac:dyDescent="0.3">
      <c r="A698" t="s">
        <v>359</v>
      </c>
      <c r="B698" t="s">
        <v>532</v>
      </c>
      <c r="C698" t="s">
        <v>574</v>
      </c>
      <c r="D698" t="s">
        <v>575</v>
      </c>
      <c r="E698" s="2">
        <v>50.832000000000001</v>
      </c>
      <c r="F698" s="2">
        <v>0</v>
      </c>
      <c r="G698" s="2">
        <v>12.555999999999999</v>
      </c>
      <c r="H698" s="2">
        <v>-12.623249999999899</v>
      </c>
      <c r="I698" s="1">
        <v>0.99401951526597399</v>
      </c>
      <c r="J698" s="1">
        <v>0.99666548630783702</v>
      </c>
      <c r="K698" s="1">
        <v>0.71330188717985099</v>
      </c>
      <c r="L698" s="1">
        <v>0.77738311439396002</v>
      </c>
      <c r="P698" s="1">
        <f>I698-'Passo 2'!I698</f>
        <v>3.836166194522983E-3</v>
      </c>
      <c r="Q698" s="1">
        <f>J698-'Passo 2'!J698</f>
        <v>9.836323575984629E-6</v>
      </c>
      <c r="R698" s="1">
        <f t="shared" si="41"/>
        <v>50.527999999999992</v>
      </c>
      <c r="S698">
        <f t="shared" si="40"/>
        <v>50.662499999999973</v>
      </c>
      <c r="T698" s="1">
        <f t="shared" si="42"/>
        <v>36.258561529126183</v>
      </c>
      <c r="U698" s="1">
        <f t="shared" si="43"/>
        <v>39.515938470873778</v>
      </c>
    </row>
    <row r="699" spans="1:21" x14ac:dyDescent="0.3">
      <c r="A699" t="s">
        <v>359</v>
      </c>
      <c r="B699" t="s">
        <v>533</v>
      </c>
      <c r="C699" t="s">
        <v>576</v>
      </c>
      <c r="D699" t="s">
        <v>14</v>
      </c>
      <c r="E699" s="2">
        <v>10.589</v>
      </c>
      <c r="F699" s="2">
        <v>10.589</v>
      </c>
      <c r="G699" s="2">
        <v>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P699" s="1">
        <f>I699-'Passo 2'!I699</f>
        <v>0</v>
      </c>
      <c r="Q699" s="1">
        <f>J699-'Passo 2'!J699</f>
        <v>0</v>
      </c>
      <c r="R699" s="1">
        <f t="shared" si="41"/>
        <v>0</v>
      </c>
      <c r="S699">
        <f t="shared" si="40"/>
        <v>0</v>
      </c>
      <c r="T699" s="1">
        <f t="shared" si="42"/>
        <v>0</v>
      </c>
      <c r="U699" s="1">
        <f t="shared" si="43"/>
        <v>0</v>
      </c>
    </row>
    <row r="700" spans="1:21" x14ac:dyDescent="0.3">
      <c r="A700" t="s">
        <v>359</v>
      </c>
      <c r="B700" t="s">
        <v>769</v>
      </c>
      <c r="C700" t="s">
        <v>574</v>
      </c>
      <c r="D700" t="s">
        <v>575</v>
      </c>
      <c r="E700" s="2">
        <v>78.716999999999999</v>
      </c>
      <c r="F700" s="2">
        <v>0</v>
      </c>
      <c r="G700" s="2">
        <v>13.788500000000001</v>
      </c>
      <c r="H700" s="2">
        <v>-6.8410000000000002</v>
      </c>
      <c r="I700" s="1">
        <v>0.85033093232719703</v>
      </c>
      <c r="J700" s="1">
        <v>0.67381251826162003</v>
      </c>
      <c r="K700" s="1">
        <v>0.68458374687283496</v>
      </c>
      <c r="L700" s="1">
        <v>0.33955970371598199</v>
      </c>
      <c r="P700" s="1">
        <f>I700-'Passo 2'!I700</f>
        <v>1.5212724062147021E-2</v>
      </c>
      <c r="Q700" s="1">
        <f>J700-'Passo 2'!J700</f>
        <v>3.4560514247240048E-2</v>
      </c>
      <c r="R700" s="1">
        <f t="shared" si="41"/>
        <v>66.935499999999962</v>
      </c>
      <c r="S700">
        <f t="shared" si="40"/>
        <v>53.040499999999945</v>
      </c>
      <c r="T700" s="1">
        <f t="shared" si="42"/>
        <v>53.888378802588946</v>
      </c>
      <c r="U700" s="1">
        <f t="shared" si="43"/>
        <v>26.729121197410954</v>
      </c>
    </row>
    <row r="701" spans="1:21" x14ac:dyDescent="0.3">
      <c r="A701" t="s">
        <v>359</v>
      </c>
      <c r="B701" t="s">
        <v>534</v>
      </c>
      <c r="C701" t="s">
        <v>576</v>
      </c>
      <c r="D701" t="s">
        <v>577</v>
      </c>
      <c r="E701" s="2">
        <v>0</v>
      </c>
      <c r="F701" s="2">
        <v>0</v>
      </c>
      <c r="G701" s="2">
        <v>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P701" s="1">
        <f>I701-'Passo 2'!I701</f>
        <v>0</v>
      </c>
      <c r="Q701" s="1">
        <f>J701-'Passo 2'!J701</f>
        <v>0</v>
      </c>
      <c r="R701" s="1">
        <f t="shared" si="41"/>
        <v>0</v>
      </c>
      <c r="S701">
        <f t="shared" si="40"/>
        <v>0</v>
      </c>
      <c r="T701" s="1">
        <f t="shared" si="42"/>
        <v>0</v>
      </c>
      <c r="U701" s="1">
        <f t="shared" si="43"/>
        <v>0</v>
      </c>
    </row>
    <row r="702" spans="1:21" x14ac:dyDescent="0.3">
      <c r="A702" t="s">
        <v>359</v>
      </c>
      <c r="B702" t="s">
        <v>535</v>
      </c>
      <c r="C702" t="s">
        <v>574</v>
      </c>
      <c r="D702" t="s">
        <v>575</v>
      </c>
      <c r="E702" s="2">
        <v>177.035</v>
      </c>
      <c r="F702" s="2">
        <v>3.4809999999999999</v>
      </c>
      <c r="G702" s="2">
        <v>36.813499999999998</v>
      </c>
      <c r="H702" s="2">
        <v>-37.21275</v>
      </c>
      <c r="I702" s="1">
        <v>0.90605812409975395</v>
      </c>
      <c r="J702" s="1">
        <v>0.91056853164628404</v>
      </c>
      <c r="K702" s="1">
        <v>0.53831554001306803</v>
      </c>
      <c r="L702" s="1">
        <v>0.78814250500627703</v>
      </c>
      <c r="P702" s="1">
        <f>I702-'Passo 2'!I702</f>
        <v>-1.3161239302960093E-3</v>
      </c>
      <c r="Q702" s="1">
        <f>J702-'Passo 2'!J702</f>
        <v>1.4149744400820952E-3</v>
      </c>
      <c r="R702" s="1">
        <f t="shared" si="41"/>
        <v>160.40399999999994</v>
      </c>
      <c r="S702">
        <f t="shared" si="40"/>
        <v>161.2024999999999</v>
      </c>
      <c r="T702" s="1">
        <f t="shared" si="42"/>
        <v>95.300691626213492</v>
      </c>
      <c r="U702" s="1">
        <f t="shared" si="43"/>
        <v>139.52880837378626</v>
      </c>
    </row>
    <row r="703" spans="1:21" x14ac:dyDescent="0.3">
      <c r="A703" t="s">
        <v>359</v>
      </c>
      <c r="B703" t="s">
        <v>536</v>
      </c>
      <c r="C703" t="s">
        <v>576</v>
      </c>
      <c r="D703" t="s">
        <v>577</v>
      </c>
      <c r="E703" s="2">
        <v>115.899</v>
      </c>
      <c r="F703" s="2">
        <v>0</v>
      </c>
      <c r="G703" s="2">
        <v>28.97475</v>
      </c>
      <c r="H703" s="2">
        <v>-28.951499999999999</v>
      </c>
      <c r="I703" s="1">
        <v>1</v>
      </c>
      <c r="J703" s="1">
        <v>0.99959878860041895</v>
      </c>
      <c r="K703" s="1">
        <v>0.98139051107466002</v>
      </c>
      <c r="L703" s="1">
        <v>0.51820827752575804</v>
      </c>
      <c r="P703" s="1">
        <f>I703-'Passo 2'!I703</f>
        <v>1.1816322832811976E-2</v>
      </c>
      <c r="Q703" s="1">
        <f>J703-'Passo 2'!J703</f>
        <v>1.5401340822612908E-2</v>
      </c>
      <c r="R703" s="1">
        <f t="shared" si="41"/>
        <v>115.899</v>
      </c>
      <c r="S703">
        <f t="shared" si="40"/>
        <v>115.85249999999996</v>
      </c>
      <c r="T703" s="1">
        <f t="shared" si="42"/>
        <v>113.74217884304203</v>
      </c>
      <c r="U703" s="1">
        <f t="shared" si="43"/>
        <v>60.059821156957831</v>
      </c>
    </row>
    <row r="704" spans="1:21" x14ac:dyDescent="0.3">
      <c r="A704" t="s">
        <v>359</v>
      </c>
      <c r="B704" t="s">
        <v>537</v>
      </c>
      <c r="C704" t="s">
        <v>576</v>
      </c>
      <c r="D704" t="s">
        <v>577</v>
      </c>
      <c r="E704" s="2">
        <v>74.326999999999998</v>
      </c>
      <c r="F704" s="2">
        <v>0</v>
      </c>
      <c r="G704" s="2">
        <v>18.576250000000002</v>
      </c>
      <c r="H704" s="2">
        <v>-18.58175</v>
      </c>
      <c r="I704" s="1">
        <v>0.99985200532780805</v>
      </c>
      <c r="J704" s="1">
        <v>1</v>
      </c>
      <c r="K704" s="1">
        <v>0.97971069675795897</v>
      </c>
      <c r="L704" s="1">
        <v>0.52014130856984897</v>
      </c>
      <c r="P704" s="1">
        <f>I704-'Passo 2'!I704</f>
        <v>1.2714087747390801E-3</v>
      </c>
      <c r="Q704" s="1">
        <f>J704-'Passo 2'!J704</f>
        <v>0</v>
      </c>
      <c r="R704" s="1">
        <f t="shared" si="41"/>
        <v>74.315999999999988</v>
      </c>
      <c r="S704">
        <f t="shared" si="40"/>
        <v>74.326999999999998</v>
      </c>
      <c r="T704" s="1">
        <f t="shared" si="42"/>
        <v>72.818956957928819</v>
      </c>
      <c r="U704" s="1">
        <f t="shared" si="43"/>
        <v>38.660543042071161</v>
      </c>
    </row>
    <row r="705" spans="1:21" x14ac:dyDescent="0.3">
      <c r="A705" t="s">
        <v>359</v>
      </c>
      <c r="B705" t="s">
        <v>770</v>
      </c>
      <c r="C705" t="s">
        <v>574</v>
      </c>
      <c r="D705" t="s">
        <v>575</v>
      </c>
      <c r="E705" s="2">
        <v>248.21</v>
      </c>
      <c r="F705" s="2">
        <v>0</v>
      </c>
      <c r="G705" s="2">
        <v>50.819999999999901</v>
      </c>
      <c r="H705" s="2">
        <v>-50.685000000000002</v>
      </c>
      <c r="I705" s="1">
        <v>0.90949196245115005</v>
      </c>
      <c r="J705" s="1">
        <v>0.90840417388501604</v>
      </c>
      <c r="K705" s="1">
        <v>0.55078916482141504</v>
      </c>
      <c r="L705" s="1">
        <v>0.76710697151475105</v>
      </c>
      <c r="P705" s="1">
        <f>I705-'Passo 2'!I705</f>
        <v>2.6066637121791025E-3</v>
      </c>
      <c r="Q705" s="1">
        <f>J705-'Passo 2'!J705</f>
        <v>3.4990532210628089E-2</v>
      </c>
      <c r="R705" s="1">
        <f t="shared" si="41"/>
        <v>225.74499999999995</v>
      </c>
      <c r="S705">
        <f t="shared" si="40"/>
        <v>225.47499999999985</v>
      </c>
      <c r="T705" s="1">
        <f t="shared" si="42"/>
        <v>136.71137860032343</v>
      </c>
      <c r="U705" s="1">
        <f t="shared" si="43"/>
        <v>190.40362139967635</v>
      </c>
    </row>
    <row r="706" spans="1:21" x14ac:dyDescent="0.3">
      <c r="A706" t="s">
        <v>359</v>
      </c>
      <c r="B706" t="s">
        <v>538</v>
      </c>
      <c r="C706" t="s">
        <v>574</v>
      </c>
      <c r="D706" t="s">
        <v>575</v>
      </c>
      <c r="E706" s="2">
        <v>112.631</v>
      </c>
      <c r="F706" s="2">
        <v>0</v>
      </c>
      <c r="G706" s="2">
        <v>23.060749999999999</v>
      </c>
      <c r="H706" s="2">
        <v>-22.954000000000001</v>
      </c>
      <c r="I706" s="1">
        <v>0.90949205813674705</v>
      </c>
      <c r="J706" s="1">
        <v>0.90759648764549705</v>
      </c>
      <c r="K706" s="1">
        <v>0.71919138445016395</v>
      </c>
      <c r="L706" s="1">
        <v>0.59789716133208004</v>
      </c>
      <c r="P706" s="1">
        <f>I706-'Passo 2'!I706</f>
        <v>2.7709955518463003E-2</v>
      </c>
      <c r="Q706" s="1">
        <f>J706-'Passo 2'!J706</f>
        <v>7.0637746268789048E-2</v>
      </c>
      <c r="R706" s="1">
        <f t="shared" si="41"/>
        <v>102.43699999999995</v>
      </c>
      <c r="S706">
        <f t="shared" ref="S706:S769" si="44">J706*E706</f>
        <v>102.22349999999997</v>
      </c>
      <c r="T706" s="1">
        <f t="shared" si="42"/>
        <v>81.003244822006423</v>
      </c>
      <c r="U706" s="1">
        <f t="shared" si="43"/>
        <v>67.341755177993505</v>
      </c>
    </row>
    <row r="707" spans="1:21" x14ac:dyDescent="0.3">
      <c r="A707" t="s">
        <v>359</v>
      </c>
      <c r="B707" t="s">
        <v>539</v>
      </c>
      <c r="C707" t="s">
        <v>574</v>
      </c>
      <c r="D707" t="s">
        <v>575</v>
      </c>
      <c r="E707" s="2">
        <v>1435.4090000000001</v>
      </c>
      <c r="F707" s="2">
        <v>392.26900000000001</v>
      </c>
      <c r="G707" s="2">
        <v>229.64749999999901</v>
      </c>
      <c r="H707" s="2">
        <v>-144.18699999999899</v>
      </c>
      <c r="I707" s="1">
        <v>0.68333485438645003</v>
      </c>
      <c r="J707" s="1">
        <v>0.56426008196966804</v>
      </c>
      <c r="K707" s="1">
        <v>0.50386502643481601</v>
      </c>
      <c r="L707" s="1">
        <v>0.380370059174929</v>
      </c>
      <c r="P707" s="1">
        <f>I707-'Passo 2'!I707</f>
        <v>9.637148715104904E-2</v>
      </c>
      <c r="Q707" s="1">
        <f>J707-'Passo 2'!J707</f>
        <v>3.1572882711480288E-3</v>
      </c>
      <c r="R707" s="1">
        <f t="shared" ref="R707:R770" si="45">I707*E707</f>
        <v>980.8649999999999</v>
      </c>
      <c r="S707">
        <f t="shared" si="44"/>
        <v>809.94399999999928</v>
      </c>
      <c r="T707" s="1">
        <f t="shared" ref="T707:T770" si="46">K707*E707</f>
        <v>723.25239372977285</v>
      </c>
      <c r="U707" s="1">
        <f t="shared" ref="U707:U770" si="47">L707*E707</f>
        <v>545.98660627022571</v>
      </c>
    </row>
    <row r="708" spans="1:21" x14ac:dyDescent="0.3">
      <c r="A708" t="s">
        <v>359</v>
      </c>
      <c r="B708" t="s">
        <v>540</v>
      </c>
      <c r="C708" t="s">
        <v>576</v>
      </c>
      <c r="D708" t="s">
        <v>14</v>
      </c>
      <c r="E708" s="2">
        <v>0</v>
      </c>
      <c r="F708" s="2">
        <v>0</v>
      </c>
      <c r="G708" s="2">
        <v>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P708" s="1">
        <f>I708-'Passo 2'!I708</f>
        <v>0</v>
      </c>
      <c r="Q708" s="1">
        <f>J708-'Passo 2'!J708</f>
        <v>0</v>
      </c>
      <c r="R708" s="1">
        <f t="shared" si="45"/>
        <v>0</v>
      </c>
      <c r="S708">
        <f t="shared" si="44"/>
        <v>0</v>
      </c>
      <c r="T708" s="1">
        <f t="shared" si="46"/>
        <v>0</v>
      </c>
      <c r="U708" s="1">
        <f t="shared" si="47"/>
        <v>0</v>
      </c>
    </row>
    <row r="709" spans="1:21" x14ac:dyDescent="0.3">
      <c r="A709" t="s">
        <v>359</v>
      </c>
      <c r="B709" t="s">
        <v>771</v>
      </c>
      <c r="C709" t="s">
        <v>576</v>
      </c>
      <c r="D709" t="s">
        <v>577</v>
      </c>
      <c r="E709" s="2">
        <v>75.043000000000006</v>
      </c>
      <c r="F709" s="2">
        <v>0</v>
      </c>
      <c r="G709" s="2">
        <v>18.760750000000002</v>
      </c>
      <c r="H709" s="2">
        <v>-18.760750000000002</v>
      </c>
      <c r="I709" s="1">
        <v>1</v>
      </c>
      <c r="J709" s="1">
        <v>1</v>
      </c>
      <c r="K709" s="1">
        <v>0.99230666057824801</v>
      </c>
      <c r="L709" s="1">
        <v>0.50769333942175199</v>
      </c>
      <c r="P709" s="1">
        <f>I709-'Passo 2'!I709</f>
        <v>3.6645656490297274E-4</v>
      </c>
      <c r="Q709" s="1">
        <f>J709-'Passo 2'!J709</f>
        <v>2.7317671201898541E-4</v>
      </c>
      <c r="R709" s="1">
        <f t="shared" si="45"/>
        <v>75.043000000000006</v>
      </c>
      <c r="S709">
        <f t="shared" si="44"/>
        <v>75.043000000000006</v>
      </c>
      <c r="T709" s="1">
        <f t="shared" si="46"/>
        <v>74.465668729773469</v>
      </c>
      <c r="U709" s="1">
        <f t="shared" si="47"/>
        <v>38.09883127022654</v>
      </c>
    </row>
    <row r="710" spans="1:21" x14ac:dyDescent="0.3">
      <c r="A710" t="s">
        <v>359</v>
      </c>
      <c r="B710" t="s">
        <v>541</v>
      </c>
      <c r="C710" t="s">
        <v>576</v>
      </c>
      <c r="D710" t="s">
        <v>14</v>
      </c>
      <c r="E710" s="2">
        <v>0</v>
      </c>
      <c r="F710" s="2">
        <v>0</v>
      </c>
      <c r="G710" s="2">
        <v>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P710" s="1">
        <f>I710-'Passo 2'!I710</f>
        <v>0</v>
      </c>
      <c r="Q710" s="1">
        <f>J710-'Passo 2'!J710</f>
        <v>0</v>
      </c>
      <c r="R710" s="1">
        <f t="shared" si="45"/>
        <v>0</v>
      </c>
      <c r="S710">
        <f t="shared" si="44"/>
        <v>0</v>
      </c>
      <c r="T710" s="1">
        <f t="shared" si="46"/>
        <v>0</v>
      </c>
      <c r="U710" s="1">
        <f t="shared" si="47"/>
        <v>0</v>
      </c>
    </row>
    <row r="711" spans="1:21" x14ac:dyDescent="0.3">
      <c r="A711" t="s">
        <v>359</v>
      </c>
      <c r="B711" t="s">
        <v>772</v>
      </c>
      <c r="C711" t="s">
        <v>574</v>
      </c>
      <c r="D711" t="s">
        <v>575</v>
      </c>
      <c r="E711" s="2">
        <v>255.84399999999999</v>
      </c>
      <c r="F711" s="2">
        <v>0</v>
      </c>
      <c r="G711" s="2">
        <v>52.09975</v>
      </c>
      <c r="H711" s="2">
        <v>-52.119750000000003</v>
      </c>
      <c r="I711" s="1">
        <v>0.90727748159034405</v>
      </c>
      <c r="J711" s="1">
        <v>0.90743382686324403</v>
      </c>
      <c r="K711" s="1">
        <v>0.74188343287315694</v>
      </c>
      <c r="L711" s="1">
        <v>0.57282787558043102</v>
      </c>
      <c r="P711" s="1">
        <f>I711-'Passo 2'!I711</f>
        <v>8.0556901862079977E-3</v>
      </c>
      <c r="Q711" s="1">
        <f>J711-'Passo 2'!J711</f>
        <v>4.2310939478740206E-3</v>
      </c>
      <c r="R711" s="1">
        <f t="shared" si="45"/>
        <v>232.12149999999997</v>
      </c>
      <c r="S711">
        <f t="shared" si="44"/>
        <v>232.16149999999979</v>
      </c>
      <c r="T711" s="1">
        <f t="shared" si="46"/>
        <v>189.80642499999996</v>
      </c>
      <c r="U711" s="1">
        <f t="shared" si="47"/>
        <v>146.5545749999998</v>
      </c>
    </row>
    <row r="712" spans="1:21" x14ac:dyDescent="0.3">
      <c r="A712" t="s">
        <v>359</v>
      </c>
      <c r="B712" t="s">
        <v>773</v>
      </c>
      <c r="C712" t="s">
        <v>576</v>
      </c>
      <c r="D712" t="s">
        <v>14</v>
      </c>
      <c r="E712" s="2">
        <v>0</v>
      </c>
      <c r="F712" s="2">
        <v>0</v>
      </c>
      <c r="G712" s="2">
        <v>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P712" s="1">
        <f>I712-'Passo 2'!I712</f>
        <v>0</v>
      </c>
      <c r="Q712" s="1">
        <f>J712-'Passo 2'!J712</f>
        <v>0</v>
      </c>
      <c r="R712" s="1">
        <f t="shared" si="45"/>
        <v>0</v>
      </c>
      <c r="S712">
        <f t="shared" si="44"/>
        <v>0</v>
      </c>
      <c r="T712" s="1">
        <f t="shared" si="46"/>
        <v>0</v>
      </c>
      <c r="U712" s="1">
        <f t="shared" si="47"/>
        <v>0</v>
      </c>
    </row>
    <row r="713" spans="1:21" x14ac:dyDescent="0.3">
      <c r="A713" t="s">
        <v>359</v>
      </c>
      <c r="B713" t="s">
        <v>542</v>
      </c>
      <c r="C713" t="s">
        <v>574</v>
      </c>
      <c r="D713" t="s">
        <v>575</v>
      </c>
      <c r="E713" s="2">
        <v>106.59699999999999</v>
      </c>
      <c r="F713" s="2">
        <v>0</v>
      </c>
      <c r="G713" s="2">
        <v>17.215499999999999</v>
      </c>
      <c r="H713" s="2">
        <v>-17.133500000000002</v>
      </c>
      <c r="I713" s="1">
        <v>0.82300158541047097</v>
      </c>
      <c r="J713" s="1">
        <v>0.82146308057450002</v>
      </c>
      <c r="K713" s="1">
        <v>0.60121634243639599</v>
      </c>
      <c r="L713" s="1">
        <v>0.543248323548575</v>
      </c>
      <c r="P713" s="1">
        <f>I713-'Passo 2'!I713</f>
        <v>-5.2534311472207662E-4</v>
      </c>
      <c r="Q713" s="1">
        <f>J713-'Passo 2'!J713</f>
        <v>2.1107535859399285E-4</v>
      </c>
      <c r="R713" s="1">
        <f t="shared" si="45"/>
        <v>87.729499999999973</v>
      </c>
      <c r="S713">
        <f t="shared" si="44"/>
        <v>87.565499999999972</v>
      </c>
      <c r="T713" s="1">
        <f t="shared" si="46"/>
        <v>64.087858454692494</v>
      </c>
      <c r="U713" s="1">
        <f t="shared" si="47"/>
        <v>57.908641545307447</v>
      </c>
    </row>
    <row r="714" spans="1:21" x14ac:dyDescent="0.3">
      <c r="A714" t="s">
        <v>359</v>
      </c>
      <c r="B714" t="s">
        <v>543</v>
      </c>
      <c r="C714" t="s">
        <v>574</v>
      </c>
      <c r="D714" t="s">
        <v>575</v>
      </c>
      <c r="E714" s="2">
        <v>0</v>
      </c>
      <c r="F714" s="2">
        <v>0</v>
      </c>
      <c r="G714" s="2">
        <v>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P714" s="1">
        <f>I714-'Passo 2'!I714</f>
        <v>0</v>
      </c>
      <c r="Q714" s="1">
        <f>J714-'Passo 2'!J714</f>
        <v>0</v>
      </c>
      <c r="R714" s="1">
        <f t="shared" si="45"/>
        <v>0</v>
      </c>
      <c r="S714">
        <f t="shared" si="44"/>
        <v>0</v>
      </c>
      <c r="T714" s="1">
        <f t="shared" si="46"/>
        <v>0</v>
      </c>
      <c r="U714" s="1">
        <f t="shared" si="47"/>
        <v>0</v>
      </c>
    </row>
    <row r="715" spans="1:21" x14ac:dyDescent="0.3">
      <c r="A715" t="s">
        <v>359</v>
      </c>
      <c r="B715" t="s">
        <v>774</v>
      </c>
      <c r="C715" t="s">
        <v>576</v>
      </c>
      <c r="D715" t="s">
        <v>14</v>
      </c>
      <c r="E715" s="2">
        <v>0</v>
      </c>
      <c r="F715" s="2">
        <v>0</v>
      </c>
      <c r="G715" s="2">
        <v>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P715" s="1">
        <f>I715-'Passo 2'!I715</f>
        <v>0</v>
      </c>
      <c r="Q715" s="1">
        <f>J715-'Passo 2'!J715</f>
        <v>0</v>
      </c>
      <c r="R715" s="1">
        <f t="shared" si="45"/>
        <v>0</v>
      </c>
      <c r="S715">
        <f t="shared" si="44"/>
        <v>0</v>
      </c>
      <c r="T715" s="1">
        <f t="shared" si="46"/>
        <v>0</v>
      </c>
      <c r="U715" s="1">
        <f t="shared" si="47"/>
        <v>0</v>
      </c>
    </row>
    <row r="716" spans="1:21" x14ac:dyDescent="0.3">
      <c r="A716" t="s">
        <v>359</v>
      </c>
      <c r="B716" t="s">
        <v>544</v>
      </c>
      <c r="C716" t="s">
        <v>574</v>
      </c>
      <c r="D716" t="s">
        <v>575</v>
      </c>
      <c r="E716" s="2">
        <v>64.009</v>
      </c>
      <c r="F716" s="2">
        <v>0</v>
      </c>
      <c r="G716" s="2">
        <v>8.2490000000000006</v>
      </c>
      <c r="H716" s="2">
        <v>-8.2497500000000006</v>
      </c>
      <c r="I716" s="1">
        <v>0.75774500460872596</v>
      </c>
      <c r="J716" s="1">
        <v>0.75776843881329103</v>
      </c>
      <c r="K716" s="1">
        <v>0.57908562779981199</v>
      </c>
      <c r="L716" s="1">
        <v>0.43642781562220601</v>
      </c>
      <c r="P716" s="1">
        <f>I716-'Passo 2'!I716</f>
        <v>6.2491212172943733E-5</v>
      </c>
      <c r="Q716" s="1">
        <f>J716-'Passo 2'!J716</f>
        <v>8.5925416738019678E-5</v>
      </c>
      <c r="R716" s="1">
        <f t="shared" si="45"/>
        <v>48.502499999999941</v>
      </c>
      <c r="S716">
        <f t="shared" si="44"/>
        <v>48.503999999999948</v>
      </c>
      <c r="T716" s="1">
        <f t="shared" si="46"/>
        <v>37.066691949838166</v>
      </c>
      <c r="U716" s="1">
        <f t="shared" si="47"/>
        <v>27.935308050161783</v>
      </c>
    </row>
    <row r="717" spans="1:21" x14ac:dyDescent="0.3">
      <c r="A717" t="s">
        <v>359</v>
      </c>
      <c r="B717" t="s">
        <v>545</v>
      </c>
      <c r="C717" t="s">
        <v>574</v>
      </c>
      <c r="D717" t="s">
        <v>575</v>
      </c>
      <c r="E717" s="2">
        <v>135.47900000000001</v>
      </c>
      <c r="F717" s="2">
        <v>12.507</v>
      </c>
      <c r="G717" s="2">
        <v>25.929499999999901</v>
      </c>
      <c r="H717" s="2">
        <v>-26.225999999999999</v>
      </c>
      <c r="I717" s="1">
        <v>0.83662412624834803</v>
      </c>
      <c r="J717" s="1">
        <v>0.84100118837605797</v>
      </c>
      <c r="K717" s="1">
        <v>0.70294634952321</v>
      </c>
      <c r="L717" s="1">
        <v>0.520837410321488</v>
      </c>
      <c r="P717" s="1">
        <f>I717-'Passo 2'!I717</f>
        <v>6.995180064807105E-2</v>
      </c>
      <c r="Q717" s="1">
        <f>J717-'Passo 2'!J717</f>
        <v>8.0193240280782008E-2</v>
      </c>
      <c r="R717" s="1">
        <f t="shared" si="45"/>
        <v>113.34499999999996</v>
      </c>
      <c r="S717">
        <f t="shared" si="44"/>
        <v>113.93799999999997</v>
      </c>
      <c r="T717" s="1">
        <f t="shared" si="46"/>
        <v>95.234468487054983</v>
      </c>
      <c r="U717" s="1">
        <f t="shared" si="47"/>
        <v>70.562531512944886</v>
      </c>
    </row>
    <row r="718" spans="1:21" x14ac:dyDescent="0.3">
      <c r="A718" t="s">
        <v>359</v>
      </c>
      <c r="B718" t="s">
        <v>546</v>
      </c>
      <c r="C718" t="s">
        <v>574</v>
      </c>
      <c r="D718" t="s">
        <v>575</v>
      </c>
      <c r="E718" s="2">
        <v>73.096999999999994</v>
      </c>
      <c r="F718" s="2">
        <v>0</v>
      </c>
      <c r="G718" s="2">
        <v>16.731750000000002</v>
      </c>
      <c r="H718" s="2">
        <v>-15.073499999999999</v>
      </c>
      <c r="I718" s="1">
        <v>0.95779580557341604</v>
      </c>
      <c r="J718" s="1">
        <v>0.91242458650833802</v>
      </c>
      <c r="K718" s="1">
        <v>0.82485215397119804</v>
      </c>
      <c r="L718" s="1">
        <v>0.54536823811055601</v>
      </c>
      <c r="P718" s="1">
        <f>I718-'Passo 2'!I718</f>
        <v>4.5480662681095074E-2</v>
      </c>
      <c r="Q718" s="1">
        <f>J718-'Passo 2'!J718</f>
        <v>0</v>
      </c>
      <c r="R718" s="1">
        <f t="shared" si="45"/>
        <v>70.011999999999986</v>
      </c>
      <c r="S718">
        <f t="shared" si="44"/>
        <v>66.695499999999981</v>
      </c>
      <c r="T718" s="1">
        <f t="shared" si="46"/>
        <v>60.294217898832656</v>
      </c>
      <c r="U718" s="1">
        <f t="shared" si="47"/>
        <v>39.864782101167307</v>
      </c>
    </row>
    <row r="719" spans="1:21" x14ac:dyDescent="0.3">
      <c r="A719" t="s">
        <v>359</v>
      </c>
      <c r="B719" t="s">
        <v>547</v>
      </c>
      <c r="C719" t="s">
        <v>574</v>
      </c>
      <c r="D719" t="s">
        <v>575</v>
      </c>
      <c r="E719" s="2">
        <v>56.171999999999997</v>
      </c>
      <c r="F719" s="2">
        <v>0</v>
      </c>
      <c r="G719" s="2">
        <v>13.79</v>
      </c>
      <c r="H719" s="2">
        <v>-13.808</v>
      </c>
      <c r="I719" s="1">
        <v>0.99099195328633405</v>
      </c>
      <c r="J719" s="1">
        <v>0.99163284198532997</v>
      </c>
      <c r="K719" s="1">
        <v>0.66994782495372995</v>
      </c>
      <c r="L719" s="1">
        <v>0.81267697031793396</v>
      </c>
      <c r="P719" s="1">
        <f>I719-'Passo 2'!I719</f>
        <v>1.6022217474900291E-3</v>
      </c>
      <c r="Q719" s="1">
        <f>J719-'Passo 2'!J719</f>
        <v>8.901231929980824E-6</v>
      </c>
      <c r="R719" s="1">
        <f t="shared" si="45"/>
        <v>55.665999999999954</v>
      </c>
      <c r="S719">
        <f t="shared" si="44"/>
        <v>55.701999999999956</v>
      </c>
      <c r="T719" s="1">
        <f t="shared" si="46"/>
        <v>37.632309223300915</v>
      </c>
      <c r="U719" s="1">
        <f t="shared" si="47"/>
        <v>45.649690776698982</v>
      </c>
    </row>
    <row r="720" spans="1:21" x14ac:dyDescent="0.3">
      <c r="A720" t="s">
        <v>359</v>
      </c>
      <c r="B720" t="s">
        <v>548</v>
      </c>
      <c r="C720" t="s">
        <v>574</v>
      </c>
      <c r="D720" t="s">
        <v>575</v>
      </c>
      <c r="E720" s="2">
        <v>350</v>
      </c>
      <c r="F720" s="2">
        <v>0.128</v>
      </c>
      <c r="G720" s="2">
        <v>62.701749999999997</v>
      </c>
      <c r="H720" s="2">
        <v>-56.009749999999997</v>
      </c>
      <c r="I720" s="1">
        <v>0.85811285714285701</v>
      </c>
      <c r="J720" s="1">
        <v>0.81987285714285696</v>
      </c>
      <c r="K720" s="1">
        <v>0.64054225658807196</v>
      </c>
      <c r="L720" s="1">
        <v>0.53762631484049905</v>
      </c>
      <c r="P720" s="1">
        <f>I720-'Passo 2'!I720</f>
        <v>9.5142857142860304E-3</v>
      </c>
      <c r="Q720" s="1">
        <f>J720-'Passo 2'!J720</f>
        <v>3.2628571428570119E-3</v>
      </c>
      <c r="R720" s="1">
        <f t="shared" si="45"/>
        <v>300.33949999999993</v>
      </c>
      <c r="S720">
        <f t="shared" si="44"/>
        <v>286.95549999999992</v>
      </c>
      <c r="T720" s="1">
        <f t="shared" si="46"/>
        <v>224.18978980582517</v>
      </c>
      <c r="U720" s="1">
        <f t="shared" si="47"/>
        <v>188.16921019417467</v>
      </c>
    </row>
    <row r="721" spans="1:21" x14ac:dyDescent="0.3">
      <c r="A721" t="s">
        <v>359</v>
      </c>
      <c r="B721" t="s">
        <v>549</v>
      </c>
      <c r="C721" t="s">
        <v>574</v>
      </c>
      <c r="D721" t="s">
        <v>575</v>
      </c>
      <c r="E721" s="2">
        <v>0</v>
      </c>
      <c r="F721" s="2">
        <v>0</v>
      </c>
      <c r="G721" s="2">
        <v>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P721" s="1">
        <f>I721-'Passo 2'!I721</f>
        <v>0</v>
      </c>
      <c r="Q721" s="1">
        <f>J721-'Passo 2'!J721</f>
        <v>0</v>
      </c>
      <c r="R721" s="1">
        <f t="shared" si="45"/>
        <v>0</v>
      </c>
      <c r="S721">
        <f t="shared" si="44"/>
        <v>0</v>
      </c>
      <c r="T721" s="1">
        <f t="shared" si="46"/>
        <v>0</v>
      </c>
      <c r="U721" s="1">
        <f t="shared" si="47"/>
        <v>0</v>
      </c>
    </row>
    <row r="722" spans="1:21" x14ac:dyDescent="0.3">
      <c r="A722" t="s">
        <v>359</v>
      </c>
      <c r="B722" t="s">
        <v>550</v>
      </c>
      <c r="C722" t="s">
        <v>574</v>
      </c>
      <c r="D722" t="s">
        <v>575</v>
      </c>
      <c r="E722" s="2">
        <v>116.00700000000001</v>
      </c>
      <c r="F722" s="2">
        <v>0</v>
      </c>
      <c r="G722" s="2">
        <v>22.524249999999999</v>
      </c>
      <c r="H722" s="2">
        <v>-26.495000000000001</v>
      </c>
      <c r="I722" s="1">
        <v>0.88832570448335002</v>
      </c>
      <c r="J722" s="1">
        <v>0.95678278034946096</v>
      </c>
      <c r="K722" s="1">
        <v>0.65147221161439195</v>
      </c>
      <c r="L722" s="1">
        <v>0.69363627321841903</v>
      </c>
      <c r="P722" s="1">
        <f>I722-'Passo 2'!I722</f>
        <v>0</v>
      </c>
      <c r="Q722" s="1">
        <f>J722-'Passo 2'!J722</f>
        <v>3.4868585516389938E-3</v>
      </c>
      <c r="R722" s="1">
        <f t="shared" si="45"/>
        <v>103.05199999999999</v>
      </c>
      <c r="S722">
        <f t="shared" si="44"/>
        <v>110.99349999999993</v>
      </c>
      <c r="T722" s="1">
        <f t="shared" si="46"/>
        <v>75.575336852750766</v>
      </c>
      <c r="U722" s="1">
        <f t="shared" si="47"/>
        <v>80.466663147249136</v>
      </c>
    </row>
    <row r="723" spans="1:21" x14ac:dyDescent="0.3">
      <c r="A723" t="s">
        <v>359</v>
      </c>
      <c r="B723" t="s">
        <v>775</v>
      </c>
      <c r="C723" t="s">
        <v>574</v>
      </c>
      <c r="D723" t="s">
        <v>575</v>
      </c>
      <c r="E723" s="2">
        <v>46.021999999999998</v>
      </c>
      <c r="F723" s="2">
        <v>0</v>
      </c>
      <c r="G723" s="2">
        <v>11.298249999999999</v>
      </c>
      <c r="H723" s="2">
        <v>-11.22125</v>
      </c>
      <c r="I723" s="1">
        <v>0.99099343792099404</v>
      </c>
      <c r="J723" s="1">
        <v>0.987647212202859</v>
      </c>
      <c r="K723" s="1">
        <v>0.757747258627821</v>
      </c>
      <c r="L723" s="1">
        <v>0.72089339149603204</v>
      </c>
      <c r="P723" s="1">
        <f>I723-'Passo 2'!I723</f>
        <v>2.607448611530172E-4</v>
      </c>
      <c r="Q723" s="1">
        <f>J723-'Passo 2'!J723</f>
        <v>1.1298943983309995E-3</v>
      </c>
      <c r="R723" s="1">
        <f t="shared" si="45"/>
        <v>45.607499999999987</v>
      </c>
      <c r="S723">
        <f t="shared" si="44"/>
        <v>45.453499999999977</v>
      </c>
      <c r="T723" s="1">
        <f t="shared" si="46"/>
        <v>34.873044336569578</v>
      </c>
      <c r="U723" s="1">
        <f t="shared" si="47"/>
        <v>33.176955663430384</v>
      </c>
    </row>
    <row r="724" spans="1:21" x14ac:dyDescent="0.3">
      <c r="A724" t="s">
        <v>359</v>
      </c>
      <c r="B724" t="s">
        <v>551</v>
      </c>
      <c r="C724" t="s">
        <v>574</v>
      </c>
      <c r="D724" t="s">
        <v>575</v>
      </c>
      <c r="E724" s="2">
        <v>100.131</v>
      </c>
      <c r="F724" s="2">
        <v>0</v>
      </c>
      <c r="G724" s="2">
        <v>19.98</v>
      </c>
      <c r="H724" s="2">
        <v>-19.823</v>
      </c>
      <c r="I724" s="1">
        <v>0.89907720885639797</v>
      </c>
      <c r="J724" s="1">
        <v>0.89594131687489298</v>
      </c>
      <c r="K724" s="1">
        <v>0.651824913570342</v>
      </c>
      <c r="L724" s="1">
        <v>0.64319361216094895</v>
      </c>
      <c r="P724" s="1">
        <f>I724-'Passo 2'!I724</f>
        <v>1.6278674935840121E-3</v>
      </c>
      <c r="Q724" s="1">
        <f>J724-'Passo 2'!J724</f>
        <v>1.1619778090701027E-2</v>
      </c>
      <c r="R724" s="1">
        <f t="shared" si="45"/>
        <v>90.02549999999998</v>
      </c>
      <c r="S724">
        <f t="shared" si="44"/>
        <v>89.711499999999916</v>
      </c>
      <c r="T724" s="1">
        <f t="shared" si="46"/>
        <v>65.267880420711919</v>
      </c>
      <c r="U724" s="1">
        <f t="shared" si="47"/>
        <v>64.403619579287977</v>
      </c>
    </row>
    <row r="725" spans="1:21" x14ac:dyDescent="0.3">
      <c r="A725" t="s">
        <v>359</v>
      </c>
      <c r="B725" t="s">
        <v>552</v>
      </c>
      <c r="C725" t="s">
        <v>574</v>
      </c>
      <c r="D725" t="s">
        <v>575</v>
      </c>
      <c r="E725" s="2">
        <v>70.424000000000007</v>
      </c>
      <c r="F725" s="2">
        <v>0</v>
      </c>
      <c r="G725" s="2">
        <v>13.856249999999999</v>
      </c>
      <c r="H725" s="2">
        <v>-14.1065</v>
      </c>
      <c r="I725" s="1">
        <v>0.89350931500624697</v>
      </c>
      <c r="J725" s="1">
        <v>0.90061626718164201</v>
      </c>
      <c r="K725" s="1">
        <v>0.64400261515822599</v>
      </c>
      <c r="L725" s="1">
        <v>0.65012296702966399</v>
      </c>
      <c r="P725" s="1">
        <f>I725-'Passo 2'!I725</f>
        <v>6.9223560149940244E-3</v>
      </c>
      <c r="Q725" s="1">
        <f>J725-'Passo 2'!J725</f>
        <v>0</v>
      </c>
      <c r="R725" s="1">
        <f t="shared" si="45"/>
        <v>62.924499999999945</v>
      </c>
      <c r="S725">
        <f t="shared" si="44"/>
        <v>63.424999999999962</v>
      </c>
      <c r="T725" s="1">
        <f t="shared" si="46"/>
        <v>45.353240169902911</v>
      </c>
      <c r="U725" s="1">
        <f t="shared" si="47"/>
        <v>45.784259830097064</v>
      </c>
    </row>
    <row r="726" spans="1:21" x14ac:dyDescent="0.3">
      <c r="A726" t="s">
        <v>359</v>
      </c>
      <c r="B726" t="s">
        <v>553</v>
      </c>
      <c r="C726" t="s">
        <v>574</v>
      </c>
      <c r="D726" t="s">
        <v>575</v>
      </c>
      <c r="E726" s="2">
        <v>91.843999999999994</v>
      </c>
      <c r="F726" s="2">
        <v>0</v>
      </c>
      <c r="G726" s="2">
        <v>14.674249999999899</v>
      </c>
      <c r="H726" s="2">
        <v>-22.665749999999999</v>
      </c>
      <c r="I726" s="1">
        <v>0.81954727581551301</v>
      </c>
      <c r="J726" s="1">
        <v>0.99357061974652605</v>
      </c>
      <c r="K726" s="1">
        <v>0.55401747822641101</v>
      </c>
      <c r="L726" s="1">
        <v>0.75910041733562805</v>
      </c>
      <c r="P726" s="1">
        <f>I726-'Passo 2'!I726</f>
        <v>1.3827794956670081E-3</v>
      </c>
      <c r="Q726" s="1">
        <f>J726-'Passo 2'!J726</f>
        <v>9.2548233962097548E-5</v>
      </c>
      <c r="R726" s="1">
        <f t="shared" si="45"/>
        <v>75.27049999999997</v>
      </c>
      <c r="S726">
        <f t="shared" si="44"/>
        <v>91.253499999999931</v>
      </c>
      <c r="T726" s="1">
        <f t="shared" si="46"/>
        <v>50.883181270226487</v>
      </c>
      <c r="U726" s="1">
        <f t="shared" si="47"/>
        <v>69.718818729773417</v>
      </c>
    </row>
    <row r="727" spans="1:21" x14ac:dyDescent="0.3">
      <c r="A727" t="s">
        <v>359</v>
      </c>
      <c r="B727" t="s">
        <v>554</v>
      </c>
      <c r="C727" t="s">
        <v>574</v>
      </c>
      <c r="D727" t="s">
        <v>575</v>
      </c>
      <c r="E727" s="2">
        <v>212.29499999999999</v>
      </c>
      <c r="F727" s="2">
        <v>1.1299999999999999</v>
      </c>
      <c r="G727" s="2">
        <v>51.140500000000003</v>
      </c>
      <c r="H727" s="2">
        <v>-40.943249999999999</v>
      </c>
      <c r="I727" s="1">
        <v>0.97912574483619497</v>
      </c>
      <c r="J727" s="1">
        <v>0.88305895098801201</v>
      </c>
      <c r="K727" s="1">
        <v>0.76277803559359802</v>
      </c>
      <c r="L727" s="1">
        <v>0.60206805121956197</v>
      </c>
      <c r="P727" s="1">
        <f>I727-'Passo 2'!I727</f>
        <v>5.5038978779529013E-2</v>
      </c>
      <c r="Q727" s="1">
        <f>J727-'Passo 2'!J727</f>
        <v>5.0048281871930556E-3</v>
      </c>
      <c r="R727" s="1">
        <f t="shared" si="45"/>
        <v>207.86349999999999</v>
      </c>
      <c r="S727">
        <f t="shared" si="44"/>
        <v>187.46899999999999</v>
      </c>
      <c r="T727" s="1">
        <f t="shared" si="46"/>
        <v>161.93396306634287</v>
      </c>
      <c r="U727" s="1">
        <f t="shared" si="47"/>
        <v>127.8160369336569</v>
      </c>
    </row>
    <row r="728" spans="1:21" x14ac:dyDescent="0.3">
      <c r="A728" t="s">
        <v>359</v>
      </c>
      <c r="B728" t="s">
        <v>555</v>
      </c>
      <c r="C728" t="s">
        <v>574</v>
      </c>
      <c r="D728" t="s">
        <v>575</v>
      </c>
      <c r="E728" s="2">
        <v>47.223999999999997</v>
      </c>
      <c r="F728" s="2">
        <v>0</v>
      </c>
      <c r="G728" s="2">
        <v>8.2732500000000009</v>
      </c>
      <c r="H728" s="2">
        <v>-9.4127500000000008</v>
      </c>
      <c r="I728" s="1">
        <v>0.85038327968829397</v>
      </c>
      <c r="J728" s="1">
        <v>0.89864263933593003</v>
      </c>
      <c r="K728" s="1">
        <v>0.60245691178776395</v>
      </c>
      <c r="L728" s="1">
        <v>0.64656900723646005</v>
      </c>
      <c r="P728" s="1">
        <f>I728-'Passo 2'!I728</f>
        <v>1.3764187701169606E-3</v>
      </c>
      <c r="Q728" s="1">
        <f>J728-'Passo 2'!J728</f>
        <v>3.016474673894598E-2</v>
      </c>
      <c r="R728" s="1">
        <f t="shared" si="45"/>
        <v>40.158499999999989</v>
      </c>
      <c r="S728">
        <f t="shared" si="44"/>
        <v>42.437499999999957</v>
      </c>
      <c r="T728" s="1">
        <f t="shared" si="46"/>
        <v>28.450425202265361</v>
      </c>
      <c r="U728" s="1">
        <f t="shared" si="47"/>
        <v>30.533574797734587</v>
      </c>
    </row>
    <row r="729" spans="1:21" x14ac:dyDescent="0.3">
      <c r="A729" t="s">
        <v>359</v>
      </c>
      <c r="B729" t="s">
        <v>556</v>
      </c>
      <c r="C729" t="s">
        <v>574</v>
      </c>
      <c r="D729" t="s">
        <v>575</v>
      </c>
      <c r="E729" s="2">
        <v>62.033000000000001</v>
      </c>
      <c r="F729" s="2">
        <v>0</v>
      </c>
      <c r="G729" s="2">
        <v>14.9085</v>
      </c>
      <c r="H729" s="2">
        <v>-14.791</v>
      </c>
      <c r="I729" s="1">
        <v>0.98066351780503902</v>
      </c>
      <c r="J729" s="1">
        <v>0.97687521158093205</v>
      </c>
      <c r="K729" s="1">
        <v>0.85255591266617303</v>
      </c>
      <c r="L729" s="1">
        <v>0.60498281671979803</v>
      </c>
      <c r="P729" s="1">
        <f>I729-'Passo 2'!I729</f>
        <v>2.5268808537391996E-2</v>
      </c>
      <c r="Q729" s="1">
        <f>J729-'Passo 2'!J729</f>
        <v>1.684587235826096E-3</v>
      </c>
      <c r="R729" s="1">
        <f t="shared" si="45"/>
        <v>60.833499999999987</v>
      </c>
      <c r="S729">
        <f t="shared" si="44"/>
        <v>60.598499999999959</v>
      </c>
      <c r="T729" s="1">
        <f t="shared" si="46"/>
        <v>52.886600930420713</v>
      </c>
      <c r="U729" s="1">
        <f t="shared" si="47"/>
        <v>37.528899069579232</v>
      </c>
    </row>
    <row r="730" spans="1:21" x14ac:dyDescent="0.3">
      <c r="A730" t="s">
        <v>359</v>
      </c>
      <c r="B730" t="s">
        <v>557</v>
      </c>
      <c r="C730" t="s">
        <v>576</v>
      </c>
      <c r="D730" t="s">
        <v>577</v>
      </c>
      <c r="E730" s="2">
        <v>502.26799999999997</v>
      </c>
      <c r="F730" s="2">
        <v>0</v>
      </c>
      <c r="G730" s="2">
        <v>102.87875</v>
      </c>
      <c r="H730" s="2">
        <v>-106.7085</v>
      </c>
      <c r="I730" s="1">
        <v>0.90965679676985101</v>
      </c>
      <c r="J730" s="1">
        <v>0.92490662355555198</v>
      </c>
      <c r="K730" s="1">
        <v>0.86889246148080701</v>
      </c>
      <c r="L730" s="1">
        <v>0.46567095884459597</v>
      </c>
      <c r="P730" s="1">
        <f>I730-'Passo 2'!I730</f>
        <v>0.120017600165648</v>
      </c>
      <c r="Q730" s="1">
        <f>J730-'Passo 2'!J730</f>
        <v>5.9938120684579488E-3</v>
      </c>
      <c r="R730" s="1">
        <f t="shared" si="45"/>
        <v>456.8914999999995</v>
      </c>
      <c r="S730">
        <f t="shared" si="44"/>
        <v>464.55099999999993</v>
      </c>
      <c r="T730" s="1">
        <f t="shared" si="46"/>
        <v>436.41687884304196</v>
      </c>
      <c r="U730" s="1">
        <f t="shared" si="47"/>
        <v>233.89162115695751</v>
      </c>
    </row>
    <row r="731" spans="1:21" x14ac:dyDescent="0.3">
      <c r="A731" t="s">
        <v>359</v>
      </c>
      <c r="B731" t="s">
        <v>558</v>
      </c>
      <c r="C731" t="s">
        <v>576</v>
      </c>
      <c r="D731" t="s">
        <v>14</v>
      </c>
      <c r="E731" s="2">
        <v>58.851999999999997</v>
      </c>
      <c r="F731" s="2">
        <v>0</v>
      </c>
      <c r="G731" s="2">
        <v>9.6084999999999994</v>
      </c>
      <c r="H731" s="2">
        <v>-11.988</v>
      </c>
      <c r="I731" s="1">
        <v>0.82653095901583595</v>
      </c>
      <c r="J731" s="1">
        <v>0.907394820906681</v>
      </c>
      <c r="K731" s="1">
        <v>0.64953384454579299</v>
      </c>
      <c r="L731" s="1">
        <v>0.58439193537672396</v>
      </c>
      <c r="P731" s="1">
        <f>I731-'Passo 2'!I731</f>
        <v>-1.2828790865220263E-3</v>
      </c>
      <c r="Q731" s="1">
        <f>J731-'Passo 2'!J731</f>
        <v>4.941208455107704E-2</v>
      </c>
      <c r="R731" s="1">
        <f t="shared" si="45"/>
        <v>48.642999999999972</v>
      </c>
      <c r="S731">
        <f t="shared" si="44"/>
        <v>53.401999999999987</v>
      </c>
      <c r="T731" s="1">
        <f t="shared" si="46"/>
        <v>38.226365819209008</v>
      </c>
      <c r="U731" s="1">
        <f t="shared" si="47"/>
        <v>34.392634180790957</v>
      </c>
    </row>
    <row r="732" spans="1:21" x14ac:dyDescent="0.3">
      <c r="A732" t="s">
        <v>359</v>
      </c>
      <c r="B732" t="s">
        <v>776</v>
      </c>
      <c r="C732" t="s">
        <v>576</v>
      </c>
      <c r="D732" t="s">
        <v>14</v>
      </c>
      <c r="E732" s="2">
        <v>41.709000000000003</v>
      </c>
      <c r="F732" s="2">
        <v>0</v>
      </c>
      <c r="G732" s="2">
        <v>10.306749999999999</v>
      </c>
      <c r="H732" s="2">
        <v>-10.3035</v>
      </c>
      <c r="I732" s="1">
        <v>0.99422187057949096</v>
      </c>
      <c r="J732" s="1">
        <v>0.99406602891462204</v>
      </c>
      <c r="K732" s="1">
        <v>0.75219061220207994</v>
      </c>
      <c r="L732" s="1">
        <v>0.73609728729203305</v>
      </c>
      <c r="P732" s="1">
        <f>I732-'Passo 2'!I732</f>
        <v>4.231700592199017E-3</v>
      </c>
      <c r="Q732" s="1">
        <f>J732-'Passo 2'!J732</f>
        <v>1.6782948524307617E-4</v>
      </c>
      <c r="R732" s="1">
        <f t="shared" si="45"/>
        <v>41.467999999999989</v>
      </c>
      <c r="S732">
        <f t="shared" si="44"/>
        <v>41.461499999999972</v>
      </c>
      <c r="T732" s="1">
        <f t="shared" si="46"/>
        <v>31.373118244336556</v>
      </c>
      <c r="U732" s="1">
        <f t="shared" si="47"/>
        <v>30.701881755663408</v>
      </c>
    </row>
    <row r="733" spans="1:21" x14ac:dyDescent="0.3">
      <c r="A733" t="s">
        <v>359</v>
      </c>
      <c r="B733" t="s">
        <v>777</v>
      </c>
      <c r="C733" t="s">
        <v>574</v>
      </c>
      <c r="D733" t="s">
        <v>575</v>
      </c>
      <c r="E733" s="2">
        <v>3484.3939999999998</v>
      </c>
      <c r="F733" s="2">
        <v>0.53900000000000003</v>
      </c>
      <c r="G733" s="2">
        <v>644.43449999999996</v>
      </c>
      <c r="H733" s="2">
        <v>-543.84574999999995</v>
      </c>
      <c r="I733" s="1">
        <v>0.86982026142852897</v>
      </c>
      <c r="J733" s="1">
        <v>0.81208353590323001</v>
      </c>
      <c r="K733" s="1">
        <v>0.58246701999959405</v>
      </c>
      <c r="L733" s="1">
        <v>0.59951412220189004</v>
      </c>
      <c r="P733" s="1">
        <f>I733-'Passo 2'!I733</f>
        <v>0.11381290405160793</v>
      </c>
      <c r="Q733" s="1">
        <f>J733-'Passo 2'!J733</f>
        <v>9.5512447788625998E-2</v>
      </c>
      <c r="R733" s="1">
        <f t="shared" si="45"/>
        <v>3030.7964999999976</v>
      </c>
      <c r="S733">
        <f t="shared" si="44"/>
        <v>2829.6189999999992</v>
      </c>
      <c r="T733" s="1">
        <f t="shared" si="46"/>
        <v>2029.5445896844653</v>
      </c>
      <c r="U733" s="1">
        <f t="shared" si="47"/>
        <v>2088.9434103155322</v>
      </c>
    </row>
    <row r="734" spans="1:21" x14ac:dyDescent="0.3">
      <c r="A734" t="s">
        <v>359</v>
      </c>
      <c r="B734" t="s">
        <v>778</v>
      </c>
      <c r="C734" t="s">
        <v>576</v>
      </c>
      <c r="D734" t="s">
        <v>577</v>
      </c>
      <c r="E734" s="2">
        <v>368.75</v>
      </c>
      <c r="F734" s="2">
        <v>0</v>
      </c>
      <c r="G734" s="2">
        <v>92.1875</v>
      </c>
      <c r="H734" s="2">
        <v>-92.1875</v>
      </c>
      <c r="I734" s="1">
        <v>1</v>
      </c>
      <c r="J734" s="1">
        <v>1</v>
      </c>
      <c r="K734" s="1">
        <v>0.97552606691898403</v>
      </c>
      <c r="L734" s="1">
        <v>0.52447393308101498</v>
      </c>
      <c r="P734" s="1">
        <f>I734-'Passo 2'!I734</f>
        <v>2.7731525423729031E-2</v>
      </c>
      <c r="Q734" s="1">
        <f>J734-'Passo 2'!J734</f>
        <v>1.6271186440679486E-3</v>
      </c>
      <c r="R734" s="1">
        <f t="shared" si="45"/>
        <v>368.75</v>
      </c>
      <c r="S734">
        <f t="shared" si="44"/>
        <v>368.75</v>
      </c>
      <c r="T734" s="1">
        <f t="shared" si="46"/>
        <v>359.72523717637534</v>
      </c>
      <c r="U734" s="1">
        <f t="shared" si="47"/>
        <v>193.39976282362429</v>
      </c>
    </row>
    <row r="735" spans="1:21" x14ac:dyDescent="0.3">
      <c r="A735" t="s">
        <v>359</v>
      </c>
      <c r="B735" t="s">
        <v>559</v>
      </c>
      <c r="C735" t="s">
        <v>574</v>
      </c>
      <c r="D735" t="s">
        <v>575</v>
      </c>
      <c r="E735" s="2">
        <v>1165.433</v>
      </c>
      <c r="F735" s="2">
        <v>0</v>
      </c>
      <c r="G735" s="2">
        <v>285.15224999999998</v>
      </c>
      <c r="H735" s="2">
        <v>-209.47925000000001</v>
      </c>
      <c r="I735" s="1">
        <v>0.98934988111714695</v>
      </c>
      <c r="J735" s="1">
        <v>0.85948741798112804</v>
      </c>
      <c r="K735" s="1">
        <v>0.72472191881308501</v>
      </c>
      <c r="L735" s="1">
        <v>0.62411538028518898</v>
      </c>
      <c r="P735" s="1">
        <f>I735-'Passo 2'!I735</f>
        <v>0.1350206318166729</v>
      </c>
      <c r="Q735" s="1">
        <f>J735-'Passo 2'!J735</f>
        <v>3.2563004479880808E-3</v>
      </c>
      <c r="R735" s="1">
        <f t="shared" si="45"/>
        <v>1153.021</v>
      </c>
      <c r="S735">
        <f t="shared" si="44"/>
        <v>1001.675</v>
      </c>
      <c r="T735" s="1">
        <f t="shared" si="46"/>
        <v>844.61484000809014</v>
      </c>
      <c r="U735" s="1">
        <f t="shared" si="47"/>
        <v>727.36465999190864</v>
      </c>
    </row>
    <row r="736" spans="1:21" x14ac:dyDescent="0.3">
      <c r="A736" t="s">
        <v>359</v>
      </c>
      <c r="B736" t="s">
        <v>779</v>
      </c>
      <c r="C736" t="s">
        <v>574</v>
      </c>
      <c r="D736" t="s">
        <v>575</v>
      </c>
      <c r="E736" s="2">
        <v>197.47</v>
      </c>
      <c r="F736" s="2">
        <v>0.39</v>
      </c>
      <c r="G736" s="2">
        <v>34.120249999999999</v>
      </c>
      <c r="H736" s="2">
        <v>-34.349499999999999</v>
      </c>
      <c r="I736" s="1">
        <v>0.84458651947131202</v>
      </c>
      <c r="J736" s="1">
        <v>0.84690839114802197</v>
      </c>
      <c r="K736" s="1">
        <v>0.68860545221485403</v>
      </c>
      <c r="L736" s="1">
        <v>0.50387695017538203</v>
      </c>
      <c r="P736" s="1">
        <f>I736-'Passo 2'!I736</f>
        <v>-8.8874259381099829E-4</v>
      </c>
      <c r="Q736" s="1">
        <f>J736-'Passo 2'!J736</f>
        <v>3.9018585101530112E-3</v>
      </c>
      <c r="R736" s="1">
        <f t="shared" si="45"/>
        <v>166.78049999999999</v>
      </c>
      <c r="S736">
        <f t="shared" si="44"/>
        <v>167.23899999999989</v>
      </c>
      <c r="T736" s="1">
        <f t="shared" si="46"/>
        <v>135.97891864886722</v>
      </c>
      <c r="U736" s="1">
        <f t="shared" si="47"/>
        <v>99.500581351132695</v>
      </c>
    </row>
    <row r="737" spans="1:21" x14ac:dyDescent="0.3">
      <c r="A737" t="s">
        <v>359</v>
      </c>
      <c r="B737" t="s">
        <v>780</v>
      </c>
      <c r="C737" t="s">
        <v>574</v>
      </c>
      <c r="D737" t="s">
        <v>575</v>
      </c>
      <c r="E737" s="2">
        <v>307.21899999999999</v>
      </c>
      <c r="F737" s="2">
        <v>0</v>
      </c>
      <c r="G737" s="2">
        <v>76.594750000000005</v>
      </c>
      <c r="H737" s="2">
        <v>-76.467749999999995</v>
      </c>
      <c r="I737" s="1">
        <v>0.99863289705389302</v>
      </c>
      <c r="J737" s="1">
        <v>0.99780612527220003</v>
      </c>
      <c r="K737" s="1">
        <v>0.79611984044650796</v>
      </c>
      <c r="L737" s="1">
        <v>0.70031918187958397</v>
      </c>
      <c r="P737" s="1">
        <f>I737-'Passo 2'!I737</f>
        <v>2.2898974347290713E-3</v>
      </c>
      <c r="Q737" s="1">
        <f>J737-'Passo 2'!J737</f>
        <v>3.1573568041098898E-4</v>
      </c>
      <c r="R737" s="1">
        <f t="shared" si="45"/>
        <v>306.79899999999998</v>
      </c>
      <c r="S737">
        <f t="shared" si="44"/>
        <v>306.54500000000002</v>
      </c>
      <c r="T737" s="1">
        <f t="shared" si="46"/>
        <v>244.58314126213571</v>
      </c>
      <c r="U737" s="1">
        <f t="shared" si="47"/>
        <v>215.15135873786392</v>
      </c>
    </row>
    <row r="738" spans="1:21" x14ac:dyDescent="0.3">
      <c r="A738" t="s">
        <v>359</v>
      </c>
      <c r="B738" t="s">
        <v>560</v>
      </c>
      <c r="C738" t="s">
        <v>574</v>
      </c>
      <c r="D738" t="s">
        <v>575</v>
      </c>
      <c r="E738" s="2">
        <v>377.63200000000001</v>
      </c>
      <c r="F738" s="2">
        <v>0</v>
      </c>
      <c r="G738" s="2">
        <v>71.686750000000004</v>
      </c>
      <c r="H738" s="2">
        <v>-71.870750000000001</v>
      </c>
      <c r="I738" s="1">
        <v>0.879664594102194</v>
      </c>
      <c r="J738" s="1">
        <v>0.88063908778916999</v>
      </c>
      <c r="K738" s="1">
        <v>0.65202883921820798</v>
      </c>
      <c r="L738" s="1">
        <v>0.60827484267315601</v>
      </c>
      <c r="P738" s="1">
        <f>I738-'Passo 2'!I738</f>
        <v>8.8988750953310491E-3</v>
      </c>
      <c r="Q738" s="1">
        <f>J738-'Passo 2'!J738</f>
        <v>1.0724726718069899E-3</v>
      </c>
      <c r="R738" s="1">
        <f t="shared" si="45"/>
        <v>332.18949999999973</v>
      </c>
      <c r="S738">
        <f t="shared" si="44"/>
        <v>332.55749999999983</v>
      </c>
      <c r="T738" s="1">
        <f t="shared" si="46"/>
        <v>246.22695461165031</v>
      </c>
      <c r="U738" s="1">
        <f t="shared" si="47"/>
        <v>229.70404538834924</v>
      </c>
    </row>
    <row r="739" spans="1:21" x14ac:dyDescent="0.3">
      <c r="A739" t="s">
        <v>359</v>
      </c>
      <c r="B739" t="s">
        <v>561</v>
      </c>
      <c r="C739" t="s">
        <v>574</v>
      </c>
      <c r="D739" t="s">
        <v>575</v>
      </c>
      <c r="E739" s="2">
        <v>58.387</v>
      </c>
      <c r="F739" s="2">
        <v>0</v>
      </c>
      <c r="G739" s="2">
        <v>13.311249999999999</v>
      </c>
      <c r="H739" s="2">
        <v>-14.562250000000001</v>
      </c>
      <c r="I739" s="1">
        <v>0.95596622535838405</v>
      </c>
      <c r="J739" s="1">
        <v>0.998818230085464</v>
      </c>
      <c r="K739" s="1">
        <v>0.679056480243446</v>
      </c>
      <c r="L739" s="1">
        <v>0.77572797520040204</v>
      </c>
      <c r="P739" s="1">
        <f>I739-'Passo 2'!I739</f>
        <v>1.0276260126400594E-3</v>
      </c>
      <c r="Q739" s="1">
        <f>J739-'Passo 2'!J739</f>
        <v>9.3342696148102089E-4</v>
      </c>
      <c r="R739" s="1">
        <f t="shared" si="45"/>
        <v>55.815999999999967</v>
      </c>
      <c r="S739">
        <f t="shared" si="44"/>
        <v>58.317999999999984</v>
      </c>
      <c r="T739" s="1">
        <f t="shared" si="46"/>
        <v>39.648070711974086</v>
      </c>
      <c r="U739" s="1">
        <f t="shared" si="47"/>
        <v>45.292429288025872</v>
      </c>
    </row>
    <row r="740" spans="1:21" x14ac:dyDescent="0.3">
      <c r="A740" t="s">
        <v>359</v>
      </c>
      <c r="B740" t="s">
        <v>781</v>
      </c>
      <c r="C740" t="s">
        <v>574</v>
      </c>
      <c r="D740" t="s">
        <v>575</v>
      </c>
      <c r="E740" s="2">
        <v>40.789000000000001</v>
      </c>
      <c r="F740" s="2">
        <v>0</v>
      </c>
      <c r="G740" s="2">
        <v>6.6407499999999997</v>
      </c>
      <c r="H740" s="2">
        <v>-7.4899999999999904</v>
      </c>
      <c r="I740" s="1">
        <v>0.82561474907450505</v>
      </c>
      <c r="J740" s="1">
        <v>0.86725587781019298</v>
      </c>
      <c r="K740" s="1">
        <v>0.61694511540605801</v>
      </c>
      <c r="L740" s="1">
        <v>0.57592551147864002</v>
      </c>
      <c r="P740" s="1">
        <f>I740-'Passo 2'!I740</f>
        <v>1.2969182867930029E-2</v>
      </c>
      <c r="Q740" s="1">
        <f>J740-'Passo 2'!J740</f>
        <v>4.0390791634998924E-2</v>
      </c>
      <c r="R740" s="1">
        <f t="shared" si="45"/>
        <v>33.675999999999988</v>
      </c>
      <c r="S740">
        <f t="shared" si="44"/>
        <v>35.374499999999962</v>
      </c>
      <c r="T740" s="1">
        <f t="shared" si="46"/>
        <v>25.164574312297702</v>
      </c>
      <c r="U740" s="1">
        <f t="shared" si="47"/>
        <v>23.49142568770225</v>
      </c>
    </row>
    <row r="741" spans="1:21" x14ac:dyDescent="0.3">
      <c r="A741" t="s">
        <v>359</v>
      </c>
      <c r="B741" t="s">
        <v>782</v>
      </c>
      <c r="C741" t="s">
        <v>574</v>
      </c>
      <c r="D741" t="s">
        <v>575</v>
      </c>
      <c r="E741" s="2">
        <v>72.882999999999996</v>
      </c>
      <c r="F741" s="2">
        <v>3.2000000000000001E-2</v>
      </c>
      <c r="G741" s="2">
        <v>15.853999999999999</v>
      </c>
      <c r="H741" s="2">
        <v>-15.781000000000001</v>
      </c>
      <c r="I741" s="1">
        <v>0.93483391188617304</v>
      </c>
      <c r="J741" s="1">
        <v>0.93283070126092504</v>
      </c>
      <c r="K741" s="1">
        <v>0.69869574732246897</v>
      </c>
      <c r="L741" s="1">
        <v>0.66918839575616296</v>
      </c>
      <c r="P741" s="1">
        <f>I741-'Passo 2'!I741</f>
        <v>1.7836806937140404E-3</v>
      </c>
      <c r="Q741" s="1">
        <f>J741-'Passo 2'!J741</f>
        <v>8.3009755361407311E-4</v>
      </c>
      <c r="R741" s="1">
        <f t="shared" si="45"/>
        <v>68.133499999999941</v>
      </c>
      <c r="S741">
        <f t="shared" si="44"/>
        <v>67.987499999999997</v>
      </c>
      <c r="T741" s="1">
        <f t="shared" si="46"/>
        <v>50.923042152103505</v>
      </c>
      <c r="U741" s="1">
        <f t="shared" si="47"/>
        <v>48.772457847896419</v>
      </c>
    </row>
    <row r="742" spans="1:21" x14ac:dyDescent="0.3">
      <c r="A742" t="s">
        <v>359</v>
      </c>
      <c r="B742" t="s">
        <v>783</v>
      </c>
      <c r="C742" t="s">
        <v>574</v>
      </c>
      <c r="D742" t="s">
        <v>575</v>
      </c>
      <c r="E742" s="2">
        <v>46.353000000000002</v>
      </c>
      <c r="F742" s="2">
        <v>0</v>
      </c>
      <c r="G742" s="2">
        <v>11.385</v>
      </c>
      <c r="H742" s="2">
        <v>-11.34125</v>
      </c>
      <c r="I742" s="1">
        <v>0.99123034107824703</v>
      </c>
      <c r="J742" s="1">
        <v>0.98934265311846004</v>
      </c>
      <c r="K742" s="1">
        <v>0.68571394435706701</v>
      </c>
      <c r="L742" s="1">
        <v>0.79485904983963895</v>
      </c>
      <c r="P742" s="1">
        <f>I742-'Passo 2'!I742</f>
        <v>2.5791210924859032E-2</v>
      </c>
      <c r="Q742" s="1">
        <f>J742-'Passo 2'!J742</f>
        <v>3.333117597567048E-3</v>
      </c>
      <c r="R742" s="1">
        <f t="shared" si="45"/>
        <v>45.946499999999986</v>
      </c>
      <c r="S742">
        <f t="shared" si="44"/>
        <v>45.85899999999998</v>
      </c>
      <c r="T742" s="1">
        <f t="shared" si="46"/>
        <v>31.784898462783129</v>
      </c>
      <c r="U742" s="1">
        <f t="shared" si="47"/>
        <v>36.844101537216787</v>
      </c>
    </row>
    <row r="743" spans="1:21" x14ac:dyDescent="0.3">
      <c r="A743" t="s">
        <v>359</v>
      </c>
      <c r="B743" t="s">
        <v>784</v>
      </c>
      <c r="C743" t="s">
        <v>576</v>
      </c>
      <c r="D743" t="s">
        <v>14</v>
      </c>
      <c r="E743" s="2">
        <v>0</v>
      </c>
      <c r="F743" s="2">
        <v>0</v>
      </c>
      <c r="G743" s="2">
        <v>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P743" s="1">
        <f>I743-'Passo 2'!I743</f>
        <v>0</v>
      </c>
      <c r="Q743" s="1">
        <f>J743-'Passo 2'!J743</f>
        <v>0</v>
      </c>
      <c r="R743" s="1">
        <f t="shared" si="45"/>
        <v>0</v>
      </c>
      <c r="S743">
        <f t="shared" si="44"/>
        <v>0</v>
      </c>
      <c r="T743" s="1">
        <f t="shared" si="46"/>
        <v>0</v>
      </c>
      <c r="U743" s="1">
        <f t="shared" si="47"/>
        <v>0</v>
      </c>
    </row>
    <row r="744" spans="1:21" x14ac:dyDescent="0.3">
      <c r="A744" t="s">
        <v>359</v>
      </c>
      <c r="B744" t="s">
        <v>723</v>
      </c>
      <c r="C744" t="s">
        <v>576</v>
      </c>
      <c r="D744" t="s">
        <v>14</v>
      </c>
      <c r="E744" s="2">
        <v>50.994</v>
      </c>
      <c r="F744" s="2">
        <v>0</v>
      </c>
      <c r="G744" s="2">
        <v>12.583</v>
      </c>
      <c r="H744" s="2">
        <v>-12.55725</v>
      </c>
      <c r="I744" s="1">
        <v>0.99350904027924802</v>
      </c>
      <c r="J744" s="1">
        <v>0.99249911754324005</v>
      </c>
      <c r="K744" s="1">
        <v>0.83457603290383697</v>
      </c>
      <c r="L744" s="1">
        <v>0.65143212491865099</v>
      </c>
      <c r="P744" s="1">
        <f>I744-'Passo 2'!I744</f>
        <v>1.8041338196650436E-3</v>
      </c>
      <c r="Q744" s="1">
        <f>J744-'Passo 2'!J744</f>
        <v>2.35321802565025E-4</v>
      </c>
      <c r="R744" s="1">
        <f t="shared" si="45"/>
        <v>50.662999999999975</v>
      </c>
      <c r="S744">
        <f t="shared" si="44"/>
        <v>50.611499999999985</v>
      </c>
      <c r="T744" s="1">
        <f t="shared" si="46"/>
        <v>42.558370221898265</v>
      </c>
      <c r="U744" s="1">
        <f t="shared" si="47"/>
        <v>33.219129778101689</v>
      </c>
    </row>
    <row r="745" spans="1:21" x14ac:dyDescent="0.3">
      <c r="A745" t="s">
        <v>359</v>
      </c>
      <c r="B745" t="s">
        <v>785</v>
      </c>
      <c r="C745" t="s">
        <v>576</v>
      </c>
      <c r="D745" t="s">
        <v>14</v>
      </c>
      <c r="E745" s="2">
        <v>71.334000000000003</v>
      </c>
      <c r="F745" s="2">
        <v>0</v>
      </c>
      <c r="G745" s="2">
        <v>9.0824999999999996</v>
      </c>
      <c r="H745" s="2">
        <v>-11.753499999999899</v>
      </c>
      <c r="I745" s="1">
        <v>0.754647152830347</v>
      </c>
      <c r="J745" s="1">
        <v>0.82953430341772505</v>
      </c>
      <c r="K745" s="1">
        <v>0.64265751973736196</v>
      </c>
      <c r="L745" s="1">
        <v>0.44152393651070998</v>
      </c>
      <c r="P745" s="1">
        <f>I745-'Passo 2'!I745</f>
        <v>-1.2210166260128053E-2</v>
      </c>
      <c r="Q745" s="1">
        <f>J745-'Passo 2'!J745</f>
        <v>8.8050578966551996E-2</v>
      </c>
      <c r="R745" s="1">
        <f t="shared" si="45"/>
        <v>53.831999999999972</v>
      </c>
      <c r="S745">
        <f t="shared" si="44"/>
        <v>59.173999999999999</v>
      </c>
      <c r="T745" s="1">
        <f t="shared" si="46"/>
        <v>45.843331512944978</v>
      </c>
      <c r="U745" s="1">
        <f t="shared" si="47"/>
        <v>31.495668487054989</v>
      </c>
    </row>
    <row r="746" spans="1:21" x14ac:dyDescent="0.3">
      <c r="A746" t="s">
        <v>359</v>
      </c>
      <c r="B746" t="s">
        <v>786</v>
      </c>
      <c r="C746" t="s">
        <v>574</v>
      </c>
      <c r="D746" t="s">
        <v>575</v>
      </c>
      <c r="E746" s="2">
        <v>50.465000000000003</v>
      </c>
      <c r="F746" s="2">
        <v>0</v>
      </c>
      <c r="G746" s="2">
        <v>12.615500000000001</v>
      </c>
      <c r="H746" s="2">
        <v>-10.949</v>
      </c>
      <c r="I746" s="1">
        <v>0.99997027642920799</v>
      </c>
      <c r="J746" s="1">
        <v>0.93392450213018896</v>
      </c>
      <c r="K746" s="1">
        <v>0.86408684829788396</v>
      </c>
      <c r="L746" s="1">
        <v>0.569807930261512</v>
      </c>
      <c r="P746" s="1">
        <f>I746-'Passo 2'!I746</f>
        <v>3.8135341325670979E-2</v>
      </c>
      <c r="Q746" s="1">
        <f>J746-'Passo 2'!J746</f>
        <v>5.4889527395229898E-3</v>
      </c>
      <c r="R746" s="1">
        <f t="shared" si="45"/>
        <v>50.463499999999982</v>
      </c>
      <c r="S746">
        <f t="shared" si="44"/>
        <v>47.130499999999991</v>
      </c>
      <c r="T746" s="1">
        <f t="shared" si="46"/>
        <v>43.606142799352718</v>
      </c>
      <c r="U746" s="1">
        <f t="shared" si="47"/>
        <v>28.755357200647204</v>
      </c>
    </row>
    <row r="747" spans="1:21" x14ac:dyDescent="0.3">
      <c r="A747" t="s">
        <v>359</v>
      </c>
      <c r="B747" t="s">
        <v>787</v>
      </c>
      <c r="C747" t="s">
        <v>574</v>
      </c>
      <c r="D747" t="s">
        <v>575</v>
      </c>
      <c r="E747" s="2">
        <v>698.14200000000005</v>
      </c>
      <c r="F747" s="2">
        <v>0</v>
      </c>
      <c r="G747" s="2">
        <v>159.05074999999999</v>
      </c>
      <c r="H747" s="2">
        <v>-142.37575000000001</v>
      </c>
      <c r="I747" s="1">
        <v>0.95564011332937904</v>
      </c>
      <c r="J747" s="1">
        <v>0.90787046188311205</v>
      </c>
      <c r="K747" s="1">
        <v>0.689817045558623</v>
      </c>
      <c r="L747" s="1">
        <v>0.67369352965386897</v>
      </c>
      <c r="P747" s="1">
        <f>I747-'Passo 2'!I747</f>
        <v>5.5479401038757037E-2</v>
      </c>
      <c r="Q747" s="1">
        <f>J747-'Passo 2'!J747</f>
        <v>3.6494008382249032E-2</v>
      </c>
      <c r="R747" s="1">
        <f t="shared" si="45"/>
        <v>667.17249999999945</v>
      </c>
      <c r="S747">
        <f t="shared" si="44"/>
        <v>633.82249999999965</v>
      </c>
      <c r="T747" s="1">
        <f t="shared" si="46"/>
        <v>481.59025182038823</v>
      </c>
      <c r="U747" s="1">
        <f t="shared" si="47"/>
        <v>470.3337481796114</v>
      </c>
    </row>
    <row r="748" spans="1:21" x14ac:dyDescent="0.3">
      <c r="A748" t="s">
        <v>359</v>
      </c>
      <c r="B748" t="s">
        <v>788</v>
      </c>
      <c r="C748" t="s">
        <v>574</v>
      </c>
      <c r="D748" t="s">
        <v>575</v>
      </c>
      <c r="E748" s="2">
        <v>245.55</v>
      </c>
      <c r="F748" s="2">
        <v>8.9999999999999993E-3</v>
      </c>
      <c r="G748" s="2">
        <v>60.279000000000003</v>
      </c>
      <c r="H748" s="2">
        <v>-59.749250000000004</v>
      </c>
      <c r="I748" s="1">
        <v>0.99095296273671296</v>
      </c>
      <c r="J748" s="1">
        <v>0.98663815923437104</v>
      </c>
      <c r="K748" s="1">
        <v>0.67480900283954004</v>
      </c>
      <c r="L748" s="1">
        <v>0.80280044533801997</v>
      </c>
      <c r="P748" s="1">
        <f>I748-'Passo 2'!I748</f>
        <v>6.739971492569774E-4</v>
      </c>
      <c r="Q748" s="1">
        <f>J748-'Passo 2'!J748</f>
        <v>7.3712074933807159E-4</v>
      </c>
      <c r="R748" s="1">
        <f t="shared" si="45"/>
        <v>243.32849999999988</v>
      </c>
      <c r="S748">
        <f t="shared" si="44"/>
        <v>242.26899999999981</v>
      </c>
      <c r="T748" s="1">
        <f t="shared" si="46"/>
        <v>165.69935064724908</v>
      </c>
      <c r="U748" s="1">
        <f t="shared" si="47"/>
        <v>197.12764935275081</v>
      </c>
    </row>
    <row r="749" spans="1:21" x14ac:dyDescent="0.3">
      <c r="A749" t="s">
        <v>359</v>
      </c>
      <c r="B749" t="s">
        <v>789</v>
      </c>
      <c r="C749" t="s">
        <v>574</v>
      </c>
      <c r="D749" t="s">
        <v>575</v>
      </c>
      <c r="E749" s="2">
        <v>1679.0329999999999</v>
      </c>
      <c r="F749" s="2">
        <v>511.37599999999998</v>
      </c>
      <c r="G749" s="2">
        <v>252.54849999999999</v>
      </c>
      <c r="H749" s="2">
        <v>-210.24574999999999</v>
      </c>
      <c r="I749" s="1">
        <v>0.64854323887618603</v>
      </c>
      <c r="J749" s="1">
        <v>0.59815381829898495</v>
      </c>
      <c r="K749" s="1">
        <v>0.47608920332913801</v>
      </c>
      <c r="L749" s="1">
        <v>0.42289074524840498</v>
      </c>
      <c r="P749" s="1">
        <f>I749-'Passo 2'!I749</f>
        <v>4.811757720068599E-2</v>
      </c>
      <c r="Q749" s="1">
        <f>J749-'Passo 2'!J749</f>
        <v>3.3292972800391674E-4</v>
      </c>
      <c r="R749" s="1">
        <f t="shared" si="45"/>
        <v>1088.9254999999991</v>
      </c>
      <c r="S749">
        <f t="shared" si="44"/>
        <v>1004.3199999999996</v>
      </c>
      <c r="T749" s="1">
        <f t="shared" si="46"/>
        <v>799.36948333333248</v>
      </c>
      <c r="U749" s="1">
        <f t="shared" si="47"/>
        <v>710.04751666666516</v>
      </c>
    </row>
    <row r="750" spans="1:21" x14ac:dyDescent="0.3">
      <c r="A750" t="s">
        <v>359</v>
      </c>
      <c r="B750" t="s">
        <v>790</v>
      </c>
      <c r="C750" t="s">
        <v>574</v>
      </c>
      <c r="D750" t="s">
        <v>575</v>
      </c>
      <c r="E750" s="2">
        <v>516.63900000000001</v>
      </c>
      <c r="F750" s="2">
        <v>0.67600000000000005</v>
      </c>
      <c r="G750" s="2">
        <v>107.05200000000001</v>
      </c>
      <c r="H750" s="2">
        <v>-104.021999999999</v>
      </c>
      <c r="I750" s="1">
        <v>0.91376280149194999</v>
      </c>
      <c r="J750" s="1">
        <v>0.90203314112949196</v>
      </c>
      <c r="K750" s="1">
        <v>0.76897966446696797</v>
      </c>
      <c r="L750" s="1">
        <v>0.54747050673574704</v>
      </c>
      <c r="P750" s="1">
        <f>I750-'Passo 2'!I750</f>
        <v>1.1304798902133983E-2</v>
      </c>
      <c r="Q750" s="1">
        <f>J750-'Passo 2'!J750</f>
        <v>2.1752132533547908E-2</v>
      </c>
      <c r="R750" s="1">
        <f t="shared" si="45"/>
        <v>472.08549999999957</v>
      </c>
      <c r="S750">
        <f t="shared" si="44"/>
        <v>466.02549999999962</v>
      </c>
      <c r="T750" s="1">
        <f t="shared" si="46"/>
        <v>397.28488487054989</v>
      </c>
      <c r="U750" s="1">
        <f t="shared" si="47"/>
        <v>282.84461512944961</v>
      </c>
    </row>
    <row r="751" spans="1:21" x14ac:dyDescent="0.3">
      <c r="A751" t="s">
        <v>359</v>
      </c>
      <c r="B751" t="s">
        <v>562</v>
      </c>
      <c r="C751" t="s">
        <v>574</v>
      </c>
      <c r="D751" t="s">
        <v>575</v>
      </c>
      <c r="E751" s="2">
        <v>1814.703</v>
      </c>
      <c r="F751" s="2">
        <v>0</v>
      </c>
      <c r="G751" s="2">
        <v>398.30500000000001</v>
      </c>
      <c r="H751" s="2">
        <v>-390.93549999999999</v>
      </c>
      <c r="I751" s="1">
        <v>0.93897541360762604</v>
      </c>
      <c r="J751" s="1">
        <v>0.93085342339765798</v>
      </c>
      <c r="K751" s="1">
        <v>0.67730126526789003</v>
      </c>
      <c r="L751" s="1">
        <v>0.69252757173739299</v>
      </c>
      <c r="P751" s="1">
        <f>I751-'Passo 2'!I751</f>
        <v>9.1381344495490291E-3</v>
      </c>
      <c r="Q751" s="1">
        <f>J751-'Passo 2'!J751</f>
        <v>7.2384296493696931E-2</v>
      </c>
      <c r="R751" s="1">
        <f t="shared" si="45"/>
        <v>1703.9614999999999</v>
      </c>
      <c r="S751">
        <f t="shared" si="44"/>
        <v>1689.2225000000001</v>
      </c>
      <c r="T751" s="1">
        <f t="shared" si="46"/>
        <v>1229.1006379854359</v>
      </c>
      <c r="U751" s="1">
        <f t="shared" si="47"/>
        <v>1256.7318620145622</v>
      </c>
    </row>
    <row r="752" spans="1:21" x14ac:dyDescent="0.3">
      <c r="A752" t="s">
        <v>359</v>
      </c>
      <c r="B752" t="s">
        <v>563</v>
      </c>
      <c r="C752" t="s">
        <v>576</v>
      </c>
      <c r="D752" t="s">
        <v>589</v>
      </c>
      <c r="E752" s="2">
        <v>0</v>
      </c>
      <c r="F752" s="2">
        <v>0</v>
      </c>
      <c r="G752" s="2">
        <v>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P752" s="1">
        <f>I752-'Passo 2'!I752</f>
        <v>0</v>
      </c>
      <c r="Q752" s="1">
        <f>J752-'Passo 2'!J752</f>
        <v>0</v>
      </c>
      <c r="R752" s="1">
        <f t="shared" si="45"/>
        <v>0</v>
      </c>
      <c r="S752">
        <f t="shared" si="44"/>
        <v>0</v>
      </c>
      <c r="T752" s="1">
        <f t="shared" si="46"/>
        <v>0</v>
      </c>
      <c r="U752" s="1">
        <f t="shared" si="47"/>
        <v>0</v>
      </c>
    </row>
    <row r="753" spans="1:21" x14ac:dyDescent="0.3">
      <c r="A753" t="s">
        <v>359</v>
      </c>
      <c r="B753" t="s">
        <v>791</v>
      </c>
      <c r="C753" t="s">
        <v>576</v>
      </c>
      <c r="D753" t="s">
        <v>577</v>
      </c>
      <c r="E753" s="2">
        <v>919.36400000000003</v>
      </c>
      <c r="F753" s="2">
        <v>0</v>
      </c>
      <c r="G753" s="2">
        <v>228.72225</v>
      </c>
      <c r="H753" s="2">
        <v>-229.84100000000001</v>
      </c>
      <c r="I753" s="1">
        <v>0.99756625232225704</v>
      </c>
      <c r="J753" s="1">
        <v>1</v>
      </c>
      <c r="K753" s="1">
        <v>0.96928066730463402</v>
      </c>
      <c r="L753" s="1">
        <v>0.52828558501762302</v>
      </c>
      <c r="P753" s="1">
        <f>I753-'Passo 2'!I753</f>
        <v>9.002636605305403E-2</v>
      </c>
      <c r="Q753" s="1">
        <f>J753-'Passo 2'!J753</f>
        <v>1.5618949621695966E-2</v>
      </c>
      <c r="R753" s="1">
        <f t="shared" si="45"/>
        <v>917.12649999999951</v>
      </c>
      <c r="S753">
        <f t="shared" si="44"/>
        <v>919.36400000000003</v>
      </c>
      <c r="T753" s="1">
        <f t="shared" si="46"/>
        <v>891.1217514158576</v>
      </c>
      <c r="U753" s="1">
        <f t="shared" si="47"/>
        <v>485.68674858414198</v>
      </c>
    </row>
    <row r="754" spans="1:21" x14ac:dyDescent="0.3">
      <c r="A754" t="s">
        <v>359</v>
      </c>
      <c r="B754" t="s">
        <v>564</v>
      </c>
      <c r="C754" t="s">
        <v>576</v>
      </c>
      <c r="D754" t="s">
        <v>589</v>
      </c>
      <c r="E754" s="2">
        <v>0</v>
      </c>
      <c r="F754" s="2">
        <v>0</v>
      </c>
      <c r="G754" s="2">
        <v>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P754" s="1">
        <f>I754-'Passo 2'!I754</f>
        <v>0</v>
      </c>
      <c r="Q754" s="1">
        <f>J754-'Passo 2'!J754</f>
        <v>0</v>
      </c>
      <c r="R754" s="1">
        <f t="shared" si="45"/>
        <v>0</v>
      </c>
      <c r="S754">
        <f t="shared" si="44"/>
        <v>0</v>
      </c>
      <c r="T754" s="1">
        <f t="shared" si="46"/>
        <v>0</v>
      </c>
      <c r="U754" s="1">
        <f t="shared" si="47"/>
        <v>0</v>
      </c>
    </row>
    <row r="755" spans="1:21" x14ac:dyDescent="0.3">
      <c r="A755" t="s">
        <v>359</v>
      </c>
      <c r="B755" t="s">
        <v>565</v>
      </c>
      <c r="C755" t="s">
        <v>576</v>
      </c>
      <c r="D755" t="s">
        <v>589</v>
      </c>
      <c r="E755" s="2">
        <v>0</v>
      </c>
      <c r="F755" s="2">
        <v>0</v>
      </c>
      <c r="G755" s="2">
        <v>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P755" s="1">
        <f>I755-'Passo 2'!I755</f>
        <v>0</v>
      </c>
      <c r="Q755" s="1">
        <f>J755-'Passo 2'!J755</f>
        <v>0</v>
      </c>
      <c r="R755" s="1">
        <f t="shared" si="45"/>
        <v>0</v>
      </c>
      <c r="S755">
        <f t="shared" si="44"/>
        <v>0</v>
      </c>
      <c r="T755" s="1">
        <f t="shared" si="46"/>
        <v>0</v>
      </c>
      <c r="U755" s="1">
        <f t="shared" si="47"/>
        <v>0</v>
      </c>
    </row>
    <row r="756" spans="1:21" x14ac:dyDescent="0.3">
      <c r="A756" t="s">
        <v>359</v>
      </c>
      <c r="B756" t="s">
        <v>566</v>
      </c>
      <c r="C756" t="s">
        <v>576</v>
      </c>
      <c r="D756" t="s">
        <v>577</v>
      </c>
      <c r="E756" s="2">
        <v>1001.1</v>
      </c>
      <c r="F756" s="2">
        <v>0</v>
      </c>
      <c r="G756" s="2">
        <v>102.49924999999899</v>
      </c>
      <c r="H756" s="2">
        <v>-197.54149999999899</v>
      </c>
      <c r="I756" s="1">
        <v>0.70477324942563102</v>
      </c>
      <c r="J756" s="1">
        <v>0.89464888622515204</v>
      </c>
      <c r="K756" s="1">
        <v>0.55104616200496603</v>
      </c>
      <c r="L756" s="1">
        <v>0.54837597364581803</v>
      </c>
      <c r="P756" s="1">
        <f>I756-'Passo 2'!I756</f>
        <v>6.4177904305264044E-2</v>
      </c>
      <c r="Q756" s="1">
        <f>J756-'Passo 2'!J756</f>
        <v>4.021376485865602E-2</v>
      </c>
      <c r="R756" s="1">
        <f t="shared" si="45"/>
        <v>705.54849999999919</v>
      </c>
      <c r="S756">
        <f t="shared" si="44"/>
        <v>895.6329999999997</v>
      </c>
      <c r="T756" s="1">
        <f t="shared" si="46"/>
        <v>551.65231278317151</v>
      </c>
      <c r="U756" s="1">
        <f t="shared" si="47"/>
        <v>548.97918721682845</v>
      </c>
    </row>
    <row r="757" spans="1:21" x14ac:dyDescent="0.3">
      <c r="A757" t="s">
        <v>359</v>
      </c>
      <c r="B757" t="s">
        <v>792</v>
      </c>
      <c r="C757" t="s">
        <v>574</v>
      </c>
      <c r="D757" t="s">
        <v>575</v>
      </c>
      <c r="E757" s="2">
        <v>1097.8019999999999</v>
      </c>
      <c r="F757" s="2">
        <v>0</v>
      </c>
      <c r="G757" s="2">
        <v>226.22424999999899</v>
      </c>
      <c r="H757" s="2">
        <v>-228.53375</v>
      </c>
      <c r="I757" s="1">
        <v>0.91214034953479695</v>
      </c>
      <c r="J757" s="1">
        <v>0.91634784779040301</v>
      </c>
      <c r="K757" s="1">
        <v>0.73854345003672495</v>
      </c>
      <c r="L757" s="1">
        <v>0.58994474728847501</v>
      </c>
      <c r="P757" s="1">
        <f>I757-'Passo 2'!I757</f>
        <v>2.0541500197666984E-2</v>
      </c>
      <c r="Q757" s="1">
        <f>J757-'Passo 2'!J757</f>
        <v>3.7456207950067988E-2</v>
      </c>
      <c r="R757" s="1">
        <f t="shared" si="45"/>
        <v>1001.3494999999991</v>
      </c>
      <c r="S757">
        <f t="shared" si="44"/>
        <v>1005.9684999999999</v>
      </c>
      <c r="T757" s="1">
        <f t="shared" si="46"/>
        <v>810.77447653721663</v>
      </c>
      <c r="U757" s="1">
        <f t="shared" si="47"/>
        <v>647.64252346278238</v>
      </c>
    </row>
    <row r="758" spans="1:21" x14ac:dyDescent="0.3">
      <c r="A758" t="s">
        <v>359</v>
      </c>
      <c r="B758" t="s">
        <v>793</v>
      </c>
      <c r="C758" t="s">
        <v>574</v>
      </c>
      <c r="D758" t="s">
        <v>575</v>
      </c>
      <c r="E758" s="2">
        <v>803.42899999999997</v>
      </c>
      <c r="F758" s="2">
        <v>0.29799999999999999</v>
      </c>
      <c r="G758" s="2">
        <v>165.06099999999901</v>
      </c>
      <c r="H758" s="2">
        <v>-165.48474999999999</v>
      </c>
      <c r="I758" s="1">
        <v>0.91070586199900605</v>
      </c>
      <c r="J758" s="1">
        <v>0.91176071563261896</v>
      </c>
      <c r="K758" s="1">
        <v>0.76531154755808095</v>
      </c>
      <c r="L758" s="1">
        <v>0.55734048516665102</v>
      </c>
      <c r="P758" s="1">
        <f>I758-'Passo 2'!I758</f>
        <v>0.18725176711321101</v>
      </c>
      <c r="Q758" s="1">
        <f>J758-'Passo 2'!J758</f>
        <v>1.3158598955227974E-2</v>
      </c>
      <c r="R758" s="1">
        <f t="shared" si="45"/>
        <v>731.68749999999943</v>
      </c>
      <c r="S758">
        <f t="shared" si="44"/>
        <v>732.5349999999994</v>
      </c>
      <c r="T758" s="1">
        <f t="shared" si="46"/>
        <v>614.87349134304145</v>
      </c>
      <c r="U758" s="1">
        <f t="shared" si="47"/>
        <v>447.78350865695722</v>
      </c>
    </row>
    <row r="759" spans="1:21" x14ac:dyDescent="0.3">
      <c r="A759" t="s">
        <v>359</v>
      </c>
      <c r="B759" t="s">
        <v>794</v>
      </c>
      <c r="C759" t="s">
        <v>576</v>
      </c>
      <c r="D759" t="s">
        <v>577</v>
      </c>
      <c r="E759" s="2">
        <v>368.625</v>
      </c>
      <c r="F759" s="2">
        <v>0</v>
      </c>
      <c r="G759" s="2">
        <v>37.1755</v>
      </c>
      <c r="H759" s="2">
        <v>-89.352000000000004</v>
      </c>
      <c r="I759" s="1">
        <v>0.70169820278060302</v>
      </c>
      <c r="J759" s="1">
        <v>0.98478535096642905</v>
      </c>
      <c r="K759" s="1">
        <v>0.68438501823337605</v>
      </c>
      <c r="L759" s="1">
        <v>0.50209853551365602</v>
      </c>
      <c r="P759" s="1">
        <f>I759-'Passo 2'!I759</f>
        <v>2.0568328246863055E-2</v>
      </c>
      <c r="Q759" s="1">
        <f>J759-'Passo 2'!J759</f>
        <v>9.909799932181107E-3</v>
      </c>
      <c r="R759" s="1">
        <f t="shared" si="45"/>
        <v>258.66349999999977</v>
      </c>
      <c r="S759">
        <f t="shared" si="44"/>
        <v>363.01649999999989</v>
      </c>
      <c r="T759" s="1">
        <f t="shared" si="46"/>
        <v>252.28142734627824</v>
      </c>
      <c r="U759" s="1">
        <f t="shared" si="47"/>
        <v>185.08607265372146</v>
      </c>
    </row>
    <row r="760" spans="1:21" x14ac:dyDescent="0.3">
      <c r="A760" t="s">
        <v>359</v>
      </c>
      <c r="B760" t="s">
        <v>795</v>
      </c>
      <c r="C760" t="s">
        <v>574</v>
      </c>
      <c r="D760" t="s">
        <v>575</v>
      </c>
      <c r="E760" s="2">
        <v>363.20499999999998</v>
      </c>
      <c r="F760" s="2">
        <v>3.7999999999999999E-2</v>
      </c>
      <c r="G760" s="2">
        <v>69.241999999999905</v>
      </c>
      <c r="H760" s="2">
        <v>-70.134749999999997</v>
      </c>
      <c r="I760" s="1">
        <v>0.88123098525625998</v>
      </c>
      <c r="J760" s="1">
        <v>0.88614694180972098</v>
      </c>
      <c r="K760" s="1">
        <v>0.70035421347051896</v>
      </c>
      <c r="L760" s="1">
        <v>0.56707602565063797</v>
      </c>
      <c r="P760" s="1">
        <f>I760-'Passo 2'!I760</f>
        <v>8.4679450998746963E-2</v>
      </c>
      <c r="Q760" s="1">
        <f>J760-'Passo 2'!J760</f>
        <v>9.5298798199363932E-2</v>
      </c>
      <c r="R760" s="1">
        <f t="shared" si="45"/>
        <v>320.06749999999988</v>
      </c>
      <c r="S760">
        <f t="shared" si="44"/>
        <v>321.85299999999967</v>
      </c>
      <c r="T760" s="1">
        <f t="shared" si="46"/>
        <v>254.37215210355984</v>
      </c>
      <c r="U760" s="1">
        <f t="shared" si="47"/>
        <v>205.96484789643995</v>
      </c>
    </row>
    <row r="761" spans="1:21" x14ac:dyDescent="0.3">
      <c r="A761" t="s">
        <v>359</v>
      </c>
      <c r="B761" t="s">
        <v>567</v>
      </c>
      <c r="C761" t="s">
        <v>574</v>
      </c>
      <c r="D761" t="s">
        <v>575</v>
      </c>
      <c r="E761" s="2">
        <v>0</v>
      </c>
      <c r="F761" s="2">
        <v>0</v>
      </c>
      <c r="G761" s="2">
        <v>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P761" s="1">
        <f>I761-'Passo 2'!I761</f>
        <v>0</v>
      </c>
      <c r="Q761" s="1">
        <f>J761-'Passo 2'!J761</f>
        <v>0</v>
      </c>
      <c r="R761" s="1">
        <f t="shared" si="45"/>
        <v>0</v>
      </c>
      <c r="S761">
        <f t="shared" si="44"/>
        <v>0</v>
      </c>
      <c r="T761" s="1">
        <f t="shared" si="46"/>
        <v>0</v>
      </c>
      <c r="U761" s="1">
        <f t="shared" si="47"/>
        <v>0</v>
      </c>
    </row>
    <row r="762" spans="1:21" x14ac:dyDescent="0.3">
      <c r="A762" t="s">
        <v>359</v>
      </c>
      <c r="B762" t="s">
        <v>796</v>
      </c>
      <c r="C762" t="s">
        <v>576</v>
      </c>
      <c r="D762" t="s">
        <v>14</v>
      </c>
      <c r="E762" s="2">
        <v>243.60300000000001</v>
      </c>
      <c r="F762" s="2">
        <v>0</v>
      </c>
      <c r="G762" s="2">
        <v>60.900750000000002</v>
      </c>
      <c r="H762" s="2">
        <v>-60.900750000000002</v>
      </c>
      <c r="I762" s="1">
        <v>1</v>
      </c>
      <c r="J762" s="1">
        <v>1</v>
      </c>
      <c r="K762" s="1">
        <v>0.97053867069008304</v>
      </c>
      <c r="L762" s="1">
        <v>0.52946132930991596</v>
      </c>
      <c r="P762" s="1">
        <f>I762-'Passo 2'!I762</f>
        <v>0</v>
      </c>
      <c r="Q762" s="1">
        <f>J762-'Passo 2'!J762</f>
        <v>0</v>
      </c>
      <c r="R762" s="1">
        <f t="shared" si="45"/>
        <v>243.60300000000001</v>
      </c>
      <c r="S762">
        <f t="shared" si="44"/>
        <v>243.60300000000001</v>
      </c>
      <c r="T762" s="1">
        <f t="shared" si="46"/>
        <v>236.42613179611629</v>
      </c>
      <c r="U762" s="1">
        <f t="shared" si="47"/>
        <v>128.97836820388346</v>
      </c>
    </row>
    <row r="763" spans="1:21" x14ac:dyDescent="0.3">
      <c r="A763" t="s">
        <v>359</v>
      </c>
      <c r="B763" t="s">
        <v>797</v>
      </c>
      <c r="C763" t="s">
        <v>576</v>
      </c>
      <c r="D763" t="s">
        <v>14</v>
      </c>
      <c r="E763" s="2">
        <v>0</v>
      </c>
      <c r="F763" s="2">
        <v>0</v>
      </c>
      <c r="G763" s="2">
        <v>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P763" s="1">
        <f>I763-'Passo 2'!I763</f>
        <v>0</v>
      </c>
      <c r="Q763" s="1">
        <f>J763-'Passo 2'!J763</f>
        <v>0</v>
      </c>
      <c r="R763" s="1">
        <f t="shared" si="45"/>
        <v>0</v>
      </c>
      <c r="S763">
        <f t="shared" si="44"/>
        <v>0</v>
      </c>
      <c r="T763" s="1">
        <f t="shared" si="46"/>
        <v>0</v>
      </c>
      <c r="U763" s="1">
        <f t="shared" si="47"/>
        <v>0</v>
      </c>
    </row>
    <row r="764" spans="1:21" x14ac:dyDescent="0.3">
      <c r="A764" t="s">
        <v>359</v>
      </c>
      <c r="B764" t="s">
        <v>798</v>
      </c>
      <c r="C764" t="s">
        <v>576</v>
      </c>
      <c r="D764" t="s">
        <v>14</v>
      </c>
      <c r="E764" s="2">
        <v>310.81299999999999</v>
      </c>
      <c r="F764" s="2">
        <v>0</v>
      </c>
      <c r="G764" s="2">
        <v>77.703249999999997</v>
      </c>
      <c r="H764" s="2">
        <v>-77.703249999999997</v>
      </c>
      <c r="I764" s="1">
        <v>1</v>
      </c>
      <c r="J764" s="1">
        <v>1</v>
      </c>
      <c r="K764" s="1">
        <v>0.98879437539008697</v>
      </c>
      <c r="L764" s="1">
        <v>0.51120562460991203</v>
      </c>
      <c r="P764" s="1">
        <f>I764-'Passo 2'!I764</f>
        <v>0</v>
      </c>
      <c r="Q764" s="1">
        <f>J764-'Passo 2'!J764</f>
        <v>0</v>
      </c>
      <c r="R764" s="1">
        <f t="shared" si="45"/>
        <v>310.81299999999999</v>
      </c>
      <c r="S764">
        <f t="shared" si="44"/>
        <v>310.81299999999999</v>
      </c>
      <c r="T764" s="1">
        <f t="shared" si="46"/>
        <v>307.33014619811911</v>
      </c>
      <c r="U764" s="1">
        <f t="shared" si="47"/>
        <v>158.88935380188059</v>
      </c>
    </row>
    <row r="765" spans="1:21" x14ac:dyDescent="0.3">
      <c r="A765" t="s">
        <v>359</v>
      </c>
      <c r="B765" t="s">
        <v>568</v>
      </c>
      <c r="C765" t="s">
        <v>574</v>
      </c>
      <c r="D765" t="s">
        <v>575</v>
      </c>
      <c r="E765" s="2">
        <v>0</v>
      </c>
      <c r="F765" s="2">
        <v>0</v>
      </c>
      <c r="G765" s="2">
        <v>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P765" s="1">
        <f>I765-'Passo 2'!I765</f>
        <v>0</v>
      </c>
      <c r="Q765" s="1">
        <f>J765-'Passo 2'!J765</f>
        <v>0</v>
      </c>
      <c r="R765" s="1">
        <f t="shared" si="45"/>
        <v>0</v>
      </c>
      <c r="S765">
        <f t="shared" si="44"/>
        <v>0</v>
      </c>
      <c r="T765" s="1">
        <f t="shared" si="46"/>
        <v>0</v>
      </c>
      <c r="U765" s="1">
        <f t="shared" si="47"/>
        <v>0</v>
      </c>
    </row>
    <row r="766" spans="1:21" x14ac:dyDescent="0.3">
      <c r="A766" t="s">
        <v>359</v>
      </c>
      <c r="B766" t="s">
        <v>569</v>
      </c>
      <c r="C766" t="s">
        <v>576</v>
      </c>
      <c r="D766" t="s">
        <v>583</v>
      </c>
      <c r="E766" s="2">
        <v>175.75800000000001</v>
      </c>
      <c r="F766" s="2">
        <v>0</v>
      </c>
      <c r="G766" s="2">
        <v>43.847250000000003</v>
      </c>
      <c r="H766" s="2">
        <v>-43.939500000000002</v>
      </c>
      <c r="I766" s="1">
        <v>0.998950261154542</v>
      </c>
      <c r="J766" s="1">
        <v>1</v>
      </c>
      <c r="K766" s="1">
        <v>0.99075714733125797</v>
      </c>
      <c r="L766" s="1">
        <v>0.50819311382328403</v>
      </c>
      <c r="P766" s="1">
        <f>I766-'Passo 2'!I766</f>
        <v>2.0129951410462033E-2</v>
      </c>
      <c r="Q766" s="1">
        <f>J766-'Passo 2'!J766</f>
        <v>1.6784442244449638E-3</v>
      </c>
      <c r="R766" s="1">
        <f t="shared" si="45"/>
        <v>175.5735</v>
      </c>
      <c r="S766">
        <f t="shared" si="44"/>
        <v>175.75800000000001</v>
      </c>
      <c r="T766" s="1">
        <f t="shared" si="46"/>
        <v>174.13349470064725</v>
      </c>
      <c r="U766" s="1">
        <f t="shared" si="47"/>
        <v>89.319005299352753</v>
      </c>
    </row>
    <row r="767" spans="1:21" x14ac:dyDescent="0.3">
      <c r="A767" t="s">
        <v>359</v>
      </c>
      <c r="B767" t="s">
        <v>570</v>
      </c>
      <c r="C767" t="s">
        <v>576</v>
      </c>
      <c r="D767" t="s">
        <v>577</v>
      </c>
      <c r="E767" s="2">
        <v>37.064999999999998</v>
      </c>
      <c r="F767" s="2">
        <v>0</v>
      </c>
      <c r="G767" s="2">
        <v>9.2502499999999994</v>
      </c>
      <c r="H767" s="2">
        <v>-9.2662499999999994</v>
      </c>
      <c r="I767" s="1">
        <v>0.99913665182787004</v>
      </c>
      <c r="J767" s="1">
        <v>1</v>
      </c>
      <c r="K767" s="1">
        <v>0.99221345929939397</v>
      </c>
      <c r="L767" s="1">
        <v>0.50692319252847595</v>
      </c>
      <c r="P767" s="1">
        <f>I767-'Passo 2'!I767</f>
        <v>1.61877782275055E-4</v>
      </c>
      <c r="Q767" s="1">
        <f>J767-'Passo 2'!J767</f>
        <v>0</v>
      </c>
      <c r="R767" s="1">
        <f t="shared" si="45"/>
        <v>37.033000000000001</v>
      </c>
      <c r="S767">
        <f t="shared" si="44"/>
        <v>37.064999999999998</v>
      </c>
      <c r="T767" s="1">
        <f t="shared" si="46"/>
        <v>36.776391868932038</v>
      </c>
      <c r="U767" s="1">
        <f t="shared" si="47"/>
        <v>18.789108131067959</v>
      </c>
    </row>
    <row r="768" spans="1:21" x14ac:dyDescent="0.3">
      <c r="A768" t="s">
        <v>359</v>
      </c>
      <c r="B768" t="s">
        <v>571</v>
      </c>
      <c r="C768" t="s">
        <v>576</v>
      </c>
      <c r="D768" t="s">
        <v>14</v>
      </c>
      <c r="E768" s="2">
        <v>41.459000000000003</v>
      </c>
      <c r="F768" s="2">
        <v>0</v>
      </c>
      <c r="G768" s="2">
        <v>9.4135000000000009</v>
      </c>
      <c r="H768" s="2">
        <v>-9.5477500000000006</v>
      </c>
      <c r="I768" s="1">
        <v>0.95411129067271205</v>
      </c>
      <c r="J768" s="1">
        <v>0.96058756844111004</v>
      </c>
      <c r="K768" s="1">
        <v>0.75514461547168199</v>
      </c>
      <c r="L768" s="1">
        <v>0.65955424364214099</v>
      </c>
      <c r="P768" s="1">
        <f>I768-'Passo 2'!I768</f>
        <v>5.512675173062509E-2</v>
      </c>
      <c r="Q768" s="1">
        <f>J768-'Passo 2'!J768</f>
        <v>-6.1506548638409209E-3</v>
      </c>
      <c r="R768" s="1">
        <f t="shared" si="45"/>
        <v>39.556499999999971</v>
      </c>
      <c r="S768">
        <f t="shared" si="44"/>
        <v>39.824999999999982</v>
      </c>
      <c r="T768" s="1">
        <f t="shared" si="46"/>
        <v>31.307540612840466</v>
      </c>
      <c r="U768" s="1">
        <f t="shared" si="47"/>
        <v>27.344459387159525</v>
      </c>
    </row>
    <row r="769" spans="1:21" x14ac:dyDescent="0.3">
      <c r="A769" t="s">
        <v>359</v>
      </c>
      <c r="B769" t="s">
        <v>572</v>
      </c>
      <c r="C769" t="s">
        <v>574</v>
      </c>
      <c r="D769" t="s">
        <v>575</v>
      </c>
      <c r="E769" s="2">
        <v>381.38600000000002</v>
      </c>
      <c r="F769" s="2">
        <v>13.763</v>
      </c>
      <c r="G769" s="2">
        <v>81.674750000000003</v>
      </c>
      <c r="H769" s="2">
        <v>-81.010249999999999</v>
      </c>
      <c r="I769" s="1">
        <v>0.91026151982505898</v>
      </c>
      <c r="J769" s="1">
        <v>0.90677686123769596</v>
      </c>
      <c r="K769" s="1">
        <v>0.68296968460479901</v>
      </c>
      <c r="L769" s="1">
        <v>0.65211209605835996</v>
      </c>
      <c r="P769" s="1">
        <f>I769-'Passo 2'!I769</f>
        <v>6.8723026015640176E-3</v>
      </c>
      <c r="Q769" s="1">
        <f>J769-'Passo 2'!J769</f>
        <v>3.9107361046289979E-3</v>
      </c>
      <c r="R769" s="1">
        <f t="shared" si="45"/>
        <v>347.16099999999994</v>
      </c>
      <c r="S769">
        <f t="shared" si="44"/>
        <v>345.83199999999994</v>
      </c>
      <c r="T769" s="1">
        <f t="shared" si="46"/>
        <v>260.4750761326859</v>
      </c>
      <c r="U769" s="1">
        <f t="shared" si="47"/>
        <v>248.70642386731367</v>
      </c>
    </row>
    <row r="770" spans="1:21" x14ac:dyDescent="0.3">
      <c r="A770" t="s">
        <v>359</v>
      </c>
      <c r="B770" t="s">
        <v>573</v>
      </c>
      <c r="C770" t="s">
        <v>576</v>
      </c>
      <c r="D770" t="s">
        <v>577</v>
      </c>
      <c r="E770" s="2">
        <v>43.466000000000001</v>
      </c>
      <c r="F770" s="2">
        <v>0</v>
      </c>
      <c r="G770" s="2">
        <v>9.0845000000000002</v>
      </c>
      <c r="H770" s="2">
        <v>-10.8665</v>
      </c>
      <c r="I770" s="1">
        <v>0.91800487737541903</v>
      </c>
      <c r="J770" s="1">
        <v>1</v>
      </c>
      <c r="K770" s="1">
        <v>0.91666085455030299</v>
      </c>
      <c r="L770" s="1">
        <v>0.50134402282511603</v>
      </c>
      <c r="P770" s="1">
        <f>I770-'Passo 2'!I770</f>
        <v>1.1192656329084061E-2</v>
      </c>
      <c r="Q770" s="1">
        <f>J770-'Passo 2'!J770</f>
        <v>9.5143330419178995E-2</v>
      </c>
      <c r="R770" s="1">
        <f t="shared" si="45"/>
        <v>39.901999999999965</v>
      </c>
      <c r="S770">
        <f t="shared" ref="S770:S772" si="48">J770*E770</f>
        <v>43.466000000000001</v>
      </c>
      <c r="T770" s="1">
        <f t="shared" si="46"/>
        <v>39.843580703883468</v>
      </c>
      <c r="U770" s="1">
        <f t="shared" si="47"/>
        <v>21.791419296116494</v>
      </c>
    </row>
    <row r="771" spans="1:21" x14ac:dyDescent="0.3">
      <c r="A771" t="s">
        <v>359</v>
      </c>
      <c r="B771" t="s">
        <v>799</v>
      </c>
      <c r="C771" t="s">
        <v>576</v>
      </c>
      <c r="D771" t="s">
        <v>589</v>
      </c>
      <c r="E771" s="2">
        <v>15.593</v>
      </c>
      <c r="F771" s="2">
        <v>0</v>
      </c>
      <c r="G771" s="2">
        <v>3.89825</v>
      </c>
      <c r="H771" s="2">
        <v>-3.89825</v>
      </c>
      <c r="I771" s="1">
        <v>1</v>
      </c>
      <c r="J771" s="1">
        <v>1</v>
      </c>
      <c r="K771" s="1">
        <v>0.99995954692556599</v>
      </c>
      <c r="L771" s="1">
        <v>0.50004045307443301</v>
      </c>
      <c r="P771" s="1">
        <f>I771-'Passo 2'!I771</f>
        <v>0</v>
      </c>
      <c r="Q771" s="1">
        <f>J771-'Passo 2'!J771</f>
        <v>0</v>
      </c>
      <c r="R771" s="1">
        <f t="shared" ref="R771:R773" si="49">I771*E771</f>
        <v>15.593</v>
      </c>
      <c r="S771">
        <f t="shared" si="48"/>
        <v>15.593</v>
      </c>
      <c r="T771" s="1">
        <f t="shared" ref="T771:T773" si="50">K771*E771</f>
        <v>15.592369215210351</v>
      </c>
      <c r="U771" s="1">
        <f t="shared" ref="U771:U773" si="51">L771*E771</f>
        <v>7.7971307847896343</v>
      </c>
    </row>
    <row r="772" spans="1:21" x14ac:dyDescent="0.3">
      <c r="A772" t="s">
        <v>359</v>
      </c>
      <c r="B772" t="s">
        <v>800</v>
      </c>
      <c r="C772" t="s">
        <v>574</v>
      </c>
      <c r="D772" t="s">
        <v>575</v>
      </c>
      <c r="E772" s="2">
        <v>9.4380000000000006</v>
      </c>
      <c r="F772" s="2">
        <v>0</v>
      </c>
      <c r="G772" s="2">
        <v>0</v>
      </c>
      <c r="H772" s="2">
        <v>-2.3595000000000002</v>
      </c>
      <c r="I772" s="1">
        <v>0.5</v>
      </c>
      <c r="J772" s="1">
        <v>1</v>
      </c>
      <c r="K772" s="1">
        <v>0.20582524271844599</v>
      </c>
      <c r="L772" s="1">
        <v>0.79417475728155296</v>
      </c>
      <c r="P772" s="1">
        <f>I772-'Passo 2'!I772</f>
        <v>0</v>
      </c>
      <c r="Q772" s="1">
        <f>J772-'Passo 2'!J772</f>
        <v>0</v>
      </c>
      <c r="R772" s="1">
        <f t="shared" si="49"/>
        <v>4.7190000000000003</v>
      </c>
      <c r="S772">
        <f t="shared" si="48"/>
        <v>9.4380000000000006</v>
      </c>
      <c r="T772" s="1">
        <f t="shared" si="50"/>
        <v>1.9425786407766934</v>
      </c>
      <c r="U772" s="1">
        <f t="shared" si="51"/>
        <v>7.4954213592232977</v>
      </c>
    </row>
    <row r="773" spans="1:21" x14ac:dyDescent="0.3">
      <c r="A773" t="s">
        <v>359</v>
      </c>
      <c r="B773" t="s">
        <v>801</v>
      </c>
      <c r="C773" t="s">
        <v>574</v>
      </c>
      <c r="D773" t="s">
        <v>575</v>
      </c>
      <c r="E773" s="2">
        <v>1354.364</v>
      </c>
      <c r="F773" s="2">
        <v>0.74299999999999999</v>
      </c>
      <c r="G773" s="2">
        <v>225.64024999999901</v>
      </c>
      <c r="H773" s="2">
        <v>-235.23949999999999</v>
      </c>
      <c r="I773" s="1">
        <v>0.83293043819829804</v>
      </c>
      <c r="J773" s="1">
        <v>0.84710572637784198</v>
      </c>
      <c r="P773" s="1">
        <f>I773-'Passo 2'!I773</f>
        <v>2.6309396882965075E-2</v>
      </c>
      <c r="Q773" s="1">
        <f>J773-'Passo 2'!J773</f>
        <v>3.5687599493194E-2</v>
      </c>
      <c r="R773" s="1">
        <f t="shared" si="49"/>
        <v>1128.0909999999997</v>
      </c>
      <c r="S773">
        <f>J773*E773</f>
        <v>1147.2894999999996</v>
      </c>
      <c r="T773" s="1">
        <f t="shared" si="50"/>
        <v>0</v>
      </c>
      <c r="U773" s="1">
        <f t="shared" si="51"/>
        <v>0</v>
      </c>
    </row>
    <row r="775" spans="1:21" x14ac:dyDescent="0.3">
      <c r="A775" t="s">
        <v>826</v>
      </c>
      <c r="B775" t="s">
        <v>825</v>
      </c>
      <c r="C775" t="s">
        <v>827</v>
      </c>
      <c r="D775" t="s">
        <v>828</v>
      </c>
      <c r="G775" s="2" t="s">
        <v>833</v>
      </c>
      <c r="P775" s="1">
        <f>AVERAGE(P2:P773)</f>
        <v>3.0432203569957683E-2</v>
      </c>
      <c r="Q775" s="1">
        <f>AVERAGE(Q2:Q773)</f>
        <v>2.2098013795407014E-2</v>
      </c>
    </row>
    <row r="776" spans="1:21" x14ac:dyDescent="0.3">
      <c r="A776" s="6">
        <f t="shared" ref="A776:A785" si="52">SUMIF($D$2:$D$773,B776,$E$2:$E$773)</f>
        <v>12</v>
      </c>
      <c r="B776" t="s">
        <v>592</v>
      </c>
      <c r="C776" s="7">
        <f t="shared" ref="C776:C785" si="53">SUMIF($D$2:$D$773,B776,$R$2:$R$773)/A776</f>
        <v>1</v>
      </c>
      <c r="D776" s="7">
        <f t="shared" ref="D776:D785" si="54">SUMIF($D$2:$D$773,B776,$R$2:$R$773)/A776</f>
        <v>1</v>
      </c>
      <c r="F776" t="s">
        <v>826</v>
      </c>
      <c r="G776" t="s">
        <v>825</v>
      </c>
      <c r="H776" t="s">
        <v>834</v>
      </c>
      <c r="I776" t="s">
        <v>835</v>
      </c>
    </row>
    <row r="777" spans="1:21" x14ac:dyDescent="0.3">
      <c r="A777" s="6">
        <f t="shared" si="52"/>
        <v>377.298</v>
      </c>
      <c r="B777" s="4" t="s">
        <v>589</v>
      </c>
      <c r="C777" s="7">
        <f t="shared" si="53"/>
        <v>0.98398613297711601</v>
      </c>
      <c r="D777" s="7">
        <f t="shared" si="54"/>
        <v>0.98398613297711601</v>
      </c>
      <c r="F777" s="6">
        <f t="shared" ref="F777:F786" si="55">SUMIF($D$2:$D$773,G777,$E$2:$E$773)</f>
        <v>12</v>
      </c>
      <c r="G777" t="s">
        <v>592</v>
      </c>
      <c r="H777" s="7">
        <f>SUMIF($D$2:$D$773,G777,$T$2:$T$773)/F777</f>
        <v>0.79554824703344096</v>
      </c>
      <c r="I777" s="7">
        <f>SUMIF($D$2:$D$773,G777,$U$2:$U$773)/F777</f>
        <v>0.70445175296655804</v>
      </c>
    </row>
    <row r="778" spans="1:21" x14ac:dyDescent="0.3">
      <c r="A778" s="6">
        <f t="shared" si="52"/>
        <v>3793.6980000000003</v>
      </c>
      <c r="B778" s="4" t="s">
        <v>583</v>
      </c>
      <c r="C778" s="7">
        <f t="shared" si="53"/>
        <v>0.99408031424747001</v>
      </c>
      <c r="D778" s="7">
        <f t="shared" si="54"/>
        <v>0.99408031424747001</v>
      </c>
      <c r="F778" s="6">
        <f t="shared" si="55"/>
        <v>377.298</v>
      </c>
      <c r="G778" s="4" t="s">
        <v>589</v>
      </c>
      <c r="H778" s="7">
        <f t="shared" ref="H778:H786" si="56">SUMIF($D$2:$D$773,G778,$T$2:$T$773)/F778</f>
        <v>0.96293781051678595</v>
      </c>
      <c r="I778" s="7">
        <f t="shared" ref="I778:I786" si="57">SUMIF($D$2:$D$773,G778,$U$2:$U$773)/F778</f>
        <v>0.51742121603516966</v>
      </c>
    </row>
    <row r="779" spans="1:21" x14ac:dyDescent="0.3">
      <c r="A779" s="6">
        <f t="shared" si="52"/>
        <v>15348.725999999999</v>
      </c>
      <c r="B779" s="4" t="s">
        <v>577</v>
      </c>
      <c r="C779" s="7">
        <f t="shared" si="53"/>
        <v>0.92005919579253659</v>
      </c>
      <c r="D779" s="7">
        <f t="shared" si="54"/>
        <v>0.92005919579253659</v>
      </c>
      <c r="F779" s="6">
        <f t="shared" si="55"/>
        <v>3793.6980000000003</v>
      </c>
      <c r="G779" s="4" t="s">
        <v>583</v>
      </c>
      <c r="H779" s="7">
        <f t="shared" si="56"/>
        <v>0.98577203435757021</v>
      </c>
      <c r="I779" s="7">
        <f t="shared" si="57"/>
        <v>0.50429056419402651</v>
      </c>
    </row>
    <row r="780" spans="1:21" x14ac:dyDescent="0.3">
      <c r="A780" s="6">
        <f t="shared" si="52"/>
        <v>2018.587</v>
      </c>
      <c r="B780" s="4" t="s">
        <v>367</v>
      </c>
      <c r="C780" s="7">
        <f t="shared" si="53"/>
        <v>0.94676746654962052</v>
      </c>
      <c r="D780" s="7">
        <f t="shared" si="54"/>
        <v>0.94676746654962052</v>
      </c>
      <c r="F780" s="6">
        <f t="shared" si="55"/>
        <v>15348.725999999999</v>
      </c>
      <c r="G780" s="4" t="s">
        <v>577</v>
      </c>
      <c r="H780" s="7">
        <f t="shared" si="56"/>
        <v>0.81316182586223507</v>
      </c>
      <c r="I780" s="7">
        <f t="shared" si="57"/>
        <v>0.5877538592571675</v>
      </c>
    </row>
    <row r="781" spans="1:21" x14ac:dyDescent="0.3">
      <c r="A781" s="6">
        <f t="shared" si="52"/>
        <v>5040.3630000000003</v>
      </c>
      <c r="B781" s="4" t="s">
        <v>591</v>
      </c>
      <c r="C781" s="7">
        <f t="shared" si="53"/>
        <v>0.94849815380360458</v>
      </c>
      <c r="D781" s="7">
        <f t="shared" si="54"/>
        <v>0.94849815380360458</v>
      </c>
      <c r="F781" s="6">
        <f t="shared" si="55"/>
        <v>2018.587</v>
      </c>
      <c r="G781" s="4" t="s">
        <v>367</v>
      </c>
      <c r="H781" s="7">
        <f t="shared" si="56"/>
        <v>0.50926761919653052</v>
      </c>
      <c r="I781" s="7">
        <f t="shared" si="57"/>
        <v>0.92397999410921183</v>
      </c>
    </row>
    <row r="782" spans="1:21" x14ac:dyDescent="0.3">
      <c r="A782" s="6">
        <f t="shared" si="52"/>
        <v>2981.6559999999995</v>
      </c>
      <c r="B782" s="4" t="s">
        <v>14</v>
      </c>
      <c r="C782" s="7">
        <f t="shared" si="53"/>
        <v>0.84261095176640088</v>
      </c>
      <c r="D782" s="7">
        <f t="shared" si="54"/>
        <v>0.84261095176640088</v>
      </c>
      <c r="F782" s="6">
        <f t="shared" si="55"/>
        <v>5040.3630000000003</v>
      </c>
      <c r="G782" s="4" t="s">
        <v>591</v>
      </c>
      <c r="H782" s="7">
        <f t="shared" si="56"/>
        <v>0.81568664663334522</v>
      </c>
      <c r="I782" s="7">
        <f t="shared" si="57"/>
        <v>0.58807177314713421</v>
      </c>
    </row>
    <row r="783" spans="1:21" x14ac:dyDescent="0.3">
      <c r="A783" s="6">
        <f>SUMIF($D$2:$D$773,B783,$E$2:$E$773)</f>
        <v>108770.70700000002</v>
      </c>
      <c r="B783" t="s">
        <v>575</v>
      </c>
      <c r="C783" s="7">
        <f t="shared" si="53"/>
        <v>0.84488029483894</v>
      </c>
      <c r="D783" s="7">
        <f t="shared" si="54"/>
        <v>0.84488029483894</v>
      </c>
      <c r="F783" s="6">
        <f t="shared" si="55"/>
        <v>2981.6559999999995</v>
      </c>
      <c r="G783" s="4" t="s">
        <v>14</v>
      </c>
      <c r="H783" s="7">
        <f t="shared" si="56"/>
        <v>0.6862553493509892</v>
      </c>
      <c r="I783" s="7">
        <f t="shared" si="57"/>
        <v>0.53507484434003272</v>
      </c>
    </row>
    <row r="784" spans="1:21" x14ac:dyDescent="0.3">
      <c r="A784" s="6">
        <f t="shared" si="52"/>
        <v>1283.3349999999998</v>
      </c>
      <c r="B784" s="4" t="s">
        <v>598</v>
      </c>
      <c r="C784" s="7">
        <f t="shared" si="53"/>
        <v>0.86084732357490401</v>
      </c>
      <c r="D784" s="7">
        <f t="shared" si="54"/>
        <v>0.86084732357490401</v>
      </c>
      <c r="F784" s="6">
        <f>SUMIF($D$2:$D$773,G784,$E$2:$E$773)</f>
        <v>108770.70700000002</v>
      </c>
      <c r="G784" t="s">
        <v>575</v>
      </c>
      <c r="H784" s="7">
        <f t="shared" si="56"/>
        <v>0.63811975178500724</v>
      </c>
      <c r="I784" s="7">
        <f t="shared" si="57"/>
        <v>0.55725238089773688</v>
      </c>
    </row>
    <row r="785" spans="1:9" x14ac:dyDescent="0.3">
      <c r="A785" s="6">
        <f t="shared" si="52"/>
        <v>3668.5140000000001</v>
      </c>
      <c r="B785" s="4" t="s">
        <v>595</v>
      </c>
      <c r="C785" s="7">
        <f t="shared" si="53"/>
        <v>0.89087556978111515</v>
      </c>
      <c r="D785" s="7">
        <f t="shared" si="54"/>
        <v>0.89087556978111515</v>
      </c>
      <c r="F785" s="6">
        <f t="shared" si="55"/>
        <v>1283.3349999999998</v>
      </c>
      <c r="G785" s="4" t="s">
        <v>598</v>
      </c>
      <c r="H785" s="7">
        <f t="shared" si="56"/>
        <v>0.56183714772661064</v>
      </c>
      <c r="I785" s="7">
        <f t="shared" si="57"/>
        <v>0.7180652160365526</v>
      </c>
    </row>
    <row r="786" spans="1:9" x14ac:dyDescent="0.3">
      <c r="F786" s="6">
        <f t="shared" si="55"/>
        <v>3668.5140000000001</v>
      </c>
      <c r="G786" s="4" t="s">
        <v>595</v>
      </c>
      <c r="H786" s="7">
        <f t="shared" si="56"/>
        <v>0.71399974330946003</v>
      </c>
      <c r="I786" s="7">
        <f t="shared" si="57"/>
        <v>0.60015075468509504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0CB2-F12A-40D3-B787-C55CE74F479F}">
  <dimension ref="A1:U786"/>
  <sheetViews>
    <sheetView zoomScale="70" zoomScaleNormal="70" workbookViewId="0"/>
  </sheetViews>
  <sheetFormatPr defaultRowHeight="14.4" x14ac:dyDescent="0.3"/>
  <cols>
    <col min="1" max="1" width="12.77734375" customWidth="1"/>
    <col min="2" max="2" width="21.6640625" customWidth="1"/>
    <col min="3" max="3" width="15.5546875" customWidth="1"/>
    <col min="4" max="4" width="20.77734375" customWidth="1"/>
    <col min="5" max="5" width="10" style="2" bestFit="1" customWidth="1"/>
    <col min="6" max="6" width="8.88671875" style="2"/>
    <col min="7" max="7" width="11" style="2" bestFit="1" customWidth="1"/>
    <col min="8" max="8" width="10.6640625" style="2" bestFit="1" customWidth="1"/>
    <col min="9" max="10" width="12" style="1" bestFit="1" customWidth="1"/>
    <col min="11" max="12" width="8.88671875" style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837</v>
      </c>
      <c r="L1" s="1" t="s">
        <v>838</v>
      </c>
      <c r="R1" t="s">
        <v>824</v>
      </c>
      <c r="S1" t="s">
        <v>824</v>
      </c>
      <c r="T1" t="s">
        <v>836</v>
      </c>
      <c r="U1" t="s">
        <v>836</v>
      </c>
    </row>
    <row r="2" spans="1:21" x14ac:dyDescent="0.3">
      <c r="A2" t="s">
        <v>10</v>
      </c>
      <c r="B2" t="s">
        <v>11</v>
      </c>
      <c r="C2" t="s">
        <v>574</v>
      </c>
      <c r="D2" t="s">
        <v>575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M2" s="2"/>
      <c r="N2" s="2"/>
      <c r="P2" s="1">
        <f>I2-'Passo 1'!I2</f>
        <v>0</v>
      </c>
      <c r="Q2" s="1">
        <f>J2-'Passo 1'!J2</f>
        <v>0</v>
      </c>
      <c r="R2" s="1">
        <f>I2*E2</f>
        <v>0</v>
      </c>
      <c r="S2">
        <f t="shared" ref="S2:S65" si="0">J2*E2</f>
        <v>0</v>
      </c>
      <c r="T2" s="1">
        <f>K2*E2</f>
        <v>0</v>
      </c>
      <c r="U2" s="1">
        <f>L2*E2</f>
        <v>0</v>
      </c>
    </row>
    <row r="3" spans="1:21" x14ac:dyDescent="0.3">
      <c r="A3" t="s">
        <v>10</v>
      </c>
      <c r="B3" t="s">
        <v>12</v>
      </c>
      <c r="C3" t="s">
        <v>576</v>
      </c>
      <c r="D3" t="s">
        <v>577</v>
      </c>
      <c r="E3" s="2">
        <v>143.99</v>
      </c>
      <c r="F3" s="2">
        <v>0</v>
      </c>
      <c r="G3" s="2">
        <v>44.649000000000001</v>
      </c>
      <c r="H3" s="2">
        <v>-58.750999999999998</v>
      </c>
      <c r="I3" s="1">
        <v>0.81008403361344505</v>
      </c>
      <c r="J3" s="1">
        <v>0.90802139037433105</v>
      </c>
      <c r="K3" s="1">
        <v>0.51463128142214098</v>
      </c>
      <c r="L3" s="1">
        <v>0.70347414256563501</v>
      </c>
      <c r="N3" s="2"/>
      <c r="P3" s="1">
        <f>I3-'Passo 1'!I3</f>
        <v>5.6174039863880032E-2</v>
      </c>
      <c r="Q3" s="1">
        <f>J3-'Passo 1'!J3</f>
        <v>1.923744704493402E-2</v>
      </c>
      <c r="R3" s="1">
        <f t="shared" ref="R3:R66" si="1">I3*E3</f>
        <v>116.64399999999996</v>
      </c>
      <c r="S3">
        <f t="shared" si="0"/>
        <v>130.74599999999992</v>
      </c>
      <c r="T3" s="1">
        <f t="shared" ref="T3:T66" si="2">K3*E3</f>
        <v>74.101758211974087</v>
      </c>
      <c r="U3" s="1">
        <f t="shared" ref="U3:U66" si="3">L3*E3</f>
        <v>101.2932417880258</v>
      </c>
    </row>
    <row r="4" spans="1:21" x14ac:dyDescent="0.3">
      <c r="A4" t="s">
        <v>10</v>
      </c>
      <c r="B4" t="s">
        <v>13</v>
      </c>
      <c r="C4" t="s">
        <v>576</v>
      </c>
      <c r="D4" t="s">
        <v>14</v>
      </c>
      <c r="E4" s="2">
        <v>16.018000000000001</v>
      </c>
      <c r="F4" s="2">
        <v>0</v>
      </c>
      <c r="G4" s="2">
        <v>4.9619999999999997</v>
      </c>
      <c r="H4" s="2">
        <v>-4.1929999999999996</v>
      </c>
      <c r="I4" s="1">
        <v>0.80977650143588398</v>
      </c>
      <c r="J4" s="1">
        <v>0.76176801098763802</v>
      </c>
      <c r="K4" s="1">
        <v>0.64585247391587297</v>
      </c>
      <c r="L4" s="1">
        <v>0.42569203850764897</v>
      </c>
      <c r="M4" s="1">
        <f>(E4-F4+G4*2)/(2*E4)</f>
        <v>0.80977650143588464</v>
      </c>
      <c r="N4" s="1">
        <f>(E4-F4-H4*2)/(2*E4)</f>
        <v>0.76176801098763891</v>
      </c>
      <c r="P4" s="1">
        <f>I4-'Passo 1'!I4</f>
        <v>5.0412036458983955E-2</v>
      </c>
      <c r="Q4" s="1">
        <f>J4-'Passo 1'!J4</f>
        <v>-1.6887251841678941E-2</v>
      </c>
      <c r="R4" s="1">
        <f t="shared" si="1"/>
        <v>12.970999999999989</v>
      </c>
      <c r="S4">
        <f t="shared" si="0"/>
        <v>12.201999999999986</v>
      </c>
      <c r="T4" s="1">
        <f t="shared" si="2"/>
        <v>10.345264927184454</v>
      </c>
      <c r="U4" s="1">
        <f t="shared" si="3"/>
        <v>6.8187350728155218</v>
      </c>
    </row>
    <row r="5" spans="1:21" x14ac:dyDescent="0.3">
      <c r="A5" t="s">
        <v>10</v>
      </c>
      <c r="B5" t="s">
        <v>15</v>
      </c>
      <c r="C5" t="s">
        <v>574</v>
      </c>
      <c r="D5" t="s">
        <v>575</v>
      </c>
      <c r="E5" s="2">
        <v>244.435</v>
      </c>
      <c r="F5" s="2">
        <v>3.8879999999999999</v>
      </c>
      <c r="G5" s="2">
        <v>97.712500000000006</v>
      </c>
      <c r="H5" s="2">
        <v>-88.424000000000007</v>
      </c>
      <c r="I5" s="1">
        <v>0.89179536482091304</v>
      </c>
      <c r="J5" s="1">
        <v>0.853795487552928</v>
      </c>
      <c r="K5" s="1">
        <v>0.74681568792518804</v>
      </c>
      <c r="L5" s="1">
        <v>0.50672819899771504</v>
      </c>
      <c r="M5" s="2"/>
      <c r="N5" s="2"/>
      <c r="P5" s="1">
        <f>I5-'Passo 1'!I5</f>
        <v>4.3635322273815058E-2</v>
      </c>
      <c r="Q5" s="1">
        <f>J5-'Passo 1'!J5</f>
        <v>3.9521754249596031E-2</v>
      </c>
      <c r="R5" s="1">
        <f t="shared" si="1"/>
        <v>217.98599999999988</v>
      </c>
      <c r="S5">
        <f t="shared" si="0"/>
        <v>208.69749999999996</v>
      </c>
      <c r="T5" s="1">
        <f t="shared" si="2"/>
        <v>182.54789267799333</v>
      </c>
      <c r="U5" s="1">
        <f t="shared" si="3"/>
        <v>123.86210732200648</v>
      </c>
    </row>
    <row r="6" spans="1:21" x14ac:dyDescent="0.3">
      <c r="A6" t="s">
        <v>10</v>
      </c>
      <c r="B6" t="s">
        <v>16</v>
      </c>
      <c r="C6" t="s">
        <v>574</v>
      </c>
      <c r="D6" t="s">
        <v>575</v>
      </c>
      <c r="E6" s="2">
        <v>10963.710999999999</v>
      </c>
      <c r="F6" s="2">
        <v>0</v>
      </c>
      <c r="G6" s="2">
        <v>2983.2449999999999</v>
      </c>
      <c r="H6" s="2">
        <v>-3023.9604999999901</v>
      </c>
      <c r="I6" s="1">
        <v>0.77210175459750796</v>
      </c>
      <c r="J6" s="1">
        <v>0.77581541505426399</v>
      </c>
      <c r="K6" s="1">
        <v>0.59936774248858904</v>
      </c>
      <c r="L6" s="1">
        <v>0.44854942716318202</v>
      </c>
      <c r="M6" s="2"/>
      <c r="N6" s="2"/>
      <c r="P6" s="1">
        <f>I6-'Passo 1'!I6</f>
        <v>0.12779828837151996</v>
      </c>
      <c r="Q6" s="1">
        <f>J6-'Passo 1'!J6</f>
        <v>0.112708643998369</v>
      </c>
      <c r="R6" s="1">
        <f t="shared" si="1"/>
        <v>8465.1004999999986</v>
      </c>
      <c r="S6">
        <f t="shared" si="0"/>
        <v>8505.8159999999989</v>
      </c>
      <c r="T6" s="1">
        <f t="shared" si="2"/>
        <v>6571.2947113673108</v>
      </c>
      <c r="U6" s="1">
        <f t="shared" si="3"/>
        <v>4917.7662886326771</v>
      </c>
    </row>
    <row r="7" spans="1:21" x14ac:dyDescent="0.3">
      <c r="A7" t="s">
        <v>10</v>
      </c>
      <c r="B7" t="s">
        <v>17</v>
      </c>
      <c r="C7" t="s">
        <v>576</v>
      </c>
      <c r="D7" t="s">
        <v>14</v>
      </c>
      <c r="E7" s="2">
        <v>11.031000000000001</v>
      </c>
      <c r="F7" s="2">
        <v>0</v>
      </c>
      <c r="G7" s="2">
        <v>5.2374999999999998</v>
      </c>
      <c r="H7" s="2">
        <v>-5.3540000000000001</v>
      </c>
      <c r="I7" s="1">
        <v>0.97479829571208398</v>
      </c>
      <c r="J7" s="1">
        <v>0.985359441573746</v>
      </c>
      <c r="K7" s="1">
        <v>0.65406310811631396</v>
      </c>
      <c r="L7" s="1">
        <v>0.80609462916951602</v>
      </c>
      <c r="M7" s="2"/>
      <c r="N7" s="2"/>
      <c r="P7" s="1">
        <f>I7-'Passo 1'!I7</f>
        <v>9.1424168253104954E-2</v>
      </c>
      <c r="Q7" s="1">
        <f>J7-'Passo 1'!J7</f>
        <v>5.0448735382105037E-2</v>
      </c>
      <c r="R7" s="1">
        <f t="shared" si="1"/>
        <v>10.752999999999998</v>
      </c>
      <c r="S7">
        <f t="shared" si="0"/>
        <v>10.869499999999993</v>
      </c>
      <c r="T7" s="1">
        <f t="shared" si="2"/>
        <v>7.2149701456310593</v>
      </c>
      <c r="U7" s="1">
        <f t="shared" si="3"/>
        <v>8.892029854368932</v>
      </c>
    </row>
    <row r="8" spans="1:21" x14ac:dyDescent="0.3">
      <c r="A8" t="s">
        <v>10</v>
      </c>
      <c r="B8" t="s">
        <v>578</v>
      </c>
      <c r="C8" t="s">
        <v>574</v>
      </c>
      <c r="D8" t="s">
        <v>575</v>
      </c>
      <c r="E8" s="2">
        <v>214.44900000000001</v>
      </c>
      <c r="F8" s="2">
        <v>0</v>
      </c>
      <c r="G8" s="2">
        <v>74.430999999999997</v>
      </c>
      <c r="H8" s="2">
        <v>-78.156999999999996</v>
      </c>
      <c r="I8" s="1">
        <v>0.84708019156069703</v>
      </c>
      <c r="J8" s="1">
        <v>0.86445495199324696</v>
      </c>
      <c r="K8" s="1">
        <v>0.60329328571585294</v>
      </c>
      <c r="L8" s="1">
        <v>0.60824185783809204</v>
      </c>
      <c r="M8" s="2"/>
      <c r="N8" s="2"/>
      <c r="P8" s="1">
        <f>I8-'Passo 1'!I8</f>
        <v>7.903977169396903E-2</v>
      </c>
      <c r="Q8" s="1">
        <f>J8-'Passo 1'!J8</f>
        <v>1.2019174722194936E-2</v>
      </c>
      <c r="R8" s="1">
        <f t="shared" si="1"/>
        <v>181.65549999999993</v>
      </c>
      <c r="S8">
        <f t="shared" si="0"/>
        <v>185.38149999999982</v>
      </c>
      <c r="T8" s="1">
        <f t="shared" si="2"/>
        <v>129.37564182847896</v>
      </c>
      <c r="U8" s="1">
        <f t="shared" si="3"/>
        <v>130.43685817152101</v>
      </c>
    </row>
    <row r="9" spans="1:21" x14ac:dyDescent="0.3">
      <c r="A9" t="s">
        <v>10</v>
      </c>
      <c r="B9" t="s">
        <v>579</v>
      </c>
      <c r="C9" t="s">
        <v>576</v>
      </c>
      <c r="D9" t="s">
        <v>14</v>
      </c>
      <c r="E9" s="2">
        <v>10.714</v>
      </c>
      <c r="F9" s="2">
        <v>0</v>
      </c>
      <c r="G9" s="2">
        <v>5.141</v>
      </c>
      <c r="H9" s="2">
        <v>-5.1755000000000004</v>
      </c>
      <c r="I9" s="1">
        <v>0.979839462385663</v>
      </c>
      <c r="J9" s="1">
        <v>0.98305954825462005</v>
      </c>
      <c r="K9" s="1">
        <v>0.664230609256376</v>
      </c>
      <c r="L9" s="1">
        <v>0.79866840138390705</v>
      </c>
      <c r="M9" s="2"/>
      <c r="N9" s="2"/>
      <c r="P9" s="1">
        <f>I9-'Passo 1'!I9</f>
        <v>2.3893970505880047E-2</v>
      </c>
      <c r="Q9" s="1">
        <f>J9-'Passo 1'!J9</f>
        <v>5.1101362703006026E-2</v>
      </c>
      <c r="R9" s="1">
        <f t="shared" si="1"/>
        <v>10.497999999999994</v>
      </c>
      <c r="S9">
        <f t="shared" si="0"/>
        <v>10.532499999999999</v>
      </c>
      <c r="T9" s="1">
        <f t="shared" si="2"/>
        <v>7.1165667475728132</v>
      </c>
      <c r="U9" s="1">
        <f t="shared" si="3"/>
        <v>8.5569332524271804</v>
      </c>
    </row>
    <row r="10" spans="1:21" x14ac:dyDescent="0.3">
      <c r="A10" t="s">
        <v>10</v>
      </c>
      <c r="B10" t="s">
        <v>18</v>
      </c>
      <c r="C10" t="s">
        <v>574</v>
      </c>
      <c r="D10" t="s">
        <v>575</v>
      </c>
      <c r="E10" s="2">
        <v>74.23</v>
      </c>
      <c r="F10" s="2">
        <v>0</v>
      </c>
      <c r="G10" s="2">
        <v>35.706000000000003</v>
      </c>
      <c r="H10" s="2">
        <v>-34.908499999999997</v>
      </c>
      <c r="I10" s="1">
        <v>0.98101845614980399</v>
      </c>
      <c r="J10" s="1">
        <v>0.97027482150073996</v>
      </c>
      <c r="K10" s="1">
        <v>0.60125662955207404</v>
      </c>
      <c r="L10" s="1">
        <v>0.85003664809847101</v>
      </c>
      <c r="M10" s="2"/>
      <c r="N10" s="2"/>
      <c r="P10" s="1">
        <f>I10-'Passo 1'!I10</f>
        <v>0.11195608244644994</v>
      </c>
      <c r="Q10" s="1">
        <f>J10-'Passo 1'!J10</f>
        <v>0.1021285194665229</v>
      </c>
      <c r="R10" s="1">
        <f t="shared" si="1"/>
        <v>72.820999999999955</v>
      </c>
      <c r="S10">
        <f t="shared" si="0"/>
        <v>72.023499999999927</v>
      </c>
      <c r="T10" s="1">
        <f t="shared" si="2"/>
        <v>44.631279611650456</v>
      </c>
      <c r="U10" s="1">
        <f t="shared" si="3"/>
        <v>63.09822038834951</v>
      </c>
    </row>
    <row r="11" spans="1:21" x14ac:dyDescent="0.3">
      <c r="A11" t="s">
        <v>10</v>
      </c>
      <c r="B11" t="s">
        <v>19</v>
      </c>
      <c r="C11" t="s">
        <v>580</v>
      </c>
      <c r="D11" t="s">
        <v>581</v>
      </c>
      <c r="E11" s="2">
        <v>414.096</v>
      </c>
      <c r="F11" s="2">
        <v>0</v>
      </c>
      <c r="G11" s="2">
        <v>191.316</v>
      </c>
      <c r="H11" s="2">
        <v>-186.077</v>
      </c>
      <c r="I11" s="1">
        <v>0.962008809551408</v>
      </c>
      <c r="J11" s="1">
        <v>0.94935715389668096</v>
      </c>
      <c r="K11" s="1">
        <v>0.74292993079227798</v>
      </c>
      <c r="L11" s="1">
        <v>0.66843603265581097</v>
      </c>
      <c r="M11" s="2"/>
      <c r="N11" s="2"/>
      <c r="P11" s="1">
        <f>I11-'Passo 1'!I11</f>
        <v>7.201953170279396E-2</v>
      </c>
      <c r="Q11" s="1">
        <f>J11-'Passo 1'!J11</f>
        <v>6.741914918279901E-2</v>
      </c>
      <c r="R11" s="1">
        <f t="shared" si="1"/>
        <v>398.36399999999986</v>
      </c>
      <c r="S11">
        <f t="shared" si="0"/>
        <v>393.125</v>
      </c>
      <c r="T11" s="1">
        <f t="shared" si="2"/>
        <v>307.64431262135912</v>
      </c>
      <c r="U11" s="1">
        <f t="shared" si="3"/>
        <v>276.79668737864068</v>
      </c>
    </row>
    <row r="12" spans="1:21" x14ac:dyDescent="0.3">
      <c r="A12" t="s">
        <v>10</v>
      </c>
      <c r="B12" t="s">
        <v>20</v>
      </c>
      <c r="C12" t="s">
        <v>576</v>
      </c>
      <c r="D12" t="s">
        <v>577</v>
      </c>
      <c r="E12" s="2">
        <v>83.188000000000002</v>
      </c>
      <c r="F12" s="2">
        <v>0</v>
      </c>
      <c r="G12" s="2">
        <v>35</v>
      </c>
      <c r="H12" s="2">
        <v>-35.960999999999999</v>
      </c>
      <c r="I12" s="1">
        <v>0.92073375967687598</v>
      </c>
      <c r="J12" s="1">
        <v>0.93228590662114696</v>
      </c>
      <c r="K12" s="1">
        <v>0.51146736656301395</v>
      </c>
      <c r="L12" s="1">
        <v>0.841552299735009</v>
      </c>
      <c r="M12" s="2"/>
      <c r="N12" s="2"/>
      <c r="P12" s="1">
        <f>I12-'Passo 1'!I12</f>
        <v>0.13231475693609696</v>
      </c>
      <c r="Q12" s="1">
        <f>J12-'Passo 1'!J12</f>
        <v>2.0868394479973018E-2</v>
      </c>
      <c r="R12" s="1">
        <f t="shared" si="1"/>
        <v>76.593999999999966</v>
      </c>
      <c r="S12">
        <f t="shared" si="0"/>
        <v>77.554999999999978</v>
      </c>
      <c r="T12" s="1">
        <f t="shared" si="2"/>
        <v>42.547947289644007</v>
      </c>
      <c r="U12" s="1">
        <f t="shared" si="3"/>
        <v>70.007052710355936</v>
      </c>
    </row>
    <row r="13" spans="1:21" x14ac:dyDescent="0.3">
      <c r="A13" t="s">
        <v>10</v>
      </c>
      <c r="B13" t="s">
        <v>582</v>
      </c>
      <c r="C13" t="s">
        <v>574</v>
      </c>
      <c r="D13" t="s">
        <v>575</v>
      </c>
      <c r="E13" s="2">
        <v>43.667999999999999</v>
      </c>
      <c r="F13" s="2">
        <v>0.17399999999999999</v>
      </c>
      <c r="G13" s="2">
        <v>20.509</v>
      </c>
      <c r="H13" s="2">
        <v>-20.488499999999998</v>
      </c>
      <c r="I13" s="1">
        <v>0.96766510946230599</v>
      </c>
      <c r="J13" s="1">
        <v>0.96719565814784203</v>
      </c>
      <c r="K13" s="1">
        <v>0.61440865364520103</v>
      </c>
      <c r="L13" s="1">
        <v>0.82244441954340297</v>
      </c>
      <c r="M13" s="2"/>
      <c r="N13" s="2"/>
      <c r="P13" s="1">
        <f>I13-'Passo 1'!I13</f>
        <v>0.15867454428872396</v>
      </c>
      <c r="Q13" s="1">
        <f>J13-'Passo 1'!J13</f>
        <v>0.166506366217825</v>
      </c>
      <c r="R13" s="1">
        <f t="shared" si="1"/>
        <v>42.255999999999979</v>
      </c>
      <c r="S13">
        <f t="shared" si="0"/>
        <v>42.235499999999966</v>
      </c>
      <c r="T13" s="1">
        <f t="shared" si="2"/>
        <v>26.829997087378636</v>
      </c>
      <c r="U13" s="1">
        <f t="shared" si="3"/>
        <v>35.914502912621323</v>
      </c>
    </row>
    <row r="14" spans="1:21" x14ac:dyDescent="0.3">
      <c r="A14" t="s">
        <v>10</v>
      </c>
      <c r="B14" t="s">
        <v>21</v>
      </c>
      <c r="C14" t="s">
        <v>576</v>
      </c>
      <c r="D14" t="s">
        <v>583</v>
      </c>
      <c r="E14" s="2">
        <v>40.799999999999997</v>
      </c>
      <c r="F14" s="2">
        <v>0</v>
      </c>
      <c r="G14" s="2">
        <v>19.520499999999998</v>
      </c>
      <c r="H14" s="2">
        <v>-19.995000000000001</v>
      </c>
      <c r="I14" s="1">
        <v>0.97844362745098001</v>
      </c>
      <c r="J14" s="1">
        <v>0.99007352941176396</v>
      </c>
      <c r="K14" s="1">
        <v>0.90676653775972105</v>
      </c>
      <c r="L14" s="1">
        <v>0.56175061910302304</v>
      </c>
      <c r="M14" s="2"/>
      <c r="N14" s="2"/>
      <c r="P14" s="1">
        <f>I14-'Passo 1'!I14</f>
        <v>9.1446078431372979E-2</v>
      </c>
      <c r="Q14" s="1">
        <f>J14-'Passo 1'!J14</f>
        <v>8.0551470588234975E-2</v>
      </c>
      <c r="R14" s="1">
        <f t="shared" si="1"/>
        <v>39.920499999999983</v>
      </c>
      <c r="S14">
        <f t="shared" si="0"/>
        <v>40.394999999999968</v>
      </c>
      <c r="T14" s="1">
        <f t="shared" si="2"/>
        <v>36.996074740596619</v>
      </c>
      <c r="U14" s="1">
        <f t="shared" si="3"/>
        <v>22.91942525940334</v>
      </c>
    </row>
    <row r="15" spans="1:21" x14ac:dyDescent="0.3">
      <c r="A15" t="s">
        <v>10</v>
      </c>
      <c r="B15" t="s">
        <v>22</v>
      </c>
      <c r="C15" t="s">
        <v>574</v>
      </c>
      <c r="D15" t="s">
        <v>575</v>
      </c>
      <c r="E15" s="2">
        <v>1100.02</v>
      </c>
      <c r="F15" s="2">
        <v>0</v>
      </c>
      <c r="G15" s="2">
        <v>444.94049999999999</v>
      </c>
      <c r="H15" s="2">
        <v>-406.89049999999997</v>
      </c>
      <c r="I15" s="1">
        <v>0.90448400938164697</v>
      </c>
      <c r="J15" s="1">
        <v>0.86989372920492303</v>
      </c>
      <c r="K15" s="1">
        <v>0.65394742889052504</v>
      </c>
      <c r="L15" s="1">
        <v>0.62043030969604596</v>
      </c>
      <c r="M15" s="2"/>
      <c r="N15" s="2"/>
      <c r="P15" s="1">
        <f>I15-'Passo 1'!I15</f>
        <v>8.6529790367448012E-2</v>
      </c>
      <c r="Q15" s="1">
        <f>J15-'Passo 1'!J15</f>
        <v>0.12189960182542103</v>
      </c>
      <c r="R15" s="1">
        <f t="shared" si="1"/>
        <v>994.95049999999924</v>
      </c>
      <c r="S15">
        <f t="shared" si="0"/>
        <v>956.9004999999994</v>
      </c>
      <c r="T15" s="1">
        <f t="shared" si="2"/>
        <v>719.3552507281554</v>
      </c>
      <c r="U15" s="1">
        <f t="shared" si="3"/>
        <v>682.4857492718445</v>
      </c>
    </row>
    <row r="16" spans="1:21" x14ac:dyDescent="0.3">
      <c r="A16" t="s">
        <v>10</v>
      </c>
      <c r="B16" t="s">
        <v>23</v>
      </c>
      <c r="C16" t="s">
        <v>574</v>
      </c>
      <c r="D16" t="s">
        <v>575</v>
      </c>
      <c r="E16" s="2">
        <v>245.61799999999999</v>
      </c>
      <c r="F16" s="2">
        <v>0</v>
      </c>
      <c r="G16" s="2">
        <v>105.209</v>
      </c>
      <c r="H16" s="2">
        <v>-116.74850000000001</v>
      </c>
      <c r="I16" s="1">
        <v>0.92834401387520404</v>
      </c>
      <c r="J16" s="1">
        <v>0.97532550545969698</v>
      </c>
      <c r="K16" s="1">
        <v>0.66945278211902703</v>
      </c>
      <c r="L16" s="1">
        <v>0.73421673721587399</v>
      </c>
      <c r="M16" s="2"/>
      <c r="N16" s="2"/>
      <c r="P16" s="1">
        <f>I16-'Passo 1'!I16</f>
        <v>0.18722162056526803</v>
      </c>
      <c r="Q16" s="1">
        <f>J16-'Passo 1'!J16</f>
        <v>5.7929386282764006E-2</v>
      </c>
      <c r="R16" s="1">
        <f t="shared" si="1"/>
        <v>228.01799999999986</v>
      </c>
      <c r="S16">
        <f t="shared" si="0"/>
        <v>239.55749999999986</v>
      </c>
      <c r="T16" s="1">
        <f t="shared" si="2"/>
        <v>164.42965343851117</v>
      </c>
      <c r="U16" s="1">
        <f t="shared" si="3"/>
        <v>180.33684656148853</v>
      </c>
    </row>
    <row r="17" spans="1:21" x14ac:dyDescent="0.3">
      <c r="A17" t="s">
        <v>10</v>
      </c>
      <c r="B17" t="s">
        <v>24</v>
      </c>
      <c r="C17" t="s">
        <v>576</v>
      </c>
      <c r="D17" t="s">
        <v>583</v>
      </c>
      <c r="E17" s="2">
        <v>35.563000000000002</v>
      </c>
      <c r="F17" s="2">
        <v>0</v>
      </c>
      <c r="G17" s="2">
        <v>15.590999999999999</v>
      </c>
      <c r="H17" s="2">
        <v>-16.352499999999999</v>
      </c>
      <c r="I17" s="1">
        <v>0.938405083935551</v>
      </c>
      <c r="J17" s="1">
        <v>0.95981778815060503</v>
      </c>
      <c r="K17" s="1">
        <v>0.825401039041327</v>
      </c>
      <c r="L17" s="1">
        <v>0.57282183304482903</v>
      </c>
      <c r="M17" s="2"/>
      <c r="N17" s="2"/>
      <c r="P17" s="1">
        <f>I17-'Passo 1'!I17</f>
        <v>4.0083794955432017E-2</v>
      </c>
      <c r="Q17" s="1">
        <f>J17-'Passo 1'!J17</f>
        <v>7.2898799313892981E-2</v>
      </c>
      <c r="R17" s="1">
        <f t="shared" si="1"/>
        <v>33.372500000000002</v>
      </c>
      <c r="S17">
        <f t="shared" si="0"/>
        <v>34.133999999999972</v>
      </c>
      <c r="T17" s="1">
        <f t="shared" si="2"/>
        <v>29.353737151426714</v>
      </c>
      <c r="U17" s="1">
        <f t="shared" si="3"/>
        <v>20.371262848573256</v>
      </c>
    </row>
    <row r="18" spans="1:21" x14ac:dyDescent="0.3">
      <c r="A18" t="s">
        <v>10</v>
      </c>
      <c r="B18" t="s">
        <v>25</v>
      </c>
      <c r="C18" t="s">
        <v>576</v>
      </c>
      <c r="D18" t="s">
        <v>583</v>
      </c>
      <c r="E18" s="2">
        <v>162.19</v>
      </c>
      <c r="F18" s="2">
        <v>0</v>
      </c>
      <c r="G18" s="2">
        <v>80.48</v>
      </c>
      <c r="H18" s="2">
        <v>-80.793499999999995</v>
      </c>
      <c r="I18" s="1">
        <v>0.99620815093408899</v>
      </c>
      <c r="J18" s="1">
        <v>0.99814106911646805</v>
      </c>
      <c r="K18" s="1">
        <v>0.98455412426314404</v>
      </c>
      <c r="L18" s="1">
        <v>0.509795095787413</v>
      </c>
      <c r="M18" s="2"/>
      <c r="N18" s="2"/>
      <c r="P18" s="1">
        <f>I18-'Passo 1'!I18</f>
        <v>6.1289228682408936E-2</v>
      </c>
      <c r="Q18" s="1">
        <f>J18-'Passo 1'!J18</f>
        <v>9.4179665824040137E-3</v>
      </c>
      <c r="R18" s="1">
        <f t="shared" si="1"/>
        <v>161.5749999999999</v>
      </c>
      <c r="S18">
        <f t="shared" si="0"/>
        <v>161.88849999999994</v>
      </c>
      <c r="T18" s="1">
        <f t="shared" si="2"/>
        <v>159.68483341423934</v>
      </c>
      <c r="U18" s="1">
        <f t="shared" si="3"/>
        <v>82.68366658576052</v>
      </c>
    </row>
    <row r="19" spans="1:21" x14ac:dyDescent="0.3">
      <c r="A19" t="s">
        <v>10</v>
      </c>
      <c r="B19" t="s">
        <v>26</v>
      </c>
      <c r="C19" t="s">
        <v>576</v>
      </c>
      <c r="D19" t="s">
        <v>583</v>
      </c>
      <c r="E19" s="2">
        <v>162.16900000000001</v>
      </c>
      <c r="F19" s="2">
        <v>0</v>
      </c>
      <c r="G19" s="2">
        <v>80.600999999999999</v>
      </c>
      <c r="H19" s="2">
        <v>-80.769499999999994</v>
      </c>
      <c r="I19" s="1">
        <v>0.99701854238479504</v>
      </c>
      <c r="J19" s="1">
        <v>0.99805758190529603</v>
      </c>
      <c r="K19" s="1">
        <v>0.98539670005646096</v>
      </c>
      <c r="L19" s="1">
        <v>0.50967942423363</v>
      </c>
      <c r="M19" s="2"/>
      <c r="N19" s="2"/>
      <c r="P19" s="1">
        <f>I19-'Passo 1'!I19</f>
        <v>7.5452151767600006E-2</v>
      </c>
      <c r="Q19" s="1">
        <f>J19-'Passo 1'!J19</f>
        <v>1.9229939137566987E-2</v>
      </c>
      <c r="R19" s="1">
        <f t="shared" si="1"/>
        <v>161.68549999999985</v>
      </c>
      <c r="S19">
        <f t="shared" si="0"/>
        <v>161.85399999999996</v>
      </c>
      <c r="T19" s="1">
        <f t="shared" si="2"/>
        <v>159.80079745145622</v>
      </c>
      <c r="U19" s="1">
        <f t="shared" si="3"/>
        <v>82.654202548543552</v>
      </c>
    </row>
    <row r="20" spans="1:21" x14ac:dyDescent="0.3">
      <c r="A20" t="s">
        <v>10</v>
      </c>
      <c r="B20" t="s">
        <v>27</v>
      </c>
      <c r="C20" t="s">
        <v>576</v>
      </c>
      <c r="D20" t="s">
        <v>577</v>
      </c>
      <c r="E20" s="2">
        <v>126.41200000000001</v>
      </c>
      <c r="F20" s="2">
        <v>0</v>
      </c>
      <c r="G20" s="2">
        <v>36.186500000000002</v>
      </c>
      <c r="H20" s="2">
        <v>-61.372499999999903</v>
      </c>
      <c r="I20" s="1">
        <v>0.78625842483308495</v>
      </c>
      <c r="J20" s="1">
        <v>0.98549583900262605</v>
      </c>
      <c r="K20" s="1">
        <v>0.39799060172280898</v>
      </c>
      <c r="L20" s="1">
        <v>0.87376366211290202</v>
      </c>
      <c r="M20" s="2"/>
      <c r="N20" s="2"/>
      <c r="P20" s="1">
        <f>I20-'Passo 1'!I20</f>
        <v>6.3502673796790976E-2</v>
      </c>
      <c r="Q20" s="1">
        <f>J20-'Passo 1'!J20</f>
        <v>6.0710217384426057E-2</v>
      </c>
      <c r="R20" s="1">
        <f t="shared" si="1"/>
        <v>99.392499999999941</v>
      </c>
      <c r="S20">
        <f t="shared" si="0"/>
        <v>124.57849999999998</v>
      </c>
      <c r="T20" s="1">
        <f t="shared" si="2"/>
        <v>50.31078794498373</v>
      </c>
      <c r="U20" s="1">
        <f t="shared" si="3"/>
        <v>110.45421205501617</v>
      </c>
    </row>
    <row r="21" spans="1:21" x14ac:dyDescent="0.3">
      <c r="A21" t="s">
        <v>10</v>
      </c>
      <c r="B21" t="s">
        <v>28</v>
      </c>
      <c r="C21" t="s">
        <v>576</v>
      </c>
      <c r="D21" t="s">
        <v>577</v>
      </c>
      <c r="E21" s="2">
        <v>86.302999999999997</v>
      </c>
      <c r="F21" s="2">
        <v>0</v>
      </c>
      <c r="G21" s="2">
        <v>31.439499999999999</v>
      </c>
      <c r="H21" s="2">
        <v>-32.045000000000002</v>
      </c>
      <c r="I21" s="1">
        <v>0.86429208718120998</v>
      </c>
      <c r="J21" s="1">
        <v>0.87130806576828101</v>
      </c>
      <c r="K21" s="1">
        <v>0.51237546370361298</v>
      </c>
      <c r="L21" s="1">
        <v>0.72322468924587802</v>
      </c>
      <c r="M21" s="2"/>
      <c r="N21" s="2"/>
      <c r="P21" s="1">
        <f>I21-'Passo 1'!I21</f>
        <v>3.2559702443715977E-2</v>
      </c>
      <c r="Q21" s="1">
        <f>J21-'Passo 1'!J21</f>
        <v>2.1592528649062026E-2</v>
      </c>
      <c r="R21" s="1">
        <f t="shared" si="1"/>
        <v>74.590999999999966</v>
      </c>
      <c r="S21">
        <f t="shared" si="0"/>
        <v>75.196499999999958</v>
      </c>
      <c r="T21" s="1">
        <f t="shared" si="2"/>
        <v>44.219539644012912</v>
      </c>
      <c r="U21" s="1">
        <f t="shared" si="3"/>
        <v>62.416460355987006</v>
      </c>
    </row>
    <row r="22" spans="1:21" x14ac:dyDescent="0.3">
      <c r="A22" t="s">
        <v>10</v>
      </c>
      <c r="B22" t="s">
        <v>584</v>
      </c>
      <c r="C22" t="s">
        <v>576</v>
      </c>
      <c r="D22" t="s">
        <v>577</v>
      </c>
      <c r="E22" s="2">
        <v>263.41399999999999</v>
      </c>
      <c r="F22" s="2">
        <v>0</v>
      </c>
      <c r="G22" s="2">
        <v>97.460499999999996</v>
      </c>
      <c r="H22" s="2">
        <v>-120.5885</v>
      </c>
      <c r="I22" s="1">
        <v>0.86998982590143203</v>
      </c>
      <c r="J22" s="1">
        <v>0.95779077801483603</v>
      </c>
      <c r="K22" s="1">
        <v>0.79926329836579701</v>
      </c>
      <c r="L22" s="1">
        <v>0.52851730555047105</v>
      </c>
      <c r="M22" s="2"/>
      <c r="N22" s="2"/>
      <c r="P22" s="1">
        <f>I22-'Passo 1'!I22</f>
        <v>3.6987403858565027E-2</v>
      </c>
      <c r="Q22" s="1">
        <f>J22-'Passo 1'!J22</f>
        <v>7.3226935546326977E-2</v>
      </c>
      <c r="R22" s="1">
        <f t="shared" si="1"/>
        <v>229.16749999999982</v>
      </c>
      <c r="S22">
        <f t="shared" si="0"/>
        <v>252.2955</v>
      </c>
      <c r="T22" s="1">
        <f t="shared" si="2"/>
        <v>210.53714247572805</v>
      </c>
      <c r="U22" s="1">
        <f t="shared" si="3"/>
        <v>139.21885752427178</v>
      </c>
    </row>
    <row r="23" spans="1:21" x14ac:dyDescent="0.3">
      <c r="A23" t="s">
        <v>10</v>
      </c>
      <c r="B23" t="s">
        <v>29</v>
      </c>
      <c r="C23" t="s">
        <v>576</v>
      </c>
      <c r="D23" t="s">
        <v>577</v>
      </c>
      <c r="E23" s="2">
        <v>73.927000000000007</v>
      </c>
      <c r="F23" s="2">
        <v>0</v>
      </c>
      <c r="G23" s="2">
        <v>35.383499999999998</v>
      </c>
      <c r="H23" s="2">
        <v>-36.615000000000002</v>
      </c>
      <c r="I23" s="1">
        <v>0.97862756503036696</v>
      </c>
      <c r="J23" s="1">
        <v>0.99528589013486202</v>
      </c>
      <c r="K23" s="1">
        <v>0.552627884837675</v>
      </c>
      <c r="L23" s="1">
        <v>0.92128557032755498</v>
      </c>
      <c r="M23" s="2"/>
      <c r="N23" s="2"/>
      <c r="P23" s="1">
        <f>I23-'Passo 1'!I23</f>
        <v>0.12859983497233696</v>
      </c>
      <c r="Q23" s="1">
        <f>J23-'Passo 1'!J23</f>
        <v>2.0520242942361988E-2</v>
      </c>
      <c r="R23" s="1">
        <f t="shared" si="1"/>
        <v>72.346999999999952</v>
      </c>
      <c r="S23">
        <f t="shared" si="0"/>
        <v>73.578499999999948</v>
      </c>
      <c r="T23" s="1">
        <f t="shared" si="2"/>
        <v>40.854121642394801</v>
      </c>
      <c r="U23" s="1">
        <f t="shared" si="3"/>
        <v>68.107878357605159</v>
      </c>
    </row>
    <row r="24" spans="1:21" x14ac:dyDescent="0.3">
      <c r="A24" t="s">
        <v>10</v>
      </c>
      <c r="B24" t="s">
        <v>585</v>
      </c>
      <c r="C24" t="s">
        <v>576</v>
      </c>
      <c r="D24" t="s">
        <v>577</v>
      </c>
      <c r="E24" s="2">
        <v>523.80799999999999</v>
      </c>
      <c r="F24" s="2">
        <v>0</v>
      </c>
      <c r="G24" s="2">
        <v>194.279</v>
      </c>
      <c r="H24" s="2">
        <v>-257.71499999999997</v>
      </c>
      <c r="I24" s="1">
        <v>0.87089735170138605</v>
      </c>
      <c r="J24" s="1">
        <v>0.99200279491722099</v>
      </c>
      <c r="K24" s="1">
        <v>0.64459046689777399</v>
      </c>
      <c r="L24" s="1">
        <v>0.71830967972083304</v>
      </c>
      <c r="M24" s="2"/>
      <c r="N24" s="2"/>
      <c r="P24" s="1">
        <f>I24-'Passo 1'!I24</f>
        <v>5.6876756368746006E-2</v>
      </c>
      <c r="Q24" s="1">
        <f>J24-'Passo 1'!J24</f>
        <v>3.8556112163234957E-2</v>
      </c>
      <c r="R24" s="1">
        <f t="shared" si="1"/>
        <v>456.18299999999959</v>
      </c>
      <c r="S24">
        <f t="shared" si="0"/>
        <v>519.61899999999969</v>
      </c>
      <c r="T24" s="1">
        <f t="shared" si="2"/>
        <v>337.64164328478921</v>
      </c>
      <c r="U24" s="1">
        <f t="shared" si="3"/>
        <v>376.25635671521013</v>
      </c>
    </row>
    <row r="25" spans="1:21" x14ac:dyDescent="0.3">
      <c r="A25" t="s">
        <v>10</v>
      </c>
      <c r="B25" t="s">
        <v>586</v>
      </c>
      <c r="C25" t="s">
        <v>576</v>
      </c>
      <c r="D25" t="s">
        <v>577</v>
      </c>
      <c r="E25" s="2">
        <v>345.80599999999998</v>
      </c>
      <c r="F25" s="2">
        <v>0</v>
      </c>
      <c r="G25" s="2">
        <v>143.786</v>
      </c>
      <c r="H25" s="2">
        <v>-168.10499999999999</v>
      </c>
      <c r="I25" s="1">
        <v>0.91579961018605804</v>
      </c>
      <c r="J25" s="1">
        <v>0.98612516844704801</v>
      </c>
      <c r="K25" s="1">
        <v>0.73961857556195298</v>
      </c>
      <c r="L25" s="1">
        <v>0.66230620307115295</v>
      </c>
      <c r="M25" s="2"/>
      <c r="N25" s="2"/>
      <c r="P25" s="1">
        <f>I25-'Passo 1'!I25</f>
        <v>9.5043174496683092E-2</v>
      </c>
      <c r="Q25" s="1">
        <f>J25-'Passo 1'!J25</f>
        <v>0.16210823409657404</v>
      </c>
      <c r="R25" s="1">
        <f t="shared" si="1"/>
        <v>316.68899999999996</v>
      </c>
      <c r="S25">
        <f t="shared" si="0"/>
        <v>341.00799999999987</v>
      </c>
      <c r="T25" s="1">
        <f t="shared" si="2"/>
        <v>255.76454114077671</v>
      </c>
      <c r="U25" s="1">
        <f t="shared" si="3"/>
        <v>229.0294588592231</v>
      </c>
    </row>
    <row r="26" spans="1:21" x14ac:dyDescent="0.3">
      <c r="A26" t="s">
        <v>10</v>
      </c>
      <c r="B26" t="s">
        <v>587</v>
      </c>
      <c r="C26" t="s">
        <v>576</v>
      </c>
      <c r="D26" t="s">
        <v>577</v>
      </c>
      <c r="E26" s="2">
        <v>347.702</v>
      </c>
      <c r="F26" s="2">
        <v>0</v>
      </c>
      <c r="G26" s="2">
        <v>157.46699999999899</v>
      </c>
      <c r="H26" s="2">
        <v>-167.125</v>
      </c>
      <c r="I26" s="1">
        <v>0.95287918965090701</v>
      </c>
      <c r="J26" s="1">
        <v>0.98065584897412095</v>
      </c>
      <c r="K26" s="1">
        <v>0.77560571178954096</v>
      </c>
      <c r="L26" s="1">
        <v>0.65792932683548699</v>
      </c>
      <c r="M26" s="2"/>
      <c r="N26" s="2"/>
      <c r="P26" s="1">
        <f>I26-'Passo 1'!I26</f>
        <v>0.18703660030715896</v>
      </c>
      <c r="Q26" s="1">
        <f>J26-'Passo 1'!J26</f>
        <v>0.17171888571247795</v>
      </c>
      <c r="R26" s="1">
        <f t="shared" si="1"/>
        <v>331.31799999999964</v>
      </c>
      <c r="S26">
        <f t="shared" si="0"/>
        <v>340.97599999999977</v>
      </c>
      <c r="T26" s="1">
        <f t="shared" si="2"/>
        <v>269.67965720064694</v>
      </c>
      <c r="U26" s="1">
        <f t="shared" si="3"/>
        <v>228.7633427993525</v>
      </c>
    </row>
    <row r="27" spans="1:21" x14ac:dyDescent="0.3">
      <c r="A27" t="s">
        <v>10</v>
      </c>
      <c r="B27" t="s">
        <v>588</v>
      </c>
      <c r="C27" t="s">
        <v>576</v>
      </c>
      <c r="D27" t="s">
        <v>577</v>
      </c>
      <c r="E27" s="2">
        <v>570.59299999999996</v>
      </c>
      <c r="F27" s="2">
        <v>0</v>
      </c>
      <c r="G27" s="2">
        <v>161.916</v>
      </c>
      <c r="H27" s="2">
        <v>-271.58699999999999</v>
      </c>
      <c r="I27" s="1">
        <v>0.78376793966978198</v>
      </c>
      <c r="J27" s="1">
        <v>0.975973241872928</v>
      </c>
      <c r="K27" s="1">
        <v>0.426949460975525</v>
      </c>
      <c r="L27" s="1">
        <v>0.83279172056718498</v>
      </c>
      <c r="M27" s="2"/>
      <c r="N27" s="2"/>
      <c r="P27" s="1">
        <f>I27-'Passo 1'!I27</f>
        <v>4.5030345622886991E-2</v>
      </c>
      <c r="Q27" s="1">
        <f>J27-'Passo 1'!J27</f>
        <v>0.12225877289065901</v>
      </c>
      <c r="R27" s="1">
        <f t="shared" si="1"/>
        <v>447.21249999999986</v>
      </c>
      <c r="S27">
        <f t="shared" si="0"/>
        <v>556.88349999999957</v>
      </c>
      <c r="T27" s="1">
        <f t="shared" si="2"/>
        <v>243.61437378640773</v>
      </c>
      <c r="U27" s="1">
        <f t="shared" si="3"/>
        <v>475.18512621359173</v>
      </c>
    </row>
    <row r="28" spans="1:21" x14ac:dyDescent="0.3">
      <c r="A28" t="s">
        <v>10</v>
      </c>
      <c r="B28" t="s">
        <v>30</v>
      </c>
      <c r="C28" t="s">
        <v>576</v>
      </c>
      <c r="D28" t="s">
        <v>583</v>
      </c>
      <c r="E28" s="2">
        <v>66.665000000000006</v>
      </c>
      <c r="F28" s="2">
        <v>0</v>
      </c>
      <c r="G28" s="2">
        <v>24.609000000000002</v>
      </c>
      <c r="H28" s="2">
        <v>-17.725999999999999</v>
      </c>
      <c r="I28" s="1">
        <v>0.86914422860571505</v>
      </c>
      <c r="J28" s="1">
        <v>0.76589664741618502</v>
      </c>
      <c r="K28" s="1">
        <v>0.74001258774173595</v>
      </c>
      <c r="L28" s="1">
        <v>0.39502828828016401</v>
      </c>
      <c r="M28" s="2"/>
      <c r="N28" s="2"/>
      <c r="P28" s="1">
        <f>I28-'Passo 1'!I28</f>
        <v>4.4221105527639026E-2</v>
      </c>
      <c r="Q28" s="1">
        <f>J28-'Passo 1'!J28</f>
        <v>5.9926498162453989E-2</v>
      </c>
      <c r="R28" s="1">
        <f t="shared" si="1"/>
        <v>57.941499999999998</v>
      </c>
      <c r="S28">
        <f t="shared" si="0"/>
        <v>51.058499999999981</v>
      </c>
      <c r="T28" s="1">
        <f t="shared" si="2"/>
        <v>49.332939161802834</v>
      </c>
      <c r="U28" s="1">
        <f t="shared" si="3"/>
        <v>26.334560838197135</v>
      </c>
    </row>
    <row r="29" spans="1:21" x14ac:dyDescent="0.3">
      <c r="A29" t="s">
        <v>10</v>
      </c>
      <c r="B29" t="s">
        <v>31</v>
      </c>
      <c r="C29" t="s">
        <v>576</v>
      </c>
      <c r="D29" t="s">
        <v>583</v>
      </c>
      <c r="E29" s="2">
        <v>28.361999999999998</v>
      </c>
      <c r="F29" s="2">
        <v>0</v>
      </c>
      <c r="G29" s="2">
        <v>14.026999999999999</v>
      </c>
      <c r="H29" s="2">
        <v>-14.026999999999999</v>
      </c>
      <c r="I29" s="1">
        <v>0.99457019956279502</v>
      </c>
      <c r="J29" s="1">
        <v>0.99457019956279502</v>
      </c>
      <c r="K29" s="1">
        <v>0.97779080276618302</v>
      </c>
      <c r="L29" s="1">
        <v>0.51134959635940702</v>
      </c>
      <c r="M29" s="2"/>
      <c r="N29" s="2"/>
      <c r="P29" s="1">
        <f>I29-'Passo 1'!I29</f>
        <v>3.2226218179253974E-2</v>
      </c>
      <c r="Q29" s="1">
        <f>J29-'Passo 1'!J29</f>
        <v>7.0270079684084052E-2</v>
      </c>
      <c r="R29" s="1">
        <f t="shared" si="1"/>
        <v>28.207999999999991</v>
      </c>
      <c r="S29">
        <f t="shared" si="0"/>
        <v>28.207999999999991</v>
      </c>
      <c r="T29" s="1">
        <f t="shared" si="2"/>
        <v>27.73210274805448</v>
      </c>
      <c r="U29" s="1">
        <f t="shared" si="3"/>
        <v>14.502897251945502</v>
      </c>
    </row>
    <row r="30" spans="1:21" x14ac:dyDescent="0.3">
      <c r="A30" t="s">
        <v>10</v>
      </c>
      <c r="B30" t="s">
        <v>32</v>
      </c>
      <c r="C30" t="s">
        <v>576</v>
      </c>
      <c r="D30" t="s">
        <v>589</v>
      </c>
      <c r="E30" s="2">
        <v>38.585000000000001</v>
      </c>
      <c r="F30" s="2">
        <v>0</v>
      </c>
      <c r="G30" s="2">
        <v>18.321999999999999</v>
      </c>
      <c r="H30" s="2">
        <v>-19.116499999999998</v>
      </c>
      <c r="I30" s="1">
        <v>0.97484773875858399</v>
      </c>
      <c r="J30" s="1">
        <v>0.99543864195930998</v>
      </c>
      <c r="K30" s="1">
        <v>0.85889852940991396</v>
      </c>
      <c r="L30" s="1">
        <v>0.61138785130798001</v>
      </c>
      <c r="M30" s="2"/>
      <c r="N30" s="2"/>
      <c r="P30" s="1">
        <f>I30-'Passo 1'!I30</f>
        <v>7.2087598807826003E-2</v>
      </c>
      <c r="Q30" s="1">
        <f>J30-'Passo 1'!J30</f>
        <v>8.9335233899182964E-2</v>
      </c>
      <c r="R30" s="1">
        <f t="shared" si="1"/>
        <v>37.614499999999964</v>
      </c>
      <c r="S30">
        <f t="shared" si="0"/>
        <v>38.408999999999978</v>
      </c>
      <c r="T30" s="1">
        <f t="shared" si="2"/>
        <v>33.140599757281528</v>
      </c>
      <c r="U30" s="1">
        <f t="shared" si="3"/>
        <v>23.59040024271841</v>
      </c>
    </row>
    <row r="31" spans="1:21" x14ac:dyDescent="0.3">
      <c r="A31" t="s">
        <v>10</v>
      </c>
      <c r="B31" t="s">
        <v>590</v>
      </c>
      <c r="C31" t="s">
        <v>576</v>
      </c>
      <c r="D31" t="s">
        <v>583</v>
      </c>
      <c r="E31" s="2">
        <v>1274.587</v>
      </c>
      <c r="F31" s="2">
        <v>0</v>
      </c>
      <c r="G31" s="2">
        <v>637.29349999999999</v>
      </c>
      <c r="H31" s="2">
        <v>-637.29349999999999</v>
      </c>
      <c r="I31" s="1">
        <v>1</v>
      </c>
      <c r="J31" s="1">
        <v>1</v>
      </c>
      <c r="K31" s="1">
        <v>0.99995946822308601</v>
      </c>
      <c r="L31" s="1">
        <v>0.50004053177691299</v>
      </c>
      <c r="M31" s="2"/>
      <c r="N31" s="2"/>
      <c r="P31" s="1">
        <f>I31-'Passo 1'!I31</f>
        <v>0</v>
      </c>
      <c r="Q31" s="1">
        <f>J31-'Passo 1'!J31</f>
        <v>0</v>
      </c>
      <c r="R31" s="1">
        <f t="shared" si="1"/>
        <v>1274.587</v>
      </c>
      <c r="S31">
        <f t="shared" si="0"/>
        <v>1274.587</v>
      </c>
      <c r="T31" s="1">
        <f t="shared" si="2"/>
        <v>1274.5353387240584</v>
      </c>
      <c r="U31" s="1">
        <f t="shared" si="3"/>
        <v>637.3451612759402</v>
      </c>
    </row>
    <row r="32" spans="1:21" x14ac:dyDescent="0.3">
      <c r="A32" t="s">
        <v>10</v>
      </c>
      <c r="B32" t="s">
        <v>33</v>
      </c>
      <c r="C32" t="s">
        <v>34</v>
      </c>
      <c r="D32" t="s">
        <v>35</v>
      </c>
      <c r="E32" s="2">
        <v>130.05000000000001</v>
      </c>
      <c r="F32" s="2">
        <v>0</v>
      </c>
      <c r="G32" s="2">
        <v>32.541499999999999</v>
      </c>
      <c r="H32" s="2">
        <v>-32.941499999999998</v>
      </c>
      <c r="I32" s="1">
        <v>0.750222991157247</v>
      </c>
      <c r="J32" s="1">
        <v>0.75329873125720803</v>
      </c>
      <c r="K32" s="1">
        <v>0.66367651040364095</v>
      </c>
      <c r="L32" s="1">
        <v>0.33984521201081402</v>
      </c>
      <c r="M32" s="2"/>
      <c r="N32" s="2"/>
      <c r="P32" s="1">
        <f>I32-'Passo 1'!I32</f>
        <v>9.8404459823145052E-2</v>
      </c>
      <c r="Q32" s="1">
        <f>J32-'Passo 1'!J32</f>
        <v>0.104494425221069</v>
      </c>
      <c r="R32" s="1">
        <f t="shared" si="1"/>
        <v>97.566499999999976</v>
      </c>
      <c r="S32">
        <f t="shared" si="0"/>
        <v>97.966499999999911</v>
      </c>
      <c r="T32" s="1">
        <f t="shared" si="2"/>
        <v>86.311130177993519</v>
      </c>
      <c r="U32" s="1">
        <f t="shared" si="3"/>
        <v>44.19686982200637</v>
      </c>
    </row>
    <row r="33" spans="1:21" x14ac:dyDescent="0.3">
      <c r="A33" t="s">
        <v>10</v>
      </c>
      <c r="B33" t="s">
        <v>36</v>
      </c>
      <c r="C33" t="s">
        <v>34</v>
      </c>
      <c r="D33" t="s">
        <v>35</v>
      </c>
      <c r="E33" s="2">
        <v>588.69500000000005</v>
      </c>
      <c r="F33" s="2">
        <v>0</v>
      </c>
      <c r="G33" s="2">
        <v>145.14699999999999</v>
      </c>
      <c r="H33" s="2">
        <v>-203.1755</v>
      </c>
      <c r="I33" s="1">
        <v>0.74655721553605803</v>
      </c>
      <c r="J33" s="1">
        <v>0.84512863197411203</v>
      </c>
      <c r="K33" s="1">
        <v>0.64181212580588298</v>
      </c>
      <c r="L33" s="1">
        <v>0.44987372170428702</v>
      </c>
      <c r="M33" s="2"/>
      <c r="N33" s="2"/>
      <c r="P33" s="1">
        <f>I33-'Passo 1'!I33</f>
        <v>5.803259752503398E-2</v>
      </c>
      <c r="Q33" s="1">
        <f>J33-'Passo 1'!J33</f>
        <v>8.7236174929293031E-2</v>
      </c>
      <c r="R33" s="1">
        <f t="shared" si="1"/>
        <v>439.49449999999973</v>
      </c>
      <c r="S33">
        <f t="shared" si="0"/>
        <v>497.52299999999991</v>
      </c>
      <c r="T33" s="1">
        <f t="shared" si="2"/>
        <v>377.83158940129431</v>
      </c>
      <c r="U33" s="1">
        <f t="shared" si="3"/>
        <v>264.83841059870525</v>
      </c>
    </row>
    <row r="34" spans="1:21" x14ac:dyDescent="0.3">
      <c r="A34" t="s">
        <v>10</v>
      </c>
      <c r="B34" t="s">
        <v>37</v>
      </c>
      <c r="C34" t="s">
        <v>576</v>
      </c>
      <c r="D34" t="s">
        <v>591</v>
      </c>
      <c r="E34" s="2">
        <v>672.82500000000005</v>
      </c>
      <c r="F34" s="2">
        <v>0</v>
      </c>
      <c r="G34" s="2">
        <v>335.91250000000002</v>
      </c>
      <c r="H34" s="2">
        <v>-335.91250000000002</v>
      </c>
      <c r="I34" s="1">
        <v>0.99925686471221997</v>
      </c>
      <c r="J34" s="1">
        <v>0.99925686471221997</v>
      </c>
      <c r="K34" s="1">
        <v>0.99857799619702303</v>
      </c>
      <c r="L34" s="1">
        <v>0.49993573322741802</v>
      </c>
      <c r="M34" s="2"/>
      <c r="N34" s="2"/>
      <c r="P34" s="1">
        <f>I34-'Passo 1'!I34</f>
        <v>0</v>
      </c>
      <c r="Q34" s="1">
        <f>J34-'Passo 1'!J34</f>
        <v>0</v>
      </c>
      <c r="R34" s="1">
        <f t="shared" si="1"/>
        <v>672.32499999999948</v>
      </c>
      <c r="S34">
        <f t="shared" si="0"/>
        <v>672.32499999999948</v>
      </c>
      <c r="T34" s="1">
        <f t="shared" si="2"/>
        <v>671.86824029126205</v>
      </c>
      <c r="U34" s="1">
        <f t="shared" si="3"/>
        <v>336.36925970873756</v>
      </c>
    </row>
    <row r="35" spans="1:21" x14ac:dyDescent="0.3">
      <c r="A35" t="s">
        <v>10</v>
      </c>
      <c r="B35" t="s">
        <v>38</v>
      </c>
      <c r="C35" t="s">
        <v>34</v>
      </c>
      <c r="D35" t="s">
        <v>35</v>
      </c>
      <c r="E35" s="2">
        <v>367.77100000000002</v>
      </c>
      <c r="F35" s="2">
        <v>0</v>
      </c>
      <c r="G35" s="2">
        <v>91.577500000000001</v>
      </c>
      <c r="H35" s="2">
        <v>-114.55500000000001</v>
      </c>
      <c r="I35" s="1">
        <v>0.749006854809106</v>
      </c>
      <c r="J35" s="1">
        <v>0.81148459231423897</v>
      </c>
      <c r="K35" s="1">
        <v>0.65058713050022199</v>
      </c>
      <c r="L35" s="1">
        <v>0.40990431662312299</v>
      </c>
      <c r="M35" s="2"/>
      <c r="N35" s="2"/>
      <c r="P35" s="1">
        <f>I35-'Passo 1'!I35</f>
        <v>8.0876414942994024E-2</v>
      </c>
      <c r="Q35" s="1">
        <f>J35-'Passo 1'!J35</f>
        <v>7.7497953889784976E-2</v>
      </c>
      <c r="R35" s="1">
        <f t="shared" si="1"/>
        <v>275.46299999999974</v>
      </c>
      <c r="S35">
        <f t="shared" si="0"/>
        <v>298.44049999999999</v>
      </c>
      <c r="T35" s="1">
        <f t="shared" si="2"/>
        <v>239.26707957119714</v>
      </c>
      <c r="U35" s="1">
        <f t="shared" si="3"/>
        <v>150.75092042880257</v>
      </c>
    </row>
    <row r="36" spans="1:21" x14ac:dyDescent="0.3">
      <c r="A36" t="s">
        <v>10</v>
      </c>
      <c r="B36" t="s">
        <v>39</v>
      </c>
      <c r="C36" t="s">
        <v>34</v>
      </c>
      <c r="D36" t="s">
        <v>35</v>
      </c>
      <c r="E36" s="2">
        <v>172.196</v>
      </c>
      <c r="F36" s="2">
        <v>0</v>
      </c>
      <c r="G36" s="2">
        <v>50.339500000000001</v>
      </c>
      <c r="H36" s="2">
        <v>-49</v>
      </c>
      <c r="I36" s="1">
        <v>0.79233838184394501</v>
      </c>
      <c r="J36" s="1">
        <v>0.78455945550419304</v>
      </c>
      <c r="K36" s="1">
        <v>0.71807915145952805</v>
      </c>
      <c r="L36" s="1">
        <v>0.35881868588860999</v>
      </c>
      <c r="M36" s="2"/>
      <c r="N36" s="2"/>
      <c r="P36" s="1">
        <f>I36-'Passo 1'!I36</f>
        <v>0.12613243048619005</v>
      </c>
      <c r="Q36" s="1">
        <f>J36-'Passo 1'!J36</f>
        <v>0.12427408302167309</v>
      </c>
      <c r="R36" s="1">
        <f t="shared" si="1"/>
        <v>136.43749999999994</v>
      </c>
      <c r="S36">
        <f t="shared" si="0"/>
        <v>135.09800000000001</v>
      </c>
      <c r="T36" s="1">
        <f t="shared" si="2"/>
        <v>123.65035756472489</v>
      </c>
      <c r="U36" s="1">
        <f t="shared" si="3"/>
        <v>61.787142435275086</v>
      </c>
    </row>
    <row r="37" spans="1:21" x14ac:dyDescent="0.3">
      <c r="A37" t="s">
        <v>10</v>
      </c>
      <c r="B37" t="s">
        <v>40</v>
      </c>
      <c r="C37" t="s">
        <v>34</v>
      </c>
      <c r="D37" t="s">
        <v>35</v>
      </c>
      <c r="E37" s="2">
        <v>78.796000000000006</v>
      </c>
      <c r="F37" s="2">
        <v>0</v>
      </c>
      <c r="G37" s="2">
        <v>22.3795</v>
      </c>
      <c r="H37" s="2">
        <v>-21.8475</v>
      </c>
      <c r="I37" s="1">
        <v>0.78401822427534396</v>
      </c>
      <c r="J37" s="1">
        <v>0.77726661251840201</v>
      </c>
      <c r="K37" s="1">
        <v>0.69859376332246903</v>
      </c>
      <c r="L37" s="1">
        <v>0.36269107347127599</v>
      </c>
      <c r="M37" s="2"/>
      <c r="N37" s="2"/>
      <c r="P37" s="1">
        <f>I37-'Passo 1'!I37</f>
        <v>4.7096299304533962E-2</v>
      </c>
      <c r="Q37" s="1">
        <f>J37-'Passo 1'!J37</f>
        <v>8.4940859942129965E-2</v>
      </c>
      <c r="R37" s="1">
        <f t="shared" si="1"/>
        <v>61.777500000000011</v>
      </c>
      <c r="S37">
        <f t="shared" si="0"/>
        <v>61.245500000000007</v>
      </c>
      <c r="T37" s="1">
        <f t="shared" si="2"/>
        <v>55.046394174757275</v>
      </c>
      <c r="U37" s="1">
        <f t="shared" si="3"/>
        <v>28.578605825242665</v>
      </c>
    </row>
    <row r="38" spans="1:21" x14ac:dyDescent="0.3">
      <c r="A38" t="s">
        <v>10</v>
      </c>
      <c r="B38" t="s">
        <v>41</v>
      </c>
      <c r="C38" t="s">
        <v>34</v>
      </c>
      <c r="D38" t="s">
        <v>35</v>
      </c>
      <c r="E38" s="2">
        <v>928.20100000000002</v>
      </c>
      <c r="F38" s="2">
        <v>0</v>
      </c>
      <c r="G38" s="2">
        <v>462.149</v>
      </c>
      <c r="H38" s="2">
        <v>-460.60050000000001</v>
      </c>
      <c r="I38" s="1">
        <v>0.99789754589792501</v>
      </c>
      <c r="J38" s="1">
        <v>0.99622926499755904</v>
      </c>
      <c r="K38" s="1">
        <v>0.996242967339518</v>
      </c>
      <c r="L38" s="1">
        <v>0.49788384355596599</v>
      </c>
      <c r="M38" s="2"/>
      <c r="N38" s="2"/>
      <c r="P38" s="1">
        <f>I38-'Passo 1'!I38</f>
        <v>1.0660406528330002E-3</v>
      </c>
      <c r="Q38" s="1">
        <f>J38-'Passo 1'!J38</f>
        <v>0</v>
      </c>
      <c r="R38" s="1">
        <f t="shared" si="1"/>
        <v>926.2494999999999</v>
      </c>
      <c r="S38">
        <f t="shared" si="0"/>
        <v>924.70099999999934</v>
      </c>
      <c r="T38" s="1">
        <f t="shared" si="2"/>
        <v>924.71371852750792</v>
      </c>
      <c r="U38" s="1">
        <f t="shared" si="3"/>
        <v>462.13628147249119</v>
      </c>
    </row>
    <row r="39" spans="1:21" x14ac:dyDescent="0.3">
      <c r="A39" t="s">
        <v>10</v>
      </c>
      <c r="B39" t="s">
        <v>42</v>
      </c>
      <c r="C39" t="s">
        <v>576</v>
      </c>
      <c r="D39" t="s">
        <v>591</v>
      </c>
      <c r="E39" s="2">
        <v>50.05</v>
      </c>
      <c r="F39" s="2">
        <v>0</v>
      </c>
      <c r="G39" s="2">
        <v>25.024999999999999</v>
      </c>
      <c r="H39" s="2">
        <v>-25.024999999999999</v>
      </c>
      <c r="I39" s="1">
        <v>1</v>
      </c>
      <c r="J39" s="1">
        <v>1</v>
      </c>
      <c r="K39" s="1">
        <v>0.99726726428910895</v>
      </c>
      <c r="L39" s="1">
        <v>0.50273273571089006</v>
      </c>
      <c r="M39" s="2"/>
      <c r="N39" s="2"/>
      <c r="P39" s="1">
        <f>I39-'Passo 1'!I39</f>
        <v>0</v>
      </c>
      <c r="Q39" s="1">
        <f>J39-'Passo 1'!J39</f>
        <v>0</v>
      </c>
      <c r="R39" s="1">
        <f t="shared" si="1"/>
        <v>50.05</v>
      </c>
      <c r="S39">
        <f t="shared" si="0"/>
        <v>50.05</v>
      </c>
      <c r="T39" s="1">
        <f t="shared" si="2"/>
        <v>49.913226577669903</v>
      </c>
      <c r="U39" s="1">
        <f t="shared" si="3"/>
        <v>25.161773422330047</v>
      </c>
    </row>
    <row r="40" spans="1:21" x14ac:dyDescent="0.3">
      <c r="A40" t="s">
        <v>10</v>
      </c>
      <c r="B40" t="s">
        <v>43</v>
      </c>
      <c r="C40" t="s">
        <v>34</v>
      </c>
      <c r="D40" t="s">
        <v>35</v>
      </c>
      <c r="E40" s="2">
        <v>897.11800000000005</v>
      </c>
      <c r="F40" s="2">
        <v>0</v>
      </c>
      <c r="G40" s="2">
        <v>219.38499999999999</v>
      </c>
      <c r="H40" s="2">
        <v>-296.23899999999998</v>
      </c>
      <c r="I40" s="1">
        <v>0.74454419596976096</v>
      </c>
      <c r="J40" s="1">
        <v>0.83021185618837201</v>
      </c>
      <c r="K40" s="1">
        <v>0.64461673461925295</v>
      </c>
      <c r="L40" s="1">
        <v>0.43013931753887902</v>
      </c>
      <c r="M40" s="2"/>
      <c r="N40" s="2"/>
      <c r="P40" s="1">
        <f>I40-'Passo 1'!I40</f>
        <v>9.2446032740397976E-2</v>
      </c>
      <c r="Q40" s="1">
        <f>J40-'Passo 1'!J40</f>
        <v>8.3984492563966007E-2</v>
      </c>
      <c r="R40" s="1">
        <f t="shared" si="1"/>
        <v>667.94400000000007</v>
      </c>
      <c r="S40">
        <f t="shared" si="0"/>
        <v>744.798</v>
      </c>
      <c r="T40" s="1">
        <f t="shared" si="2"/>
        <v>578.297275728155</v>
      </c>
      <c r="U40" s="1">
        <f t="shared" si="3"/>
        <v>385.88572427184408</v>
      </c>
    </row>
    <row r="41" spans="1:21" x14ac:dyDescent="0.3">
      <c r="A41" t="s">
        <v>10</v>
      </c>
      <c r="B41" t="s">
        <v>44</v>
      </c>
      <c r="C41" t="s">
        <v>34</v>
      </c>
      <c r="D41" t="s">
        <v>35</v>
      </c>
      <c r="E41" s="2">
        <v>119.09699999999999</v>
      </c>
      <c r="F41" s="2">
        <v>0</v>
      </c>
      <c r="G41" s="2">
        <v>28.5474999999999</v>
      </c>
      <c r="H41" s="2">
        <v>-26.245999999999999</v>
      </c>
      <c r="I41" s="1">
        <v>0.73969957261727803</v>
      </c>
      <c r="J41" s="1">
        <v>0.72037498845478898</v>
      </c>
      <c r="K41" s="1">
        <v>0.73546144350585396</v>
      </c>
      <c r="L41" s="1">
        <v>0.22461311756621199</v>
      </c>
      <c r="M41" s="2"/>
      <c r="N41" s="2"/>
      <c r="P41" s="1">
        <f>I41-'Passo 1'!I41</f>
        <v>0.11278621627748808</v>
      </c>
      <c r="Q41" s="1">
        <f>J41-'Passo 1'!J41</f>
        <v>0.10302526512002896</v>
      </c>
      <c r="R41" s="1">
        <f t="shared" si="1"/>
        <v>88.095999999999961</v>
      </c>
      <c r="S41">
        <f t="shared" si="0"/>
        <v>85.794499999999999</v>
      </c>
      <c r="T41" s="1">
        <f t="shared" si="2"/>
        <v>87.591251537216678</v>
      </c>
      <c r="U41" s="1">
        <f t="shared" si="3"/>
        <v>26.75074846278315</v>
      </c>
    </row>
    <row r="42" spans="1:21" x14ac:dyDescent="0.3">
      <c r="A42" t="s">
        <v>10</v>
      </c>
      <c r="B42" t="s">
        <v>45</v>
      </c>
      <c r="C42" t="s">
        <v>34</v>
      </c>
      <c r="D42" t="s">
        <v>35</v>
      </c>
      <c r="E42" s="2">
        <v>73.054000000000002</v>
      </c>
      <c r="F42" s="2">
        <v>0</v>
      </c>
      <c r="G42" s="2">
        <v>24.559999999999899</v>
      </c>
      <c r="H42" s="2">
        <v>-22.493499999999901</v>
      </c>
      <c r="I42" s="1">
        <v>0.83618966791688298</v>
      </c>
      <c r="J42" s="1">
        <v>0.80790237358666095</v>
      </c>
      <c r="K42" s="1">
        <v>0.73222532149319097</v>
      </c>
      <c r="L42" s="1">
        <v>0.41186672001035302</v>
      </c>
      <c r="M42" s="2"/>
      <c r="N42" s="2"/>
      <c r="P42" s="1">
        <f>I42-'Passo 1'!I42</f>
        <v>0.11778958031045494</v>
      </c>
      <c r="Q42" s="1">
        <f>J42-'Passo 1'!J42</f>
        <v>9.9446984422481899E-2</v>
      </c>
      <c r="R42" s="1">
        <f t="shared" si="1"/>
        <v>61.086999999999968</v>
      </c>
      <c r="S42">
        <f t="shared" si="0"/>
        <v>59.020499999999927</v>
      </c>
      <c r="T42" s="1">
        <f t="shared" si="2"/>
        <v>53.491988636363573</v>
      </c>
      <c r="U42" s="1">
        <f t="shared" si="3"/>
        <v>30.088511363636329</v>
      </c>
    </row>
    <row r="43" spans="1:21" x14ac:dyDescent="0.3">
      <c r="A43" t="s">
        <v>10</v>
      </c>
      <c r="B43" t="s">
        <v>46</v>
      </c>
      <c r="C43" t="s">
        <v>34</v>
      </c>
      <c r="D43" t="s">
        <v>35</v>
      </c>
      <c r="E43" s="2">
        <v>4</v>
      </c>
      <c r="F43" s="2">
        <v>0</v>
      </c>
      <c r="G43" s="2">
        <v>1.75</v>
      </c>
      <c r="H43" s="2">
        <v>-2</v>
      </c>
      <c r="I43" s="1">
        <v>0.9375</v>
      </c>
      <c r="J43" s="1">
        <v>1</v>
      </c>
      <c r="K43" s="1">
        <v>0.78583970469255604</v>
      </c>
      <c r="L43" s="1">
        <v>0.65166029530744296</v>
      </c>
      <c r="M43" s="2"/>
      <c r="N43" s="2"/>
      <c r="P43" s="1">
        <f>I43-'Passo 1'!I43</f>
        <v>7.6500000000000012E-2</v>
      </c>
      <c r="Q43" s="1">
        <f>J43-'Passo 1'!J43</f>
        <v>0.125</v>
      </c>
      <c r="R43" s="1">
        <f t="shared" si="1"/>
        <v>3.75</v>
      </c>
      <c r="S43">
        <f t="shared" si="0"/>
        <v>4</v>
      </c>
      <c r="T43" s="1">
        <f t="shared" si="2"/>
        <v>3.1433588187702242</v>
      </c>
      <c r="U43" s="1">
        <f t="shared" si="3"/>
        <v>2.6066411812297718</v>
      </c>
    </row>
    <row r="44" spans="1:21" x14ac:dyDescent="0.3">
      <c r="A44" t="s">
        <v>10</v>
      </c>
      <c r="B44" t="s">
        <v>47</v>
      </c>
      <c r="C44" t="s">
        <v>574</v>
      </c>
      <c r="D44" t="s">
        <v>575</v>
      </c>
      <c r="E44" s="2">
        <v>83</v>
      </c>
      <c r="F44" s="2">
        <v>3.2000000000000001E-2</v>
      </c>
      <c r="G44" s="2">
        <v>35.168999999999997</v>
      </c>
      <c r="H44" s="2">
        <v>-35.168999999999997</v>
      </c>
      <c r="I44" s="1">
        <v>0.92353012048192695</v>
      </c>
      <c r="J44" s="1">
        <v>0.92353012048192695</v>
      </c>
      <c r="K44" s="1">
        <v>0.57916759708737797</v>
      </c>
      <c r="L44" s="1">
        <v>0.76808541496081395</v>
      </c>
      <c r="M44" s="2"/>
      <c r="N44" s="2"/>
      <c r="P44" s="1">
        <f>I44-'Passo 1'!I44</f>
        <v>0</v>
      </c>
      <c r="Q44" s="1">
        <f>J44-'Passo 1'!J44</f>
        <v>6.0240963855419105E-3</v>
      </c>
      <c r="R44" s="1">
        <f t="shared" si="1"/>
        <v>76.652999999999935</v>
      </c>
      <c r="S44">
        <f t="shared" si="0"/>
        <v>76.652999999999935</v>
      </c>
      <c r="T44" s="1">
        <f t="shared" si="2"/>
        <v>48.070910558252372</v>
      </c>
      <c r="U44" s="1">
        <f t="shared" si="3"/>
        <v>63.75108944174756</v>
      </c>
    </row>
    <row r="45" spans="1:21" x14ac:dyDescent="0.3">
      <c r="A45" t="s">
        <v>10</v>
      </c>
      <c r="B45" t="s">
        <v>48</v>
      </c>
      <c r="C45" t="s">
        <v>576</v>
      </c>
      <c r="D45" t="s">
        <v>591</v>
      </c>
      <c r="E45" s="2">
        <v>31</v>
      </c>
      <c r="F45" s="2">
        <v>0</v>
      </c>
      <c r="G45" s="2">
        <v>14.987</v>
      </c>
      <c r="H45" s="2">
        <v>-15.487</v>
      </c>
      <c r="I45" s="1">
        <v>0.98345161290322503</v>
      </c>
      <c r="J45" s="1">
        <v>0.99958064516128997</v>
      </c>
      <c r="K45" s="1">
        <v>0.82276465836726098</v>
      </c>
      <c r="L45" s="1">
        <v>0.66026759969725402</v>
      </c>
      <c r="M45" s="2"/>
      <c r="N45" s="2"/>
      <c r="P45" s="1">
        <f>I45-'Passo 1'!I45</f>
        <v>4.8774193548387079E-2</v>
      </c>
      <c r="Q45" s="1">
        <f>J45-'Passo 1'!J45</f>
        <v>0</v>
      </c>
      <c r="R45" s="1">
        <f t="shared" si="1"/>
        <v>30.486999999999977</v>
      </c>
      <c r="S45">
        <f t="shared" si="0"/>
        <v>30.986999999999988</v>
      </c>
      <c r="T45" s="1">
        <f t="shared" si="2"/>
        <v>25.505704409385089</v>
      </c>
      <c r="U45" s="1">
        <f t="shared" si="3"/>
        <v>20.468295590614876</v>
      </c>
    </row>
    <row r="46" spans="1:21" x14ac:dyDescent="0.3">
      <c r="A46" t="s">
        <v>10</v>
      </c>
      <c r="B46" t="s">
        <v>49</v>
      </c>
      <c r="C46" t="s">
        <v>576</v>
      </c>
      <c r="D46" t="s">
        <v>592</v>
      </c>
      <c r="E46" s="2">
        <v>12</v>
      </c>
      <c r="F46" s="2">
        <v>0</v>
      </c>
      <c r="G46" s="2">
        <v>5.8079999999999998</v>
      </c>
      <c r="H46" s="2">
        <v>-6</v>
      </c>
      <c r="I46" s="1">
        <v>0.98399999999999999</v>
      </c>
      <c r="J46" s="1">
        <v>1</v>
      </c>
      <c r="K46" s="1">
        <v>0.77954824703344106</v>
      </c>
      <c r="L46" s="1">
        <v>0.70445175296655804</v>
      </c>
      <c r="M46" s="2"/>
      <c r="N46" s="2"/>
      <c r="P46" s="1">
        <f>I46-'Passo 1'!I46</f>
        <v>2.4291666666666933E-2</v>
      </c>
      <c r="Q46" s="1">
        <f>J46-'Passo 1'!J46</f>
        <v>3.6708333333334009E-2</v>
      </c>
      <c r="R46" s="1">
        <f t="shared" si="1"/>
        <v>11.808</v>
      </c>
      <c r="S46">
        <f t="shared" si="0"/>
        <v>12</v>
      </c>
      <c r="T46" s="1">
        <f t="shared" si="2"/>
        <v>9.3545789644012931</v>
      </c>
      <c r="U46" s="1">
        <f t="shared" si="3"/>
        <v>8.4534210355986961</v>
      </c>
    </row>
    <row r="47" spans="1:21" x14ac:dyDescent="0.3">
      <c r="A47" t="s">
        <v>10</v>
      </c>
      <c r="B47" t="s">
        <v>593</v>
      </c>
      <c r="C47" t="s">
        <v>576</v>
      </c>
      <c r="D47" t="s">
        <v>577</v>
      </c>
      <c r="E47" s="2">
        <v>56.484000000000002</v>
      </c>
      <c r="F47" s="2">
        <v>0</v>
      </c>
      <c r="G47" s="2">
        <v>28</v>
      </c>
      <c r="H47" s="2">
        <v>-28</v>
      </c>
      <c r="I47" s="1">
        <v>0.99571560087812405</v>
      </c>
      <c r="J47" s="1">
        <v>0.99571560087812405</v>
      </c>
      <c r="K47" s="1">
        <v>0.85456448316320099</v>
      </c>
      <c r="L47" s="1">
        <v>0.636866718593047</v>
      </c>
      <c r="M47" s="2"/>
      <c r="N47" s="2"/>
      <c r="P47" s="1">
        <f>I47-'Passo 1'!I47</f>
        <v>5.5334253948020051E-2</v>
      </c>
      <c r="Q47" s="1">
        <f>J47-'Passo 1'!J47</f>
        <v>3.8108136817506022E-2</v>
      </c>
      <c r="R47" s="1">
        <f t="shared" si="1"/>
        <v>56.241999999999962</v>
      </c>
      <c r="S47">
        <f t="shared" si="0"/>
        <v>56.241999999999962</v>
      </c>
      <c r="T47" s="1">
        <f t="shared" si="2"/>
        <v>48.269220266990246</v>
      </c>
      <c r="U47" s="1">
        <f t="shared" si="3"/>
        <v>35.972779733009666</v>
      </c>
    </row>
    <row r="48" spans="1:21" x14ac:dyDescent="0.3">
      <c r="A48" t="s">
        <v>10</v>
      </c>
      <c r="B48" t="s">
        <v>594</v>
      </c>
      <c r="C48" t="s">
        <v>576</v>
      </c>
      <c r="D48" t="s">
        <v>577</v>
      </c>
      <c r="E48" s="2">
        <v>376.13299999999998</v>
      </c>
      <c r="F48" s="2">
        <v>0</v>
      </c>
      <c r="G48" s="2">
        <v>132.232</v>
      </c>
      <c r="H48" s="2">
        <v>-187.66200000000001</v>
      </c>
      <c r="I48" s="1">
        <v>0.85155649730281502</v>
      </c>
      <c r="J48" s="1">
        <v>0.99892458252798799</v>
      </c>
      <c r="K48" s="1">
        <v>0.66807417000908098</v>
      </c>
      <c r="L48" s="1">
        <v>0.68240690982172203</v>
      </c>
      <c r="M48" s="2"/>
      <c r="N48" s="2"/>
      <c r="P48" s="1">
        <f>I48-'Passo 1'!I48</f>
        <v>0.14113092975091202</v>
      </c>
      <c r="Q48" s="1">
        <f>J48-'Passo 1'!J48</f>
        <v>3.6936402814961022E-2</v>
      </c>
      <c r="R48" s="1">
        <f t="shared" si="1"/>
        <v>320.29849999999971</v>
      </c>
      <c r="S48">
        <f t="shared" si="0"/>
        <v>375.72849999999971</v>
      </c>
      <c r="T48" s="1">
        <f t="shared" si="2"/>
        <v>251.28474178802566</v>
      </c>
      <c r="U48" s="1">
        <f t="shared" si="3"/>
        <v>256.67575821197374</v>
      </c>
    </row>
    <row r="49" spans="1:21" x14ac:dyDescent="0.3">
      <c r="A49" t="s">
        <v>10</v>
      </c>
      <c r="B49" t="s">
        <v>50</v>
      </c>
      <c r="C49" t="s">
        <v>576</v>
      </c>
      <c r="D49" t="s">
        <v>14</v>
      </c>
      <c r="E49" s="2">
        <v>10.68</v>
      </c>
      <c r="F49" s="2">
        <v>0</v>
      </c>
      <c r="G49" s="2">
        <v>5.2104999999999997</v>
      </c>
      <c r="H49" s="2">
        <v>-5.202</v>
      </c>
      <c r="I49" s="1">
        <v>0.98787453183520602</v>
      </c>
      <c r="J49" s="1">
        <v>0.98707865168539299</v>
      </c>
      <c r="K49" s="1">
        <v>0.64283274168818105</v>
      </c>
      <c r="L49" s="1">
        <v>0.83212044183241796</v>
      </c>
      <c r="M49" s="2"/>
      <c r="N49" s="2"/>
      <c r="P49" s="1">
        <f>I49-'Passo 1'!I49</f>
        <v>7.8932584269662986E-2</v>
      </c>
      <c r="Q49" s="1">
        <f>J49-'Passo 1'!J49</f>
        <v>2.9119850187266039E-2</v>
      </c>
      <c r="R49" s="1">
        <f t="shared" si="1"/>
        <v>10.5505</v>
      </c>
      <c r="S49">
        <f t="shared" si="0"/>
        <v>10.541999999999996</v>
      </c>
      <c r="T49" s="1">
        <f t="shared" si="2"/>
        <v>6.8654536812297735</v>
      </c>
      <c r="U49" s="1">
        <f t="shared" si="3"/>
        <v>8.8870463187702242</v>
      </c>
    </row>
    <row r="50" spans="1:21" x14ac:dyDescent="0.3">
      <c r="A50" t="s">
        <v>10</v>
      </c>
      <c r="B50" t="s">
        <v>51</v>
      </c>
      <c r="C50" t="s">
        <v>574</v>
      </c>
      <c r="D50" t="s">
        <v>575</v>
      </c>
      <c r="E50" s="2">
        <v>231.36799999999999</v>
      </c>
      <c r="F50" s="2">
        <v>0</v>
      </c>
      <c r="G50" s="2">
        <v>84.254999999999995</v>
      </c>
      <c r="H50" s="2">
        <v>-115.3265</v>
      </c>
      <c r="I50" s="1">
        <v>0.86416012586010105</v>
      </c>
      <c r="J50" s="1">
        <v>0.99845484250198802</v>
      </c>
      <c r="K50" s="1">
        <v>0.53341652502985104</v>
      </c>
      <c r="L50" s="1">
        <v>0.82919844333223702</v>
      </c>
      <c r="M50" s="2"/>
      <c r="N50" s="2"/>
      <c r="P50" s="1">
        <f>I50-'Passo 1'!I50</f>
        <v>0.14412537602434206</v>
      </c>
      <c r="Q50" s="1">
        <f>J50-'Passo 1'!J50</f>
        <v>1.0429272846721016E-2</v>
      </c>
      <c r="R50" s="1">
        <f t="shared" si="1"/>
        <v>199.93899999999985</v>
      </c>
      <c r="S50">
        <f t="shared" si="0"/>
        <v>231.01049999999995</v>
      </c>
      <c r="T50" s="1">
        <f t="shared" si="2"/>
        <v>123.41551456310657</v>
      </c>
      <c r="U50" s="1">
        <f t="shared" si="3"/>
        <v>191.84998543689301</v>
      </c>
    </row>
    <row r="51" spans="1:21" x14ac:dyDescent="0.3">
      <c r="A51" t="s">
        <v>10</v>
      </c>
      <c r="B51" t="s">
        <v>52</v>
      </c>
      <c r="C51" t="s">
        <v>576</v>
      </c>
      <c r="D51" t="s">
        <v>577</v>
      </c>
      <c r="E51" s="2">
        <v>72.474999999999994</v>
      </c>
      <c r="F51" s="2">
        <v>0</v>
      </c>
      <c r="G51" s="2">
        <v>31.983000000000001</v>
      </c>
      <c r="H51" s="2">
        <v>-32.216000000000001</v>
      </c>
      <c r="I51" s="1">
        <v>0.94129699896515995</v>
      </c>
      <c r="J51" s="1">
        <v>0.94451190065539803</v>
      </c>
      <c r="K51" s="1">
        <v>0.51144787400185898</v>
      </c>
      <c r="L51" s="1">
        <v>0.87436102561869899</v>
      </c>
      <c r="M51" s="2"/>
      <c r="N51" s="2"/>
      <c r="P51" s="1">
        <f>I51-'Passo 1'!I51</f>
        <v>4.8492583649533905E-2</v>
      </c>
      <c r="Q51" s="1">
        <f>J51-'Passo 1'!J51</f>
        <v>3.2438771990342063E-2</v>
      </c>
      <c r="R51" s="1">
        <f t="shared" si="1"/>
        <v>68.220499999999959</v>
      </c>
      <c r="S51">
        <f t="shared" si="0"/>
        <v>68.453499999999963</v>
      </c>
      <c r="T51" s="1">
        <f t="shared" si="2"/>
        <v>37.067184668284725</v>
      </c>
      <c r="U51" s="1">
        <f t="shared" si="3"/>
        <v>63.369315331715207</v>
      </c>
    </row>
    <row r="52" spans="1:21" x14ac:dyDescent="0.3">
      <c r="A52" t="s">
        <v>10</v>
      </c>
      <c r="B52" t="s">
        <v>53</v>
      </c>
      <c r="C52" t="s">
        <v>576</v>
      </c>
      <c r="D52" t="s">
        <v>595</v>
      </c>
      <c r="E52" s="2">
        <v>364.49</v>
      </c>
      <c r="F52" s="2">
        <v>0</v>
      </c>
      <c r="G52" s="2">
        <v>145.15449999999899</v>
      </c>
      <c r="H52" s="2">
        <v>-179.053</v>
      </c>
      <c r="I52" s="1">
        <v>0.89824000658454195</v>
      </c>
      <c r="J52" s="1">
        <v>0.99124255809487205</v>
      </c>
      <c r="K52" s="1">
        <v>0.86402403453564203</v>
      </c>
      <c r="L52" s="1">
        <v>0.52545853014377197</v>
      </c>
      <c r="M52" s="2"/>
      <c r="N52" s="2"/>
      <c r="P52" s="1">
        <f>I52-'Passo 1'!I52</f>
        <v>0.152436280830749</v>
      </c>
      <c r="Q52" s="1">
        <f>J52-'Passo 1'!J52</f>
        <v>1.8807100331971083E-2</v>
      </c>
      <c r="R52" s="1">
        <f t="shared" si="1"/>
        <v>327.3994999999997</v>
      </c>
      <c r="S52">
        <f t="shared" si="0"/>
        <v>361.29799999999994</v>
      </c>
      <c r="T52" s="1">
        <f t="shared" si="2"/>
        <v>314.9281203478962</v>
      </c>
      <c r="U52" s="1">
        <f t="shared" si="3"/>
        <v>191.52437965210345</v>
      </c>
    </row>
    <row r="53" spans="1:21" x14ac:dyDescent="0.3">
      <c r="A53" t="s">
        <v>10</v>
      </c>
      <c r="B53" t="s">
        <v>54</v>
      </c>
      <c r="C53" t="s">
        <v>576</v>
      </c>
      <c r="D53" t="s">
        <v>14</v>
      </c>
      <c r="E53" s="2">
        <v>10.762</v>
      </c>
      <c r="F53" s="2">
        <v>0</v>
      </c>
      <c r="G53" s="2">
        <v>5.2015000000000002</v>
      </c>
      <c r="H53" s="2">
        <v>-5.2445000000000004</v>
      </c>
      <c r="I53" s="1">
        <v>0.98332094406244097</v>
      </c>
      <c r="J53" s="1">
        <v>0.987316483924921</v>
      </c>
      <c r="K53" s="1">
        <v>0.63436139097231103</v>
      </c>
      <c r="L53" s="1">
        <v>0.83627603701505104</v>
      </c>
      <c r="M53" s="2"/>
      <c r="N53" s="2"/>
      <c r="P53" s="1">
        <f>I53-'Passo 1'!I53</f>
        <v>6.676268351607495E-2</v>
      </c>
      <c r="Q53" s="1">
        <f>J53-'Passo 1'!J53</f>
        <v>6.6019327262590966E-2</v>
      </c>
      <c r="R53" s="1">
        <f t="shared" si="1"/>
        <v>10.582499999999991</v>
      </c>
      <c r="S53">
        <f t="shared" si="0"/>
        <v>10.625500000000001</v>
      </c>
      <c r="T53" s="1">
        <f t="shared" si="2"/>
        <v>6.8269972896440114</v>
      </c>
      <c r="U53" s="1">
        <f t="shared" si="3"/>
        <v>9.0000027103559805</v>
      </c>
    </row>
    <row r="54" spans="1:21" x14ac:dyDescent="0.3">
      <c r="A54" t="s">
        <v>10</v>
      </c>
      <c r="B54" t="s">
        <v>55</v>
      </c>
      <c r="C54" t="s">
        <v>576</v>
      </c>
      <c r="D54" t="s">
        <v>583</v>
      </c>
      <c r="E54" s="2">
        <v>0</v>
      </c>
      <c r="F54" s="2">
        <v>0</v>
      </c>
      <c r="G54" s="2">
        <v>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M54" s="2"/>
      <c r="N54" s="2"/>
      <c r="P54" s="1">
        <f>I54-'Passo 1'!I54</f>
        <v>0</v>
      </c>
      <c r="Q54" s="1">
        <f>J54-'Passo 1'!J54</f>
        <v>0</v>
      </c>
      <c r="R54" s="1">
        <f t="shared" si="1"/>
        <v>0</v>
      </c>
      <c r="S54">
        <f t="shared" si="0"/>
        <v>0</v>
      </c>
      <c r="T54" s="1">
        <f t="shared" si="2"/>
        <v>0</v>
      </c>
      <c r="U54" s="1">
        <f t="shared" si="3"/>
        <v>0</v>
      </c>
    </row>
    <row r="55" spans="1:21" x14ac:dyDescent="0.3">
      <c r="A55" t="s">
        <v>10</v>
      </c>
      <c r="B55" t="s">
        <v>596</v>
      </c>
      <c r="C55" t="s">
        <v>574</v>
      </c>
      <c r="D55" t="s">
        <v>575</v>
      </c>
      <c r="E55" s="2">
        <v>382.54399999999998</v>
      </c>
      <c r="F55" s="2">
        <v>0</v>
      </c>
      <c r="G55" s="2">
        <v>183.5335</v>
      </c>
      <c r="H55" s="2">
        <v>-185.46849999999901</v>
      </c>
      <c r="I55" s="1">
        <v>0.979770954452298</v>
      </c>
      <c r="J55" s="1">
        <v>0.98482919611861597</v>
      </c>
      <c r="K55" s="1">
        <v>0.72964333286161398</v>
      </c>
      <c r="L55" s="1">
        <v>0.73495681770929899</v>
      </c>
      <c r="M55" s="2"/>
      <c r="N55" s="2"/>
      <c r="P55" s="1">
        <f>I55-'Passo 1'!I55</f>
        <v>1.9605587853965822E-5</v>
      </c>
      <c r="Q55" s="1">
        <f>J55-'Passo 1'!J55</f>
        <v>1.5710611066961921E-2</v>
      </c>
      <c r="R55" s="1">
        <f t="shared" si="1"/>
        <v>374.80549999999988</v>
      </c>
      <c r="S55">
        <f t="shared" si="0"/>
        <v>376.74049999999983</v>
      </c>
      <c r="T55" s="1">
        <f t="shared" si="2"/>
        <v>279.12067912621325</v>
      </c>
      <c r="U55" s="1">
        <f t="shared" si="3"/>
        <v>281.15332087378607</v>
      </c>
    </row>
    <row r="56" spans="1:21" x14ac:dyDescent="0.3">
      <c r="A56" t="s">
        <v>10</v>
      </c>
      <c r="B56" t="s">
        <v>597</v>
      </c>
      <c r="C56" t="s">
        <v>576</v>
      </c>
      <c r="D56" t="s">
        <v>598</v>
      </c>
      <c r="E56" s="2">
        <v>238.41300000000001</v>
      </c>
      <c r="F56" s="2">
        <v>0</v>
      </c>
      <c r="G56" s="2">
        <v>60.3584999999999</v>
      </c>
      <c r="H56" s="2">
        <v>-109.19199999999999</v>
      </c>
      <c r="I56" s="1">
        <v>0.75316782222445899</v>
      </c>
      <c r="J56" s="1">
        <v>0.95799515965991699</v>
      </c>
      <c r="K56" s="1">
        <v>0.35569451192477303</v>
      </c>
      <c r="L56" s="1">
        <v>0.85546846995960302</v>
      </c>
      <c r="M56" s="2"/>
      <c r="N56" s="2"/>
      <c r="P56" s="1">
        <f>I56-'Passo 1'!I56</f>
        <v>3.8632541010766963E-2</v>
      </c>
      <c r="Q56" s="1">
        <f>J56-'Passo 1'!J56</f>
        <v>3.2357715393036002E-2</v>
      </c>
      <c r="R56" s="1">
        <f t="shared" si="1"/>
        <v>179.56499999999994</v>
      </c>
      <c r="S56">
        <f t="shared" si="0"/>
        <v>228.39849999999981</v>
      </c>
      <c r="T56" s="1">
        <f t="shared" si="2"/>
        <v>84.80219567152092</v>
      </c>
      <c r="U56" s="1">
        <f t="shared" si="3"/>
        <v>203.95480432847884</v>
      </c>
    </row>
    <row r="57" spans="1:21" x14ac:dyDescent="0.3">
      <c r="A57" t="s">
        <v>10</v>
      </c>
      <c r="B57" t="s">
        <v>56</v>
      </c>
      <c r="C57" t="s">
        <v>576</v>
      </c>
      <c r="D57" t="s">
        <v>577</v>
      </c>
      <c r="E57" s="2">
        <v>79.427000000000007</v>
      </c>
      <c r="F57" s="2">
        <v>0</v>
      </c>
      <c r="G57" s="2">
        <v>31.05</v>
      </c>
      <c r="H57" s="2">
        <v>-31.64</v>
      </c>
      <c r="I57" s="1">
        <v>0.89092500031475397</v>
      </c>
      <c r="J57" s="1">
        <v>0.89835320482959102</v>
      </c>
      <c r="K57" s="1">
        <v>0.50798737288759499</v>
      </c>
      <c r="L57" s="1">
        <v>0.78129083225675</v>
      </c>
      <c r="M57" s="2"/>
      <c r="N57" s="2"/>
      <c r="P57" s="1">
        <f>I57-'Passo 1'!I57</f>
        <v>0.13574099487579794</v>
      </c>
      <c r="Q57" s="1">
        <f>J57-'Passo 1'!J57</f>
        <v>2.3870975864630051E-2</v>
      </c>
      <c r="R57" s="1">
        <f t="shared" si="1"/>
        <v>70.763499999999965</v>
      </c>
      <c r="S57">
        <f t="shared" si="0"/>
        <v>71.353499999999926</v>
      </c>
      <c r="T57" s="1">
        <f t="shared" si="2"/>
        <v>40.347913066343011</v>
      </c>
      <c r="U57" s="1">
        <f t="shared" si="3"/>
        <v>62.05558693365689</v>
      </c>
    </row>
    <row r="58" spans="1:21" x14ac:dyDescent="0.3">
      <c r="A58" t="s">
        <v>10</v>
      </c>
      <c r="B58" t="s">
        <v>599</v>
      </c>
      <c r="C58" t="s">
        <v>574</v>
      </c>
      <c r="D58" t="s">
        <v>575</v>
      </c>
      <c r="E58" s="2">
        <v>7216.1080000000002</v>
      </c>
      <c r="F58" s="2">
        <v>1303.7729999999999</v>
      </c>
      <c r="G58" s="2">
        <v>1663.3484999999901</v>
      </c>
      <c r="H58" s="2">
        <v>-2036.999</v>
      </c>
      <c r="I58" s="1">
        <v>0.64016724805116498</v>
      </c>
      <c r="J58" s="1">
        <v>0.69194730732965704</v>
      </c>
      <c r="K58" s="1">
        <v>0.493547456528319</v>
      </c>
      <c r="L58" s="1">
        <v>0.42890478504012702</v>
      </c>
      <c r="M58" s="2"/>
      <c r="N58" s="2"/>
      <c r="P58" s="1">
        <f>I58-'Passo 1'!I58</f>
        <v>7.747819184524396E-2</v>
      </c>
      <c r="Q58" s="1">
        <f>J58-'Passo 1'!J58</f>
        <v>6.1959438522816046E-2</v>
      </c>
      <c r="R58" s="1">
        <f t="shared" si="1"/>
        <v>4619.515999999996</v>
      </c>
      <c r="S58">
        <f t="shared" si="0"/>
        <v>4993.1664999999966</v>
      </c>
      <c r="T58" s="1">
        <f t="shared" si="2"/>
        <v>3561.4917494336551</v>
      </c>
      <c r="U58" s="1">
        <f t="shared" si="3"/>
        <v>3095.0232505663412</v>
      </c>
    </row>
    <row r="59" spans="1:21" x14ac:dyDescent="0.3">
      <c r="A59" t="s">
        <v>57</v>
      </c>
      <c r="B59" t="s">
        <v>58</v>
      </c>
      <c r="C59" t="s">
        <v>580</v>
      </c>
      <c r="D59" t="s">
        <v>581</v>
      </c>
      <c r="E59" s="2">
        <v>47.854999999999997</v>
      </c>
      <c r="F59" s="2">
        <v>0</v>
      </c>
      <c r="G59" s="2">
        <v>18.684999999999999</v>
      </c>
      <c r="H59" s="2">
        <v>-16.707999999999998</v>
      </c>
      <c r="I59" s="1">
        <v>0.89045031867098501</v>
      </c>
      <c r="J59" s="1">
        <v>0.84913802110542203</v>
      </c>
      <c r="K59" s="1">
        <v>0.79513350064024901</v>
      </c>
      <c r="L59" s="1">
        <v>0.44445483913615802</v>
      </c>
      <c r="M59" s="2"/>
      <c r="N59" s="2"/>
      <c r="P59" s="1">
        <f>I59-'Passo 1'!I59</f>
        <v>8.6479991641416953E-2</v>
      </c>
      <c r="Q59" s="1">
        <f>J59-'Passo 1'!J59</f>
        <v>6.4277504962909071E-2</v>
      </c>
      <c r="R59" s="1">
        <f t="shared" si="1"/>
        <v>42.612499999999983</v>
      </c>
      <c r="S59">
        <f t="shared" si="0"/>
        <v>40.635499999999965</v>
      </c>
      <c r="T59" s="1">
        <f t="shared" si="2"/>
        <v>38.051113673139113</v>
      </c>
      <c r="U59" s="1">
        <f t="shared" si="3"/>
        <v>21.26938632686084</v>
      </c>
    </row>
    <row r="60" spans="1:21" x14ac:dyDescent="0.3">
      <c r="A60" t="s">
        <v>57</v>
      </c>
      <c r="B60" t="s">
        <v>59</v>
      </c>
      <c r="C60" t="s">
        <v>580</v>
      </c>
      <c r="D60" t="s">
        <v>581</v>
      </c>
      <c r="E60" s="2">
        <v>82.29</v>
      </c>
      <c r="F60" s="2">
        <v>0</v>
      </c>
      <c r="G60" s="2">
        <v>35.447000000000003</v>
      </c>
      <c r="H60" s="2">
        <v>-30.576000000000001</v>
      </c>
      <c r="I60" s="1">
        <v>0.93075707862437695</v>
      </c>
      <c r="J60" s="1">
        <v>0.87156398104265398</v>
      </c>
      <c r="K60" s="1">
        <v>0.84348197933270097</v>
      </c>
      <c r="L60" s="1">
        <v>0.45883908033432902</v>
      </c>
      <c r="M60" s="2"/>
      <c r="N60" s="2"/>
      <c r="P60" s="1">
        <f>I60-'Passo 1'!I60</f>
        <v>0.12271235873131592</v>
      </c>
      <c r="Q60" s="1">
        <f>J60-'Passo 1'!J60</f>
        <v>5.6015311702515946E-2</v>
      </c>
      <c r="R60" s="1">
        <f t="shared" si="1"/>
        <v>76.591999999999985</v>
      </c>
      <c r="S60">
        <f t="shared" si="0"/>
        <v>71.721000000000004</v>
      </c>
      <c r="T60" s="1">
        <f t="shared" si="2"/>
        <v>69.410132079287962</v>
      </c>
      <c r="U60" s="1">
        <f t="shared" si="3"/>
        <v>37.757867920711938</v>
      </c>
    </row>
    <row r="61" spans="1:21" x14ac:dyDescent="0.3">
      <c r="A61" t="s">
        <v>57</v>
      </c>
      <c r="B61" t="s">
        <v>60</v>
      </c>
      <c r="C61" t="s">
        <v>576</v>
      </c>
      <c r="D61" t="s">
        <v>589</v>
      </c>
      <c r="E61" s="2">
        <v>0</v>
      </c>
      <c r="F61" s="2">
        <v>0</v>
      </c>
      <c r="G61" s="2">
        <v>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M61" s="2"/>
      <c r="N61" s="2"/>
      <c r="P61" s="1">
        <f>I61-'Passo 1'!I61</f>
        <v>0</v>
      </c>
      <c r="Q61" s="1">
        <f>J61-'Passo 1'!J61</f>
        <v>0</v>
      </c>
      <c r="R61" s="1">
        <f t="shared" si="1"/>
        <v>0</v>
      </c>
      <c r="S61">
        <f t="shared" si="0"/>
        <v>0</v>
      </c>
      <c r="T61" s="1">
        <f t="shared" si="2"/>
        <v>0</v>
      </c>
      <c r="U61" s="1">
        <f t="shared" si="3"/>
        <v>0</v>
      </c>
    </row>
    <row r="62" spans="1:21" x14ac:dyDescent="0.3">
      <c r="A62" t="s">
        <v>57</v>
      </c>
      <c r="B62" t="s">
        <v>61</v>
      </c>
      <c r="C62" t="s">
        <v>576</v>
      </c>
      <c r="D62" t="s">
        <v>583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M62" s="2"/>
      <c r="N62" s="2"/>
      <c r="P62" s="1">
        <f>I62-'Passo 1'!I62</f>
        <v>0</v>
      </c>
      <c r="Q62" s="1">
        <f>J62-'Passo 1'!J62</f>
        <v>0</v>
      </c>
      <c r="R62" s="1">
        <f t="shared" si="1"/>
        <v>0</v>
      </c>
      <c r="S62">
        <f t="shared" si="0"/>
        <v>0</v>
      </c>
      <c r="T62" s="1">
        <f t="shared" si="2"/>
        <v>0</v>
      </c>
      <c r="U62" s="1">
        <f t="shared" si="3"/>
        <v>0</v>
      </c>
    </row>
    <row r="63" spans="1:21" x14ac:dyDescent="0.3">
      <c r="A63" t="s">
        <v>57</v>
      </c>
      <c r="B63" t="s">
        <v>600</v>
      </c>
      <c r="C63" t="s">
        <v>574</v>
      </c>
      <c r="D63" t="s">
        <v>575</v>
      </c>
      <c r="E63" s="2">
        <v>255.21799999999999</v>
      </c>
      <c r="F63" s="2">
        <v>0</v>
      </c>
      <c r="G63" s="2">
        <v>123.7145</v>
      </c>
      <c r="H63" s="2">
        <v>-105.2555</v>
      </c>
      <c r="I63" s="1">
        <v>0.98474049635997396</v>
      </c>
      <c r="J63" s="1">
        <v>0.91241409304986298</v>
      </c>
      <c r="K63" s="1">
        <v>0.93334739485738405</v>
      </c>
      <c r="L63" s="1">
        <v>0.46380719455245301</v>
      </c>
      <c r="M63" s="2"/>
      <c r="N63" s="2"/>
      <c r="P63" s="1">
        <f>I63-'Passo 1'!I63</f>
        <v>0.100680594628905</v>
      </c>
      <c r="Q63" s="1">
        <f>J63-'Passo 1'!J63</f>
        <v>7.4403059345343969E-2</v>
      </c>
      <c r="R63" s="1">
        <f t="shared" si="1"/>
        <v>251.32349999999983</v>
      </c>
      <c r="S63">
        <f t="shared" si="0"/>
        <v>232.86449999999991</v>
      </c>
      <c r="T63" s="1">
        <f t="shared" si="2"/>
        <v>238.20705542071184</v>
      </c>
      <c r="U63" s="1">
        <f t="shared" si="3"/>
        <v>118.37194457928794</v>
      </c>
    </row>
    <row r="64" spans="1:21" x14ac:dyDescent="0.3">
      <c r="A64" t="s">
        <v>57</v>
      </c>
      <c r="B64" t="s">
        <v>601</v>
      </c>
      <c r="C64" t="s">
        <v>34</v>
      </c>
      <c r="D64" t="s">
        <v>35</v>
      </c>
      <c r="E64" s="2">
        <v>33.237000000000002</v>
      </c>
      <c r="F64" s="2">
        <v>0</v>
      </c>
      <c r="G64" s="2">
        <v>14.6785</v>
      </c>
      <c r="H64" s="2">
        <v>-15.221</v>
      </c>
      <c r="I64" s="1">
        <v>0.94163131449890103</v>
      </c>
      <c r="J64" s="1">
        <v>0.95795348557330595</v>
      </c>
      <c r="K64" s="1">
        <v>0.823174483967403</v>
      </c>
      <c r="L64" s="1">
        <v>0.57641031610480498</v>
      </c>
      <c r="M64" s="2"/>
      <c r="N64" s="2"/>
      <c r="P64" s="1">
        <f>I64-'Passo 1'!I64</f>
        <v>7.3547552426512008E-2</v>
      </c>
      <c r="Q64" s="1">
        <f>J64-'Passo 1'!J64</f>
        <v>8.0693203357702914E-2</v>
      </c>
      <c r="R64" s="1">
        <f t="shared" si="1"/>
        <v>31.296999999999976</v>
      </c>
      <c r="S64">
        <f t="shared" si="0"/>
        <v>31.839499999999973</v>
      </c>
      <c r="T64" s="1">
        <f t="shared" si="2"/>
        <v>27.359850323624574</v>
      </c>
      <c r="U64" s="1">
        <f t="shared" si="3"/>
        <v>19.158149676375405</v>
      </c>
    </row>
    <row r="65" spans="1:21" x14ac:dyDescent="0.3">
      <c r="A65" t="s">
        <v>57</v>
      </c>
      <c r="B65" t="s">
        <v>602</v>
      </c>
      <c r="C65" t="s">
        <v>580</v>
      </c>
      <c r="D65" t="s">
        <v>581</v>
      </c>
      <c r="E65" s="2">
        <v>45.759</v>
      </c>
      <c r="F65" s="2">
        <v>0</v>
      </c>
      <c r="G65" s="2">
        <v>17.554500000000001</v>
      </c>
      <c r="H65" s="2">
        <v>-15.202</v>
      </c>
      <c r="I65" s="1">
        <v>0.88362944994427295</v>
      </c>
      <c r="J65" s="1">
        <v>0.83221879848772895</v>
      </c>
      <c r="K65" s="1">
        <v>0.70851975564807901</v>
      </c>
      <c r="L65" s="1">
        <v>0.507328492783923</v>
      </c>
      <c r="M65" s="2"/>
      <c r="N65" s="2"/>
      <c r="P65" s="1">
        <f>I65-'Passo 1'!I65</f>
        <v>7.7536659454970902E-2</v>
      </c>
      <c r="Q65" s="1">
        <f>J65-'Passo 1'!J65</f>
        <v>0</v>
      </c>
      <c r="R65" s="1">
        <f t="shared" si="1"/>
        <v>40.433999999999983</v>
      </c>
      <c r="S65">
        <f t="shared" si="0"/>
        <v>38.081499999999991</v>
      </c>
      <c r="T65" s="1">
        <f t="shared" si="2"/>
        <v>32.42115549870045</v>
      </c>
      <c r="U65" s="1">
        <f t="shared" si="3"/>
        <v>23.214844501299535</v>
      </c>
    </row>
    <row r="66" spans="1:21" x14ac:dyDescent="0.3">
      <c r="A66" t="s">
        <v>57</v>
      </c>
      <c r="B66" t="s">
        <v>603</v>
      </c>
      <c r="C66" t="s">
        <v>576</v>
      </c>
      <c r="D66" t="s">
        <v>589</v>
      </c>
      <c r="E66" s="2">
        <v>0</v>
      </c>
      <c r="F66" s="2">
        <v>0</v>
      </c>
      <c r="G66" s="2">
        <v>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M66" s="2"/>
      <c r="N66" s="2"/>
      <c r="P66" s="1">
        <f>I66-'Passo 1'!I66</f>
        <v>0</v>
      </c>
      <c r="Q66" s="1">
        <f>J66-'Passo 1'!J66</f>
        <v>0</v>
      </c>
      <c r="R66" s="1">
        <f t="shared" si="1"/>
        <v>0</v>
      </c>
      <c r="S66">
        <f t="shared" ref="S66:S129" si="4">J66*E66</f>
        <v>0</v>
      </c>
      <c r="T66" s="1">
        <f t="shared" si="2"/>
        <v>0</v>
      </c>
      <c r="U66" s="1">
        <f t="shared" si="3"/>
        <v>0</v>
      </c>
    </row>
    <row r="67" spans="1:21" x14ac:dyDescent="0.3">
      <c r="A67" t="s">
        <v>57</v>
      </c>
      <c r="B67" t="s">
        <v>604</v>
      </c>
      <c r="C67" t="s">
        <v>574</v>
      </c>
      <c r="D67" t="s">
        <v>575</v>
      </c>
      <c r="E67" s="2">
        <v>236.678</v>
      </c>
      <c r="F67" s="2">
        <v>94.495999999999995</v>
      </c>
      <c r="G67" s="2">
        <v>69.004499999999993</v>
      </c>
      <c r="H67" s="2">
        <v>-66.046000000000006</v>
      </c>
      <c r="I67" s="1">
        <v>0.59192447122250402</v>
      </c>
      <c r="J67" s="1">
        <v>0.57942436559375998</v>
      </c>
      <c r="K67" s="1">
        <v>0.51862803606068197</v>
      </c>
      <c r="L67" s="1">
        <v>0.352350677634718</v>
      </c>
      <c r="M67" s="2"/>
      <c r="N67" s="2"/>
      <c r="P67" s="1">
        <f>I67-'Passo 1'!I67</f>
        <v>5.2797471670370077E-2</v>
      </c>
      <c r="Q67" s="1">
        <f>J67-'Passo 1'!J67</f>
        <v>4.5821749381016019E-2</v>
      </c>
      <c r="R67" s="1">
        <f t="shared" ref="R67:R130" si="5">I67*E67</f>
        <v>140.09549999999982</v>
      </c>
      <c r="S67">
        <f t="shared" si="4"/>
        <v>137.13699999999992</v>
      </c>
      <c r="T67" s="1">
        <f t="shared" ref="T67:T130" si="6">K67*E67</f>
        <v>122.74784631877009</v>
      </c>
      <c r="U67" s="1">
        <f t="shared" ref="U67:U130" si="7">L67*E67</f>
        <v>83.393653681229793</v>
      </c>
    </row>
    <row r="68" spans="1:21" x14ac:dyDescent="0.3">
      <c r="A68" t="s">
        <v>57</v>
      </c>
      <c r="B68" t="s">
        <v>62</v>
      </c>
      <c r="C68" t="s">
        <v>576</v>
      </c>
      <c r="D68" t="s">
        <v>598</v>
      </c>
      <c r="E68" s="2">
        <v>201.64699999999999</v>
      </c>
      <c r="F68" s="2">
        <v>11.965</v>
      </c>
      <c r="G68" s="2">
        <v>83.029499999999999</v>
      </c>
      <c r="H68" s="2">
        <v>-83.029499999999999</v>
      </c>
      <c r="I68" s="1">
        <v>0.88208850119267801</v>
      </c>
      <c r="J68" s="1">
        <v>0.88208850119267801</v>
      </c>
      <c r="K68" s="1">
        <v>0.52441649448827699</v>
      </c>
      <c r="L68" s="1">
        <v>0.76942869041405204</v>
      </c>
      <c r="M68" s="2"/>
      <c r="N68" s="2"/>
      <c r="P68" s="1">
        <f>I68-'Passo 1'!I68</f>
        <v>8.2346873496760287E-3</v>
      </c>
      <c r="Q68" s="1">
        <f>J68-'Passo 1'!J68</f>
        <v>8.7539115384805966E-2</v>
      </c>
      <c r="R68" s="1">
        <f t="shared" si="5"/>
        <v>177.87049999999994</v>
      </c>
      <c r="S68">
        <f t="shared" si="4"/>
        <v>177.87049999999994</v>
      </c>
      <c r="T68" s="1">
        <f t="shared" si="6"/>
        <v>105.74701286407759</v>
      </c>
      <c r="U68" s="1">
        <f t="shared" si="7"/>
        <v>155.15298713592236</v>
      </c>
    </row>
    <row r="69" spans="1:21" x14ac:dyDescent="0.3">
      <c r="A69" t="s">
        <v>57</v>
      </c>
      <c r="B69" t="s">
        <v>605</v>
      </c>
      <c r="C69" t="s">
        <v>576</v>
      </c>
      <c r="D69" t="s">
        <v>583</v>
      </c>
      <c r="E69" s="2">
        <v>145.24600000000001</v>
      </c>
      <c r="F69" s="2">
        <v>0</v>
      </c>
      <c r="G69" s="2">
        <v>71.781999999999996</v>
      </c>
      <c r="H69" s="2">
        <v>-72.601500000000001</v>
      </c>
      <c r="I69" s="1">
        <v>0.99420982333420505</v>
      </c>
      <c r="J69" s="1">
        <v>0.99985197526954195</v>
      </c>
      <c r="K69" s="1">
        <v>0.99294506114243697</v>
      </c>
      <c r="L69" s="1">
        <v>0.50111673746131002</v>
      </c>
      <c r="M69" s="2"/>
      <c r="N69" s="2"/>
      <c r="P69" s="1">
        <f>I69-'Passo 1'!I69</f>
        <v>5.9316607686270006E-2</v>
      </c>
      <c r="Q69" s="1">
        <f>J69-'Passo 1'!J69</f>
        <v>0.21197829888602793</v>
      </c>
      <c r="R69" s="1">
        <f t="shared" si="5"/>
        <v>144.40499999999994</v>
      </c>
      <c r="S69">
        <f t="shared" si="4"/>
        <v>145.22449999999989</v>
      </c>
      <c r="T69" s="1">
        <f t="shared" si="6"/>
        <v>144.22129835069441</v>
      </c>
      <c r="U69" s="1">
        <f t="shared" si="7"/>
        <v>72.785201649305435</v>
      </c>
    </row>
    <row r="70" spans="1:21" x14ac:dyDescent="0.3">
      <c r="A70" t="s">
        <v>57</v>
      </c>
      <c r="B70" t="s">
        <v>63</v>
      </c>
      <c r="C70" t="s">
        <v>576</v>
      </c>
      <c r="D70" t="s">
        <v>583</v>
      </c>
      <c r="E70" s="2">
        <v>167.36600000000001</v>
      </c>
      <c r="F70" s="2">
        <v>0</v>
      </c>
      <c r="G70" s="2">
        <v>76.623500000000007</v>
      </c>
      <c r="H70" s="2">
        <v>-83.371499999999997</v>
      </c>
      <c r="I70" s="1">
        <v>0.95781998733314999</v>
      </c>
      <c r="J70" s="1">
        <v>0.99813880955510603</v>
      </c>
      <c r="K70" s="1">
        <v>0.95611214131910305</v>
      </c>
      <c r="L70" s="1">
        <v>0.49984665556915298</v>
      </c>
      <c r="M70" s="2"/>
      <c r="N70" s="2"/>
      <c r="P70" s="1">
        <f>I70-'Passo 1'!I70</f>
        <v>7.9290297909969998E-2</v>
      </c>
      <c r="Q70" s="1">
        <f>J70-'Passo 1'!J70</f>
        <v>0.131146708411505</v>
      </c>
      <c r="R70" s="1">
        <f t="shared" si="5"/>
        <v>160.3065</v>
      </c>
      <c r="S70">
        <f t="shared" si="4"/>
        <v>167.05449999999988</v>
      </c>
      <c r="T70" s="1">
        <f t="shared" si="6"/>
        <v>160.02066464401301</v>
      </c>
      <c r="U70" s="1">
        <f t="shared" si="7"/>
        <v>83.657335355986859</v>
      </c>
    </row>
    <row r="71" spans="1:21" x14ac:dyDescent="0.3">
      <c r="A71" t="s">
        <v>57</v>
      </c>
      <c r="B71" t="s">
        <v>64</v>
      </c>
      <c r="C71" t="s">
        <v>576</v>
      </c>
      <c r="D71" t="s">
        <v>589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M71" s="2"/>
      <c r="N71" s="2"/>
      <c r="P71" s="1">
        <f>I71-'Passo 1'!I71</f>
        <v>0</v>
      </c>
      <c r="Q71" s="1">
        <f>J71-'Passo 1'!J71</f>
        <v>0</v>
      </c>
      <c r="R71" s="1">
        <f t="shared" si="5"/>
        <v>0</v>
      </c>
      <c r="S71">
        <f t="shared" si="4"/>
        <v>0</v>
      </c>
      <c r="T71" s="1">
        <f t="shared" si="6"/>
        <v>0</v>
      </c>
      <c r="U71" s="1">
        <f t="shared" si="7"/>
        <v>0</v>
      </c>
    </row>
    <row r="72" spans="1:21" x14ac:dyDescent="0.3">
      <c r="A72" t="s">
        <v>57</v>
      </c>
      <c r="B72" t="s">
        <v>606</v>
      </c>
      <c r="C72" t="s">
        <v>580</v>
      </c>
      <c r="D72" t="s">
        <v>581</v>
      </c>
      <c r="E72" s="2">
        <v>25.288</v>
      </c>
      <c r="F72" s="2">
        <v>0</v>
      </c>
      <c r="G72" s="2">
        <v>10.670999999999999</v>
      </c>
      <c r="H72" s="2">
        <v>-10.347</v>
      </c>
      <c r="I72" s="1">
        <v>0.92197880417589295</v>
      </c>
      <c r="J72" s="1">
        <v>0.90916640303701302</v>
      </c>
      <c r="K72" s="1">
        <v>0.83511984655218396</v>
      </c>
      <c r="L72" s="1">
        <v>0.496025360660722</v>
      </c>
      <c r="M72" s="2"/>
      <c r="N72" s="2"/>
      <c r="P72" s="1">
        <f>I72-'Passo 1'!I72</f>
        <v>5.8466466308129905E-2</v>
      </c>
      <c r="Q72" s="1">
        <f>J72-'Passo 1'!J72</f>
        <v>1.2891490034799058E-2</v>
      </c>
      <c r="R72" s="1">
        <f t="shared" si="5"/>
        <v>23.31499999999998</v>
      </c>
      <c r="S72">
        <f t="shared" si="4"/>
        <v>22.990999999999985</v>
      </c>
      <c r="T72" s="1">
        <f t="shared" si="6"/>
        <v>21.118510679611628</v>
      </c>
      <c r="U72" s="1">
        <f t="shared" si="7"/>
        <v>12.543489320388337</v>
      </c>
    </row>
    <row r="73" spans="1:21" x14ac:dyDescent="0.3">
      <c r="A73" t="s">
        <v>57</v>
      </c>
      <c r="B73" t="s">
        <v>65</v>
      </c>
      <c r="C73" t="s">
        <v>576</v>
      </c>
      <c r="D73" t="s">
        <v>589</v>
      </c>
      <c r="E73" s="2">
        <v>0</v>
      </c>
      <c r="F73" s="2">
        <v>0</v>
      </c>
      <c r="G73" s="2">
        <v>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M73" s="2"/>
      <c r="N73" s="2"/>
      <c r="P73" s="1">
        <f>I73-'Passo 1'!I73</f>
        <v>0</v>
      </c>
      <c r="Q73" s="1">
        <f>J73-'Passo 1'!J73</f>
        <v>0</v>
      </c>
      <c r="R73" s="1">
        <f t="shared" si="5"/>
        <v>0</v>
      </c>
      <c r="S73">
        <f t="shared" si="4"/>
        <v>0</v>
      </c>
      <c r="T73" s="1">
        <f t="shared" si="6"/>
        <v>0</v>
      </c>
      <c r="U73" s="1">
        <f t="shared" si="7"/>
        <v>0</v>
      </c>
    </row>
    <row r="74" spans="1:21" x14ac:dyDescent="0.3">
      <c r="A74" t="s">
        <v>57</v>
      </c>
      <c r="B74" t="s">
        <v>66</v>
      </c>
      <c r="C74" t="s">
        <v>34</v>
      </c>
      <c r="D74" t="s">
        <v>35</v>
      </c>
      <c r="E74" s="2">
        <v>162.773</v>
      </c>
      <c r="F74" s="2">
        <v>0</v>
      </c>
      <c r="G74" s="2">
        <v>76.492499999999893</v>
      </c>
      <c r="H74" s="2">
        <v>-78.974000000000004</v>
      </c>
      <c r="I74" s="1">
        <v>0.96993358849440603</v>
      </c>
      <c r="J74" s="1">
        <v>0.98517874586080001</v>
      </c>
      <c r="K74" s="1">
        <v>0.84206138207585202</v>
      </c>
      <c r="L74" s="1">
        <v>0.61305095227935302</v>
      </c>
      <c r="M74" s="2"/>
      <c r="N74" s="2"/>
      <c r="P74" s="1">
        <f>I74-'Passo 1'!I74</f>
        <v>0.10837485332334007</v>
      </c>
      <c r="Q74" s="1">
        <f>J74-'Passo 1'!J74</f>
        <v>7.1615071295607957E-2</v>
      </c>
      <c r="R74" s="1">
        <f t="shared" si="5"/>
        <v>157.87899999999996</v>
      </c>
      <c r="S74">
        <f t="shared" si="4"/>
        <v>160.3605</v>
      </c>
      <c r="T74" s="1">
        <f t="shared" si="6"/>
        <v>137.06485734463266</v>
      </c>
      <c r="U74" s="1">
        <f t="shared" si="7"/>
        <v>99.788142655367125</v>
      </c>
    </row>
    <row r="75" spans="1:21" x14ac:dyDescent="0.3">
      <c r="A75" t="s">
        <v>57</v>
      </c>
      <c r="B75" t="s">
        <v>67</v>
      </c>
      <c r="C75" t="s">
        <v>580</v>
      </c>
      <c r="D75" t="s">
        <v>581</v>
      </c>
      <c r="E75" s="2">
        <v>71.941000000000003</v>
      </c>
      <c r="F75" s="2">
        <v>0</v>
      </c>
      <c r="G75" s="2">
        <v>29.845500000000001</v>
      </c>
      <c r="H75" s="2">
        <v>-29.411999999999999</v>
      </c>
      <c r="I75" s="1">
        <v>0.91486078870185294</v>
      </c>
      <c r="J75" s="1">
        <v>0.90883501758385299</v>
      </c>
      <c r="K75" s="1">
        <v>0.75185472231966599</v>
      </c>
      <c r="L75" s="1">
        <v>0.57184108396603905</v>
      </c>
      <c r="M75" s="2"/>
      <c r="N75" s="2"/>
      <c r="P75" s="1">
        <f>I75-'Passo 1'!I75</f>
        <v>8.6119180995538946E-2</v>
      </c>
      <c r="Q75" s="1">
        <f>J75-'Passo 1'!J75</f>
        <v>4.3806730515282943E-2</v>
      </c>
      <c r="R75" s="1">
        <f t="shared" si="5"/>
        <v>65.816000000000003</v>
      </c>
      <c r="S75">
        <f t="shared" si="4"/>
        <v>65.382499999999965</v>
      </c>
      <c r="T75" s="1">
        <f t="shared" si="6"/>
        <v>54.089180578399095</v>
      </c>
      <c r="U75" s="1">
        <f t="shared" si="7"/>
        <v>41.138819421600815</v>
      </c>
    </row>
    <row r="76" spans="1:21" x14ac:dyDescent="0.3">
      <c r="A76" t="s">
        <v>57</v>
      </c>
      <c r="B76" t="s">
        <v>68</v>
      </c>
      <c r="C76" t="s">
        <v>580</v>
      </c>
      <c r="D76" t="s">
        <v>581</v>
      </c>
      <c r="E76" s="2">
        <v>34.143000000000001</v>
      </c>
      <c r="F76" s="2">
        <v>0</v>
      </c>
      <c r="G76" s="2">
        <v>16.1325</v>
      </c>
      <c r="H76" s="2">
        <v>-16.527999999999999</v>
      </c>
      <c r="I76" s="1">
        <v>0.972498023020824</v>
      </c>
      <c r="J76" s="1">
        <v>0.984081656562106</v>
      </c>
      <c r="K76" s="1">
        <v>0.79582011332882097</v>
      </c>
      <c r="L76" s="1">
        <v>0.66075956625410803</v>
      </c>
      <c r="M76" s="2"/>
      <c r="N76" s="2"/>
      <c r="P76" s="1">
        <f>I76-'Passo 1'!I76</f>
        <v>0.11369826904489999</v>
      </c>
      <c r="Q76" s="1">
        <f>J76-'Passo 1'!J76</f>
        <v>9.0765310605394944E-2</v>
      </c>
      <c r="R76" s="1">
        <f t="shared" si="5"/>
        <v>33.203999999999994</v>
      </c>
      <c r="S76">
        <f t="shared" si="4"/>
        <v>33.599499999999985</v>
      </c>
      <c r="T76" s="1">
        <f t="shared" si="6"/>
        <v>27.171686129385936</v>
      </c>
      <c r="U76" s="1">
        <f t="shared" si="7"/>
        <v>22.56031387061401</v>
      </c>
    </row>
    <row r="77" spans="1:21" x14ac:dyDescent="0.3">
      <c r="A77" t="s">
        <v>57</v>
      </c>
      <c r="B77" t="s">
        <v>607</v>
      </c>
      <c r="C77" t="s">
        <v>580</v>
      </c>
      <c r="D77" t="s">
        <v>581</v>
      </c>
      <c r="E77" s="2">
        <v>67.766999999999996</v>
      </c>
      <c r="F77" s="2">
        <v>0</v>
      </c>
      <c r="G77" s="2">
        <v>32.807000000000002</v>
      </c>
      <c r="H77" s="2">
        <v>-29.626999999999999</v>
      </c>
      <c r="I77" s="1">
        <v>0.98411468708958605</v>
      </c>
      <c r="J77" s="1">
        <v>0.93718919237977105</v>
      </c>
      <c r="K77" s="1">
        <v>0.83629600184393404</v>
      </c>
      <c r="L77" s="1">
        <v>0.58500787762542295</v>
      </c>
      <c r="M77" s="2"/>
      <c r="N77" s="2"/>
      <c r="P77" s="1">
        <f>I77-'Passo 1'!I77</f>
        <v>2.8590611949769085E-2</v>
      </c>
      <c r="Q77" s="1">
        <f>J77-'Passo 1'!J77</f>
        <v>0.10550120265025709</v>
      </c>
      <c r="R77" s="1">
        <f t="shared" si="5"/>
        <v>66.690499999999972</v>
      </c>
      <c r="S77">
        <f t="shared" si="4"/>
        <v>63.510499999999944</v>
      </c>
      <c r="T77" s="1">
        <f t="shared" si="6"/>
        <v>56.673271156957874</v>
      </c>
      <c r="U77" s="1">
        <f t="shared" si="7"/>
        <v>39.644228843042036</v>
      </c>
    </row>
    <row r="78" spans="1:21" x14ac:dyDescent="0.3">
      <c r="A78" t="s">
        <v>57</v>
      </c>
      <c r="B78" t="s">
        <v>608</v>
      </c>
      <c r="C78" t="s">
        <v>580</v>
      </c>
      <c r="D78" t="s">
        <v>581</v>
      </c>
      <c r="E78" s="2">
        <v>103.345</v>
      </c>
      <c r="F78" s="2">
        <v>0</v>
      </c>
      <c r="G78" s="2">
        <v>40.172499999999999</v>
      </c>
      <c r="H78" s="2">
        <v>-37.448999999999998</v>
      </c>
      <c r="I78" s="1">
        <v>0.88872224103730202</v>
      </c>
      <c r="J78" s="1">
        <v>0.86236876481687497</v>
      </c>
      <c r="K78" s="1">
        <v>0.71499212741561702</v>
      </c>
      <c r="L78" s="1">
        <v>0.53609887843855997</v>
      </c>
      <c r="M78" s="2"/>
      <c r="N78" s="2"/>
      <c r="P78" s="1">
        <f>I78-'Passo 1'!I78</f>
        <v>0.13695389230248201</v>
      </c>
      <c r="Q78" s="1">
        <f>J78-'Passo 1'!J78</f>
        <v>0.11100198364700697</v>
      </c>
      <c r="R78" s="1">
        <f t="shared" si="5"/>
        <v>91.84499999999997</v>
      </c>
      <c r="S78">
        <f t="shared" si="4"/>
        <v>89.121499999999941</v>
      </c>
      <c r="T78" s="1">
        <f t="shared" si="6"/>
        <v>73.890861407766934</v>
      </c>
      <c r="U78" s="1">
        <f t="shared" si="7"/>
        <v>55.403138592232978</v>
      </c>
    </row>
    <row r="79" spans="1:21" x14ac:dyDescent="0.3">
      <c r="A79" t="s">
        <v>57</v>
      </c>
      <c r="B79" t="s">
        <v>69</v>
      </c>
      <c r="C79" t="s">
        <v>580</v>
      </c>
      <c r="D79" t="s">
        <v>581</v>
      </c>
      <c r="E79" s="2">
        <v>153.696</v>
      </c>
      <c r="F79" s="2">
        <v>0</v>
      </c>
      <c r="G79" s="2">
        <v>73.339500000000001</v>
      </c>
      <c r="H79" s="2">
        <v>-72.768500000000003</v>
      </c>
      <c r="I79" s="1">
        <v>0.97717247033104304</v>
      </c>
      <c r="J79" s="1">
        <v>0.97345734436810305</v>
      </c>
      <c r="K79" s="1">
        <v>0.81002189755324105</v>
      </c>
      <c r="L79" s="1">
        <v>0.64060791714590404</v>
      </c>
      <c r="M79" s="2"/>
      <c r="N79" s="2"/>
      <c r="P79" s="1">
        <f>I79-'Passo 1'!I79</f>
        <v>0.10920908806995699</v>
      </c>
      <c r="Q79" s="1">
        <f>J79-'Passo 1'!J79</f>
        <v>4.2395377888820085E-2</v>
      </c>
      <c r="R79" s="1">
        <f t="shared" si="5"/>
        <v>150.1875</v>
      </c>
      <c r="S79">
        <f t="shared" si="4"/>
        <v>149.61649999999997</v>
      </c>
      <c r="T79" s="1">
        <f t="shared" si="6"/>
        <v>124.49712556634293</v>
      </c>
      <c r="U79" s="1">
        <f t="shared" si="7"/>
        <v>98.45887443365686</v>
      </c>
    </row>
    <row r="80" spans="1:21" x14ac:dyDescent="0.3">
      <c r="A80" t="s">
        <v>57</v>
      </c>
      <c r="B80" t="s">
        <v>70</v>
      </c>
      <c r="C80" t="s">
        <v>34</v>
      </c>
      <c r="D80" t="s">
        <v>35</v>
      </c>
      <c r="E80" s="2">
        <v>278.73099999999999</v>
      </c>
      <c r="F80" s="2">
        <v>0</v>
      </c>
      <c r="G80" s="2">
        <v>131.77099999999999</v>
      </c>
      <c r="H80" s="2">
        <v>-132.1705</v>
      </c>
      <c r="I80" s="1">
        <v>0.97275329977648695</v>
      </c>
      <c r="J80" s="1">
        <v>0.97418658132751601</v>
      </c>
      <c r="K80" s="1">
        <v>0.85478082552688905</v>
      </c>
      <c r="L80" s="1">
        <v>0.59215905557711401</v>
      </c>
      <c r="M80" s="2"/>
      <c r="N80" s="2"/>
      <c r="P80" s="1">
        <f>I80-'Passo 1'!I80</f>
        <v>9.7097201244210951E-2</v>
      </c>
      <c r="Q80" s="1">
        <f>J80-'Passo 1'!J80</f>
        <v>4.6525144314769062E-2</v>
      </c>
      <c r="R80" s="1">
        <f t="shared" si="5"/>
        <v>271.13649999999996</v>
      </c>
      <c r="S80">
        <f t="shared" si="4"/>
        <v>271.53599999999989</v>
      </c>
      <c r="T80" s="1">
        <f t="shared" si="6"/>
        <v>238.25391427993532</v>
      </c>
      <c r="U80" s="1">
        <f t="shared" si="7"/>
        <v>165.05308572006456</v>
      </c>
    </row>
    <row r="81" spans="1:21" x14ac:dyDescent="0.3">
      <c r="A81" t="s">
        <v>57</v>
      </c>
      <c r="B81" t="s">
        <v>71</v>
      </c>
      <c r="C81" t="s">
        <v>580</v>
      </c>
      <c r="D81" t="s">
        <v>581</v>
      </c>
      <c r="E81" s="2">
        <v>239.65199999999999</v>
      </c>
      <c r="F81" s="2">
        <v>0</v>
      </c>
      <c r="G81" s="2">
        <v>110.048</v>
      </c>
      <c r="H81" s="2">
        <v>-102.232</v>
      </c>
      <c r="I81" s="1">
        <v>0.95919917213292605</v>
      </c>
      <c r="J81" s="1">
        <v>0.92658521522874804</v>
      </c>
      <c r="K81" s="1">
        <v>0.79419043855217297</v>
      </c>
      <c r="L81" s="1">
        <v>0.591593948809501</v>
      </c>
      <c r="M81" s="2"/>
      <c r="N81" s="2"/>
      <c r="P81" s="1">
        <f>I81-'Passo 1'!I81</f>
        <v>7.2530168744680101E-2</v>
      </c>
      <c r="Q81" s="1">
        <f>J81-'Passo 1'!J81</f>
        <v>5.0767362675880001E-2</v>
      </c>
      <c r="R81" s="1">
        <f t="shared" si="5"/>
        <v>229.87399999999997</v>
      </c>
      <c r="S81">
        <f t="shared" si="4"/>
        <v>222.05799999999991</v>
      </c>
      <c r="T81" s="1">
        <f t="shared" si="6"/>
        <v>190.32932697990535</v>
      </c>
      <c r="U81" s="1">
        <f t="shared" si="7"/>
        <v>141.77667302009453</v>
      </c>
    </row>
    <row r="82" spans="1:21" x14ac:dyDescent="0.3">
      <c r="A82" t="s">
        <v>57</v>
      </c>
      <c r="B82" t="s">
        <v>72</v>
      </c>
      <c r="C82" t="s">
        <v>580</v>
      </c>
      <c r="D82" t="s">
        <v>581</v>
      </c>
      <c r="E82" s="2">
        <v>135.48599999999999</v>
      </c>
      <c r="F82" s="2">
        <v>0</v>
      </c>
      <c r="G82" s="2">
        <v>59.564500000000002</v>
      </c>
      <c r="H82" s="2">
        <v>-53.101999999999997</v>
      </c>
      <c r="I82" s="1">
        <v>0.93963582953220204</v>
      </c>
      <c r="J82" s="1">
        <v>0.89193717432059405</v>
      </c>
      <c r="K82" s="1">
        <v>0.74107880364954404</v>
      </c>
      <c r="L82" s="1">
        <v>0.59049420020325205</v>
      </c>
      <c r="M82" s="2"/>
      <c r="N82" s="2"/>
      <c r="P82" s="1">
        <f>I82-'Passo 1'!I82</f>
        <v>0</v>
      </c>
      <c r="Q82" s="1">
        <f>J82-'Passo 1'!J82</f>
        <v>0</v>
      </c>
      <c r="R82" s="1">
        <f t="shared" si="5"/>
        <v>127.30749999999992</v>
      </c>
      <c r="S82">
        <f t="shared" si="4"/>
        <v>120.845</v>
      </c>
      <c r="T82" s="1">
        <f t="shared" si="6"/>
        <v>100.40580279126212</v>
      </c>
      <c r="U82" s="1">
        <f t="shared" si="7"/>
        <v>80.003697208737805</v>
      </c>
    </row>
    <row r="83" spans="1:21" x14ac:dyDescent="0.3">
      <c r="A83" t="s">
        <v>57</v>
      </c>
      <c r="B83" t="s">
        <v>73</v>
      </c>
      <c r="C83" t="s">
        <v>580</v>
      </c>
      <c r="D83" t="s">
        <v>581</v>
      </c>
      <c r="E83" s="2">
        <v>209.67699999999999</v>
      </c>
      <c r="F83" s="2">
        <v>0</v>
      </c>
      <c r="G83" s="2">
        <v>68.728499999999997</v>
      </c>
      <c r="H83" s="2">
        <v>-68.667499999999905</v>
      </c>
      <c r="I83" s="1">
        <v>0.82778273248854195</v>
      </c>
      <c r="J83" s="1">
        <v>0.82749180882977103</v>
      </c>
      <c r="K83" s="1">
        <v>0.74761176915308702</v>
      </c>
      <c r="L83" s="1">
        <v>0.40766277216522501</v>
      </c>
      <c r="M83" s="2"/>
      <c r="N83" s="2"/>
      <c r="P83" s="1">
        <f>I83-'Passo 1'!I83</f>
        <v>4.8832251510656954E-2</v>
      </c>
      <c r="Q83" s="1">
        <f>J83-'Passo 1'!J83</f>
        <v>8.2176395122021018E-2</v>
      </c>
      <c r="R83" s="1">
        <f t="shared" si="5"/>
        <v>173.56700000000001</v>
      </c>
      <c r="S83">
        <f t="shared" si="4"/>
        <v>173.50599999999989</v>
      </c>
      <c r="T83" s="1">
        <f t="shared" si="6"/>
        <v>156.75699292071181</v>
      </c>
      <c r="U83" s="1">
        <f t="shared" si="7"/>
        <v>85.477507079287875</v>
      </c>
    </row>
    <row r="84" spans="1:21" x14ac:dyDescent="0.3">
      <c r="A84" t="s">
        <v>57</v>
      </c>
      <c r="B84" t="s">
        <v>74</v>
      </c>
      <c r="C84" t="s">
        <v>580</v>
      </c>
      <c r="D84" t="s">
        <v>581</v>
      </c>
      <c r="E84" s="2">
        <v>333.44900000000001</v>
      </c>
      <c r="F84" s="2">
        <v>0</v>
      </c>
      <c r="G84" s="2">
        <v>147.71299999999999</v>
      </c>
      <c r="H84" s="2">
        <v>-140.73949999999999</v>
      </c>
      <c r="I84" s="1">
        <v>0.94298528410641502</v>
      </c>
      <c r="J84" s="1">
        <v>0.92207204100177198</v>
      </c>
      <c r="K84" s="1">
        <v>0.69738707615483397</v>
      </c>
      <c r="L84" s="1">
        <v>0.66767024895335203</v>
      </c>
      <c r="M84" s="2"/>
      <c r="N84" s="2"/>
      <c r="P84" s="1">
        <f>I84-'Passo 1'!I84</f>
        <v>7.5981634372872975E-2</v>
      </c>
      <c r="Q84" s="1">
        <f>J84-'Passo 1'!J84</f>
        <v>0.14375361749472904</v>
      </c>
      <c r="R84" s="1">
        <f t="shared" si="5"/>
        <v>314.4375</v>
      </c>
      <c r="S84">
        <f t="shared" si="4"/>
        <v>307.46399999999988</v>
      </c>
      <c r="T84" s="1">
        <f t="shared" si="6"/>
        <v>232.54302315675324</v>
      </c>
      <c r="U84" s="1">
        <f t="shared" si="7"/>
        <v>222.6339768432463</v>
      </c>
    </row>
    <row r="85" spans="1:21" x14ac:dyDescent="0.3">
      <c r="A85" t="s">
        <v>57</v>
      </c>
      <c r="B85" t="s">
        <v>609</v>
      </c>
      <c r="C85" t="s">
        <v>580</v>
      </c>
      <c r="D85" t="s">
        <v>581</v>
      </c>
      <c r="E85" s="2">
        <v>160.28700000000001</v>
      </c>
      <c r="F85" s="2">
        <v>0</v>
      </c>
      <c r="G85" s="2">
        <v>78.890500000000003</v>
      </c>
      <c r="H85" s="2">
        <v>-80.143500000000003</v>
      </c>
      <c r="I85" s="1">
        <v>0.99218277215245099</v>
      </c>
      <c r="J85" s="1">
        <v>1</v>
      </c>
      <c r="K85" s="1">
        <v>0.83622976533617899</v>
      </c>
      <c r="L85" s="1">
        <v>0.655953006816272</v>
      </c>
      <c r="M85" s="2"/>
      <c r="N85" s="2"/>
      <c r="P85" s="1">
        <f>I85-'Passo 1'!I85</f>
        <v>7.1974021598756988E-2</v>
      </c>
      <c r="Q85" s="1">
        <f>J85-'Passo 1'!J85</f>
        <v>9.6607959472695959E-2</v>
      </c>
      <c r="R85" s="1">
        <f t="shared" si="5"/>
        <v>159.03399999999991</v>
      </c>
      <c r="S85">
        <f t="shared" si="4"/>
        <v>160.28700000000001</v>
      </c>
      <c r="T85" s="1">
        <f t="shared" si="6"/>
        <v>134.03676039644012</v>
      </c>
      <c r="U85" s="1">
        <f t="shared" si="7"/>
        <v>105.14073960355979</v>
      </c>
    </row>
    <row r="86" spans="1:21" x14ac:dyDescent="0.3">
      <c r="A86" t="s">
        <v>57</v>
      </c>
      <c r="B86" t="s">
        <v>75</v>
      </c>
      <c r="C86" t="s">
        <v>580</v>
      </c>
      <c r="D86" t="s">
        <v>581</v>
      </c>
      <c r="E86" s="2">
        <v>48.749000000000002</v>
      </c>
      <c r="F86" s="2">
        <v>0</v>
      </c>
      <c r="G86" s="2">
        <v>20.455500000000001</v>
      </c>
      <c r="H86" s="2">
        <v>-20.5</v>
      </c>
      <c r="I86" s="1">
        <v>0.91960860735604799</v>
      </c>
      <c r="J86" s="1">
        <v>0.92052144659377599</v>
      </c>
      <c r="K86" s="1">
        <v>0.79140968355105501</v>
      </c>
      <c r="L86" s="1">
        <v>0.54872037039876798</v>
      </c>
      <c r="M86" s="2"/>
      <c r="N86" s="2"/>
      <c r="P86" s="1">
        <f>I86-'Passo 1'!I86</f>
        <v>7.7468255759092997E-2</v>
      </c>
      <c r="Q86" s="1">
        <f>J86-'Passo 1'!J86</f>
        <v>9.9704609325319993E-2</v>
      </c>
      <c r="R86" s="1">
        <f t="shared" si="5"/>
        <v>44.829999999999984</v>
      </c>
      <c r="S86">
        <f t="shared" si="4"/>
        <v>44.874499999999991</v>
      </c>
      <c r="T86" s="1">
        <f t="shared" si="6"/>
        <v>38.580430663430384</v>
      </c>
      <c r="U86" s="1">
        <f t="shared" si="7"/>
        <v>26.749569336569543</v>
      </c>
    </row>
    <row r="87" spans="1:21" x14ac:dyDescent="0.3">
      <c r="A87" t="s">
        <v>57</v>
      </c>
      <c r="B87" t="s">
        <v>76</v>
      </c>
      <c r="C87" t="s">
        <v>580</v>
      </c>
      <c r="D87" t="s">
        <v>581</v>
      </c>
      <c r="E87" s="2">
        <v>226.65600000000001</v>
      </c>
      <c r="F87" s="2">
        <v>0</v>
      </c>
      <c r="G87" s="2">
        <v>81.132499999999993</v>
      </c>
      <c r="H87" s="2">
        <v>-93.793999999999997</v>
      </c>
      <c r="I87" s="1">
        <v>0.85795434491034805</v>
      </c>
      <c r="J87" s="1">
        <v>0.91381653254270701</v>
      </c>
      <c r="K87" s="1">
        <v>0.63582103321138495</v>
      </c>
      <c r="L87" s="1">
        <v>0.63594984424167</v>
      </c>
      <c r="M87" s="2"/>
      <c r="N87" s="2"/>
      <c r="P87" s="1">
        <f>I87-'Passo 1'!I87</f>
        <v>4.822285754623068E-3</v>
      </c>
      <c r="Q87" s="1">
        <f>J87-'Passo 1'!J87</f>
        <v>3.376041225469395E-2</v>
      </c>
      <c r="R87" s="1">
        <f t="shared" si="5"/>
        <v>194.46049999999985</v>
      </c>
      <c r="S87">
        <f t="shared" si="4"/>
        <v>207.12199999999982</v>
      </c>
      <c r="T87" s="1">
        <f t="shared" si="6"/>
        <v>144.11265210355967</v>
      </c>
      <c r="U87" s="1">
        <f t="shared" si="7"/>
        <v>144.14184789643997</v>
      </c>
    </row>
    <row r="88" spans="1:21" x14ac:dyDescent="0.3">
      <c r="A88" t="s">
        <v>57</v>
      </c>
      <c r="B88" t="s">
        <v>77</v>
      </c>
      <c r="C88" t="s">
        <v>580</v>
      </c>
      <c r="D88" t="s">
        <v>581</v>
      </c>
      <c r="E88" s="2">
        <v>138.43700000000001</v>
      </c>
      <c r="F88" s="2">
        <v>0</v>
      </c>
      <c r="G88" s="2">
        <v>48.3185</v>
      </c>
      <c r="H88" s="2">
        <v>-57.012499999999903</v>
      </c>
      <c r="I88" s="1">
        <v>0.84902880010401804</v>
      </c>
      <c r="J88" s="1">
        <v>0.91182992985979106</v>
      </c>
      <c r="K88" s="1">
        <v>0.70983007780132801</v>
      </c>
      <c r="L88" s="1">
        <v>0.55102865216248098</v>
      </c>
      <c r="M88" s="2"/>
      <c r="N88" s="2"/>
      <c r="P88" s="1">
        <f>I88-'Passo 1'!I88</f>
        <v>9.0539378923265024E-2</v>
      </c>
      <c r="Q88" s="1">
        <f>J88-'Passo 1'!J88</f>
        <v>0.15888815851253602</v>
      </c>
      <c r="R88" s="1">
        <f t="shared" si="5"/>
        <v>117.53699999999995</v>
      </c>
      <c r="S88">
        <f t="shared" si="4"/>
        <v>126.23099999999991</v>
      </c>
      <c r="T88" s="1">
        <f t="shared" si="6"/>
        <v>98.266746480582455</v>
      </c>
      <c r="U88" s="1">
        <f t="shared" si="7"/>
        <v>76.282753519417383</v>
      </c>
    </row>
    <row r="89" spans="1:21" x14ac:dyDescent="0.3">
      <c r="A89" t="s">
        <v>57</v>
      </c>
      <c r="B89" t="s">
        <v>78</v>
      </c>
      <c r="C89" t="s">
        <v>34</v>
      </c>
      <c r="D89" t="s">
        <v>35</v>
      </c>
      <c r="E89" s="2">
        <v>375.53300000000002</v>
      </c>
      <c r="F89" s="2">
        <v>0</v>
      </c>
      <c r="G89" s="2">
        <v>167.07999999999899</v>
      </c>
      <c r="H89" s="2">
        <v>-163.3485</v>
      </c>
      <c r="I89" s="1">
        <v>0.94491429514849501</v>
      </c>
      <c r="J89" s="1">
        <v>0.93497775162235996</v>
      </c>
      <c r="K89" s="1">
        <v>0.83207934213233703</v>
      </c>
      <c r="L89" s="1">
        <v>0.54781270463851806</v>
      </c>
      <c r="M89" s="2"/>
      <c r="N89" s="2"/>
      <c r="P89" s="1">
        <f>I89-'Passo 1'!I89</f>
        <v>0.18791823887647696</v>
      </c>
      <c r="Q89" s="1">
        <f>J89-'Passo 1'!J89</f>
        <v>0.10945642593327298</v>
      </c>
      <c r="R89" s="1">
        <f t="shared" si="5"/>
        <v>354.84649999999976</v>
      </c>
      <c r="S89">
        <f t="shared" si="4"/>
        <v>351.11499999999972</v>
      </c>
      <c r="T89" s="1">
        <f t="shared" si="6"/>
        <v>312.47325158898292</v>
      </c>
      <c r="U89" s="1">
        <f t="shared" si="7"/>
        <v>205.72174841101662</v>
      </c>
    </row>
    <row r="90" spans="1:21" x14ac:dyDescent="0.3">
      <c r="A90" t="s">
        <v>57</v>
      </c>
      <c r="B90" t="s">
        <v>79</v>
      </c>
      <c r="C90" t="s">
        <v>580</v>
      </c>
      <c r="D90" t="s">
        <v>581</v>
      </c>
      <c r="E90" s="2">
        <v>103.20699999999999</v>
      </c>
      <c r="F90" s="2">
        <v>0</v>
      </c>
      <c r="G90" s="2">
        <v>44.541499999999999</v>
      </c>
      <c r="H90" s="2">
        <v>-50.5535</v>
      </c>
      <c r="I90" s="1">
        <v>0.93157440871258701</v>
      </c>
      <c r="J90" s="1">
        <v>0.98982627147383395</v>
      </c>
      <c r="K90" s="1">
        <v>0.69272347780780397</v>
      </c>
      <c r="L90" s="1">
        <v>0.72867720237861699</v>
      </c>
      <c r="M90" s="2"/>
      <c r="N90" s="2"/>
      <c r="P90" s="1">
        <f>I90-'Passo 1'!I90</f>
        <v>8.6292596432413049E-2</v>
      </c>
      <c r="Q90" s="1">
        <f>J90-'Passo 1'!J90</f>
        <v>0.1661854331586039</v>
      </c>
      <c r="R90" s="1">
        <f t="shared" si="5"/>
        <v>96.144999999999968</v>
      </c>
      <c r="S90">
        <f t="shared" si="4"/>
        <v>102.15699999999997</v>
      </c>
      <c r="T90" s="1">
        <f t="shared" si="6"/>
        <v>71.49391197411002</v>
      </c>
      <c r="U90" s="1">
        <f t="shared" si="7"/>
        <v>75.204588025889919</v>
      </c>
    </row>
    <row r="91" spans="1:21" x14ac:dyDescent="0.3">
      <c r="A91" t="s">
        <v>57</v>
      </c>
      <c r="B91" t="s">
        <v>610</v>
      </c>
      <c r="C91" t="s">
        <v>34</v>
      </c>
      <c r="D91" t="s">
        <v>35</v>
      </c>
      <c r="E91" s="2">
        <v>441.94900000000001</v>
      </c>
      <c r="F91" s="2">
        <v>0</v>
      </c>
      <c r="G91" s="2">
        <v>203.47900000000001</v>
      </c>
      <c r="H91" s="2">
        <v>-192.46600000000001</v>
      </c>
      <c r="I91" s="1">
        <v>0.96041285306675594</v>
      </c>
      <c r="J91" s="1">
        <v>0.93549368818574097</v>
      </c>
      <c r="K91" s="1">
        <v>0.83319339520577396</v>
      </c>
      <c r="L91" s="1">
        <v>0.56271314604672296</v>
      </c>
      <c r="M91" s="2"/>
      <c r="N91" s="2"/>
      <c r="P91" s="1">
        <f>I91-'Passo 1'!I91</f>
        <v>6.600195950211396E-2</v>
      </c>
      <c r="Q91" s="1">
        <f>J91-'Passo 1'!J91</f>
        <v>8.7085840221383992E-2</v>
      </c>
      <c r="R91" s="1">
        <f t="shared" si="5"/>
        <v>424.45349999999974</v>
      </c>
      <c r="S91">
        <f t="shared" si="4"/>
        <v>413.44050000000004</v>
      </c>
      <c r="T91" s="1">
        <f t="shared" si="6"/>
        <v>368.22898781779662</v>
      </c>
      <c r="U91" s="1">
        <f t="shared" si="7"/>
        <v>248.69051218220318</v>
      </c>
    </row>
    <row r="92" spans="1:21" x14ac:dyDescent="0.3">
      <c r="A92" t="s">
        <v>57</v>
      </c>
      <c r="B92" t="s">
        <v>80</v>
      </c>
      <c r="C92" t="s">
        <v>34</v>
      </c>
      <c r="D92" t="s">
        <v>35</v>
      </c>
      <c r="E92" s="2">
        <v>39.613</v>
      </c>
      <c r="F92" s="2">
        <v>0</v>
      </c>
      <c r="G92" s="2">
        <v>19.198</v>
      </c>
      <c r="H92" s="2">
        <v>-18.714500000000001</v>
      </c>
      <c r="I92" s="1">
        <v>0.98463888117537102</v>
      </c>
      <c r="J92" s="1">
        <v>0.97243329210107798</v>
      </c>
      <c r="K92" s="1">
        <v>0.87939078178464003</v>
      </c>
      <c r="L92" s="1">
        <v>0.57768139149180897</v>
      </c>
      <c r="M92" s="2"/>
      <c r="N92" s="2"/>
      <c r="P92" s="1">
        <f>I92-'Passo 1'!I92</f>
        <v>7.8307626284299992E-2</v>
      </c>
      <c r="Q92" s="1">
        <f>J92-'Passo 1'!J92</f>
        <v>4.4985232120768992E-2</v>
      </c>
      <c r="R92" s="1">
        <f t="shared" si="5"/>
        <v>39.004499999999972</v>
      </c>
      <c r="S92">
        <f t="shared" si="4"/>
        <v>38.521000000000001</v>
      </c>
      <c r="T92" s="1">
        <f t="shared" si="6"/>
        <v>34.835307038834948</v>
      </c>
      <c r="U92" s="1">
        <f t="shared" si="7"/>
        <v>22.883692961165028</v>
      </c>
    </row>
    <row r="93" spans="1:21" x14ac:dyDescent="0.3">
      <c r="A93" t="s">
        <v>57</v>
      </c>
      <c r="B93" t="s">
        <v>611</v>
      </c>
      <c r="C93" t="s">
        <v>580</v>
      </c>
      <c r="D93" t="s">
        <v>581</v>
      </c>
      <c r="E93" s="2">
        <v>85.769000000000005</v>
      </c>
      <c r="F93" s="2">
        <v>0</v>
      </c>
      <c r="G93" s="2">
        <v>41.521500000000003</v>
      </c>
      <c r="H93" s="2">
        <v>-42.8675</v>
      </c>
      <c r="I93" s="1">
        <v>0.98410847742191199</v>
      </c>
      <c r="J93" s="1">
        <v>0.99980179318868101</v>
      </c>
      <c r="K93" s="1">
        <v>0.83476840507586003</v>
      </c>
      <c r="L93" s="1">
        <v>0.64914186553473296</v>
      </c>
      <c r="M93" s="2"/>
      <c r="N93" s="2"/>
      <c r="P93" s="1">
        <f>I93-'Passo 1'!I93</f>
        <v>7.0923060779536029E-2</v>
      </c>
      <c r="Q93" s="1">
        <f>J93-'Passo 1'!J93</f>
        <v>4.8846319765883051E-2</v>
      </c>
      <c r="R93" s="1">
        <f t="shared" si="5"/>
        <v>84.405999999999977</v>
      </c>
      <c r="S93">
        <f t="shared" si="4"/>
        <v>85.751999999999981</v>
      </c>
      <c r="T93" s="1">
        <f t="shared" si="6"/>
        <v>71.597251334951437</v>
      </c>
      <c r="U93" s="1">
        <f t="shared" si="7"/>
        <v>55.676248665048519</v>
      </c>
    </row>
    <row r="94" spans="1:21" x14ac:dyDescent="0.3">
      <c r="A94" t="s">
        <v>57</v>
      </c>
      <c r="B94" t="s">
        <v>612</v>
      </c>
      <c r="C94" t="s">
        <v>580</v>
      </c>
      <c r="D94" t="s">
        <v>581</v>
      </c>
      <c r="E94" s="2">
        <v>79.474000000000004</v>
      </c>
      <c r="F94" s="2">
        <v>0</v>
      </c>
      <c r="G94" s="2">
        <v>37.577500000000001</v>
      </c>
      <c r="H94" s="2">
        <v>-39.658000000000001</v>
      </c>
      <c r="I94" s="1">
        <v>0.97282759141354402</v>
      </c>
      <c r="J94" s="1">
        <v>0.999005964214711</v>
      </c>
      <c r="K94" s="1">
        <v>0.83682724125526597</v>
      </c>
      <c r="L94" s="1">
        <v>0.63500631437298904</v>
      </c>
      <c r="M94" s="2"/>
      <c r="N94" s="2"/>
      <c r="P94" s="1">
        <f>I94-'Passo 1'!I94</f>
        <v>7.5980823917256024E-2</v>
      </c>
      <c r="Q94" s="1">
        <f>J94-'Passo 1'!J94</f>
        <v>5.7364672723154042E-2</v>
      </c>
      <c r="R94" s="1">
        <f t="shared" si="5"/>
        <v>77.314499999999995</v>
      </c>
      <c r="S94">
        <f t="shared" si="4"/>
        <v>79.394999999999939</v>
      </c>
      <c r="T94" s="1">
        <f t="shared" si="6"/>
        <v>66.506008171521017</v>
      </c>
      <c r="U94" s="1">
        <f t="shared" si="7"/>
        <v>50.466491828478937</v>
      </c>
    </row>
    <row r="95" spans="1:21" x14ac:dyDescent="0.3">
      <c r="A95" t="s">
        <v>57</v>
      </c>
      <c r="B95" t="s">
        <v>613</v>
      </c>
      <c r="C95" t="s">
        <v>580</v>
      </c>
      <c r="D95" t="s">
        <v>581</v>
      </c>
      <c r="E95" s="2">
        <v>138.23099999999999</v>
      </c>
      <c r="F95" s="2">
        <v>0</v>
      </c>
      <c r="G95" s="2">
        <v>64.171999999999997</v>
      </c>
      <c r="H95" s="2">
        <v>-66.424999999999997</v>
      </c>
      <c r="I95" s="1">
        <v>0.96423739971496902</v>
      </c>
      <c r="J95" s="1">
        <v>0.98053620389058904</v>
      </c>
      <c r="K95" s="1">
        <v>0.72752489155681099</v>
      </c>
      <c r="L95" s="1">
        <v>0.71724871204874696</v>
      </c>
      <c r="M95" s="2"/>
      <c r="N95" s="2"/>
      <c r="P95" s="1">
        <f>I95-'Passo 1'!I95</f>
        <v>8.4713269816465986E-2</v>
      </c>
      <c r="Q95" s="1">
        <f>J95-'Passo 1'!J95</f>
        <v>9.2739689360564093E-2</v>
      </c>
      <c r="R95" s="1">
        <f t="shared" si="5"/>
        <v>133.28749999999988</v>
      </c>
      <c r="S95">
        <f t="shared" si="4"/>
        <v>135.54050000000001</v>
      </c>
      <c r="T95" s="1">
        <f t="shared" si="6"/>
        <v>100.56649328478953</v>
      </c>
      <c r="U95" s="1">
        <f t="shared" si="7"/>
        <v>99.146006715210333</v>
      </c>
    </row>
    <row r="96" spans="1:21" x14ac:dyDescent="0.3">
      <c r="A96" t="s">
        <v>57</v>
      </c>
      <c r="B96" t="s">
        <v>614</v>
      </c>
      <c r="C96" t="s">
        <v>580</v>
      </c>
      <c r="D96" t="s">
        <v>581</v>
      </c>
      <c r="E96" s="2">
        <v>418.91199999999998</v>
      </c>
      <c r="F96" s="2">
        <v>0</v>
      </c>
      <c r="G96" s="2">
        <v>165.755</v>
      </c>
      <c r="H96" s="2">
        <v>-126.321</v>
      </c>
      <c r="I96" s="1">
        <v>0.89567976090443802</v>
      </c>
      <c r="J96" s="1">
        <v>0.80154543197616601</v>
      </c>
      <c r="K96" s="1">
        <v>0.725265794887898</v>
      </c>
      <c r="L96" s="1">
        <v>0.47195939799270697</v>
      </c>
      <c r="M96" s="2"/>
      <c r="N96" s="2"/>
      <c r="P96" s="1">
        <f>I96-'Passo 1'!I96</f>
        <v>8.3857707585364039E-2</v>
      </c>
      <c r="Q96" s="1">
        <f>J96-'Passo 1'!J96</f>
        <v>5.7354527919944998E-2</v>
      </c>
      <c r="R96" s="1">
        <f t="shared" si="5"/>
        <v>375.2109999999999</v>
      </c>
      <c r="S96">
        <f t="shared" si="4"/>
        <v>335.77699999999965</v>
      </c>
      <c r="T96" s="1">
        <f t="shared" si="6"/>
        <v>303.8225446680791</v>
      </c>
      <c r="U96" s="1">
        <f t="shared" si="7"/>
        <v>197.70945533192085</v>
      </c>
    </row>
    <row r="97" spans="1:21" x14ac:dyDescent="0.3">
      <c r="A97" t="s">
        <v>57</v>
      </c>
      <c r="B97" t="s">
        <v>615</v>
      </c>
      <c r="C97" t="s">
        <v>580</v>
      </c>
      <c r="D97" t="s">
        <v>581</v>
      </c>
      <c r="E97" s="2">
        <v>354.12599999999998</v>
      </c>
      <c r="F97" s="2">
        <v>0</v>
      </c>
      <c r="G97" s="2">
        <v>150.46850000000001</v>
      </c>
      <c r="H97" s="2">
        <v>-163.0685</v>
      </c>
      <c r="I97" s="1">
        <v>0.92490102392933504</v>
      </c>
      <c r="J97" s="1">
        <v>0.96048158000259698</v>
      </c>
      <c r="K97" s="1">
        <v>0.68124742631784396</v>
      </c>
      <c r="L97" s="1">
        <v>0.70413517761408895</v>
      </c>
      <c r="M97" s="2"/>
      <c r="N97" s="2"/>
      <c r="P97" s="1">
        <f>I97-'Passo 1'!I97</f>
        <v>4.2592184702620051E-2</v>
      </c>
      <c r="Q97" s="1">
        <f>J97-'Passo 1'!J97</f>
        <v>2.9876371686909931E-3</v>
      </c>
      <c r="R97" s="1">
        <f t="shared" si="5"/>
        <v>327.53149999999965</v>
      </c>
      <c r="S97">
        <f t="shared" si="4"/>
        <v>340.13149999999962</v>
      </c>
      <c r="T97" s="1">
        <f t="shared" si="6"/>
        <v>241.24742609223279</v>
      </c>
      <c r="U97" s="1">
        <f t="shared" si="7"/>
        <v>249.35257390776684</v>
      </c>
    </row>
    <row r="98" spans="1:21" x14ac:dyDescent="0.3">
      <c r="A98" t="s">
        <v>57</v>
      </c>
      <c r="B98" t="s">
        <v>616</v>
      </c>
      <c r="C98" t="s">
        <v>580</v>
      </c>
      <c r="D98" t="s">
        <v>581</v>
      </c>
      <c r="E98" s="2">
        <v>200.887</v>
      </c>
      <c r="F98" s="2">
        <v>0</v>
      </c>
      <c r="G98" s="2">
        <v>63.631500000000003</v>
      </c>
      <c r="H98" s="2">
        <v>-67.938500000000005</v>
      </c>
      <c r="I98" s="1">
        <v>0.81675270176766002</v>
      </c>
      <c r="J98" s="1">
        <v>0.83819261574915205</v>
      </c>
      <c r="K98" s="1">
        <v>0.66150622716408003</v>
      </c>
      <c r="L98" s="1">
        <v>0.49343909035273198</v>
      </c>
      <c r="M98" s="2"/>
      <c r="N98" s="2"/>
      <c r="P98" s="1">
        <f>I98-'Passo 1'!I98</f>
        <v>4.8163893133950975E-2</v>
      </c>
      <c r="Q98" s="1">
        <f>J98-'Passo 1'!J98</f>
        <v>9.6118713505603082E-2</v>
      </c>
      <c r="R98" s="1">
        <f t="shared" si="5"/>
        <v>164.07499999999993</v>
      </c>
      <c r="S98">
        <f t="shared" si="4"/>
        <v>168.38199999999992</v>
      </c>
      <c r="T98" s="1">
        <f t="shared" si="6"/>
        <v>132.88800145631055</v>
      </c>
      <c r="U98" s="1">
        <f t="shared" si="7"/>
        <v>99.125498543689275</v>
      </c>
    </row>
    <row r="99" spans="1:21" x14ac:dyDescent="0.3">
      <c r="A99" t="s">
        <v>57</v>
      </c>
      <c r="B99" t="s">
        <v>81</v>
      </c>
      <c r="C99" t="s">
        <v>34</v>
      </c>
      <c r="D99" t="s">
        <v>35</v>
      </c>
      <c r="E99" s="2">
        <v>288</v>
      </c>
      <c r="F99" s="2">
        <v>0</v>
      </c>
      <c r="G99" s="2">
        <v>135.38899999999899</v>
      </c>
      <c r="H99" s="2">
        <v>-144</v>
      </c>
      <c r="I99" s="1">
        <v>0.97010069444444402</v>
      </c>
      <c r="J99" s="1">
        <v>1</v>
      </c>
      <c r="K99" s="1">
        <v>0.89094680350659095</v>
      </c>
      <c r="L99" s="1">
        <v>0.57915389093785197</v>
      </c>
      <c r="M99" s="2"/>
      <c r="N99" s="2"/>
      <c r="P99" s="1">
        <f>I99-'Passo 1'!I99</f>
        <v>3.3887152777777985E-2</v>
      </c>
      <c r="Q99" s="1">
        <f>J99-'Passo 1'!J99</f>
        <v>0.18471527777777796</v>
      </c>
      <c r="R99" s="1">
        <f t="shared" si="5"/>
        <v>279.3889999999999</v>
      </c>
      <c r="S99">
        <f t="shared" si="4"/>
        <v>288</v>
      </c>
      <c r="T99" s="1">
        <f t="shared" si="6"/>
        <v>256.59267940989821</v>
      </c>
      <c r="U99" s="1">
        <f t="shared" si="7"/>
        <v>166.79632059010137</v>
      </c>
    </row>
    <row r="100" spans="1:21" x14ac:dyDescent="0.3">
      <c r="A100" t="s">
        <v>57</v>
      </c>
      <c r="B100" t="s">
        <v>617</v>
      </c>
      <c r="C100" t="s">
        <v>34</v>
      </c>
      <c r="D100" t="s">
        <v>35</v>
      </c>
      <c r="E100" s="2">
        <v>224.148</v>
      </c>
      <c r="F100" s="2">
        <v>0</v>
      </c>
      <c r="G100" s="2">
        <v>103.20050000000001</v>
      </c>
      <c r="H100" s="2">
        <v>-103.557999999999</v>
      </c>
      <c r="I100" s="1">
        <v>0.96041231686207296</v>
      </c>
      <c r="J100" s="1">
        <v>0.96200724521298397</v>
      </c>
      <c r="K100" s="1">
        <v>0.83199861110606999</v>
      </c>
      <c r="L100" s="1">
        <v>0.59042095096898695</v>
      </c>
      <c r="M100" s="2"/>
      <c r="N100" s="2"/>
      <c r="P100" s="1">
        <f>I100-'Passo 1'!I100</f>
        <v>0.11357228259899699</v>
      </c>
      <c r="Q100" s="1">
        <f>J100-'Passo 1'!J100</f>
        <v>0.14222745685886096</v>
      </c>
      <c r="R100" s="1">
        <f t="shared" si="5"/>
        <v>215.27449999999993</v>
      </c>
      <c r="S100">
        <f t="shared" si="4"/>
        <v>215.63199999999992</v>
      </c>
      <c r="T100" s="1">
        <f t="shared" si="6"/>
        <v>186.49082468220337</v>
      </c>
      <c r="U100" s="1">
        <f t="shared" si="7"/>
        <v>132.34167531779647</v>
      </c>
    </row>
    <row r="101" spans="1:21" x14ac:dyDescent="0.3">
      <c r="A101" t="s">
        <v>57</v>
      </c>
      <c r="B101" t="s">
        <v>82</v>
      </c>
      <c r="C101" t="s">
        <v>574</v>
      </c>
      <c r="D101" t="s">
        <v>575</v>
      </c>
      <c r="E101" s="2">
        <v>0</v>
      </c>
      <c r="F101" s="2">
        <v>0</v>
      </c>
      <c r="G101" s="2">
        <v>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M101" s="2"/>
      <c r="N101" s="2"/>
      <c r="P101" s="1">
        <f>I101-'Passo 1'!I101</f>
        <v>0</v>
      </c>
      <c r="Q101" s="1">
        <f>J101-'Passo 1'!J101</f>
        <v>0</v>
      </c>
      <c r="R101" s="1">
        <f t="shared" si="5"/>
        <v>0</v>
      </c>
      <c r="S101">
        <f t="shared" si="4"/>
        <v>0</v>
      </c>
      <c r="T101" s="1">
        <f t="shared" si="6"/>
        <v>0</v>
      </c>
      <c r="U101" s="1">
        <f t="shared" si="7"/>
        <v>0</v>
      </c>
    </row>
    <row r="102" spans="1:21" x14ac:dyDescent="0.3">
      <c r="A102" t="s">
        <v>57</v>
      </c>
      <c r="B102" t="s">
        <v>83</v>
      </c>
      <c r="C102" t="s">
        <v>34</v>
      </c>
      <c r="D102" t="s">
        <v>35</v>
      </c>
      <c r="E102" s="2">
        <v>390.44</v>
      </c>
      <c r="F102" s="2">
        <v>0</v>
      </c>
      <c r="G102" s="2">
        <v>173.05249999999899</v>
      </c>
      <c r="H102" s="2">
        <v>-151.05199999999999</v>
      </c>
      <c r="I102" s="1">
        <v>0.94322431103370497</v>
      </c>
      <c r="J102" s="1">
        <v>0.88687634463681997</v>
      </c>
      <c r="K102" s="1">
        <v>0.84473299842941196</v>
      </c>
      <c r="L102" s="1">
        <v>0.48536765724111303</v>
      </c>
      <c r="M102" s="2"/>
      <c r="N102" s="2"/>
      <c r="P102" s="1">
        <f>I102-'Passo 1'!I102</f>
        <v>3.7996875320150947E-2</v>
      </c>
      <c r="Q102" s="1">
        <f>J102-'Passo 1'!J102</f>
        <v>8.8378496055732003E-2</v>
      </c>
      <c r="R102" s="1">
        <f t="shared" si="5"/>
        <v>368.27249999999975</v>
      </c>
      <c r="S102">
        <f t="shared" si="4"/>
        <v>346.27199999999999</v>
      </c>
      <c r="T102" s="1">
        <f t="shared" si="6"/>
        <v>329.81755190677961</v>
      </c>
      <c r="U102" s="1">
        <f t="shared" si="7"/>
        <v>189.50694809322016</v>
      </c>
    </row>
    <row r="103" spans="1:21" x14ac:dyDescent="0.3">
      <c r="A103" t="s">
        <v>57</v>
      </c>
      <c r="B103" t="s">
        <v>84</v>
      </c>
      <c r="C103" t="s">
        <v>34</v>
      </c>
      <c r="D103" t="s">
        <v>35</v>
      </c>
      <c r="E103" s="2">
        <v>455.59800000000001</v>
      </c>
      <c r="F103" s="2">
        <v>0</v>
      </c>
      <c r="G103" s="2">
        <v>210.9075</v>
      </c>
      <c r="H103" s="2">
        <v>-206.065</v>
      </c>
      <c r="I103" s="1">
        <v>0.96292455190760196</v>
      </c>
      <c r="J103" s="1">
        <v>0.95229566416007005</v>
      </c>
      <c r="K103" s="1">
        <v>0.83743434417663698</v>
      </c>
      <c r="L103" s="1">
        <v>0.57778587189103603</v>
      </c>
      <c r="M103" s="2"/>
      <c r="N103" s="2"/>
      <c r="P103" s="1">
        <f>I103-'Passo 1'!I103</f>
        <v>8.938911057555099E-2</v>
      </c>
      <c r="Q103" s="1">
        <f>J103-'Passo 1'!J103</f>
        <v>9.2966826017673032E-2</v>
      </c>
      <c r="R103" s="1">
        <f t="shared" si="5"/>
        <v>438.70649999999966</v>
      </c>
      <c r="S103">
        <f t="shared" si="4"/>
        <v>433.86399999999963</v>
      </c>
      <c r="T103" s="1">
        <f t="shared" si="6"/>
        <v>381.53341233818747</v>
      </c>
      <c r="U103" s="1">
        <f t="shared" si="7"/>
        <v>263.23808766181224</v>
      </c>
    </row>
    <row r="104" spans="1:21" x14ac:dyDescent="0.3">
      <c r="A104" t="s">
        <v>57</v>
      </c>
      <c r="B104" t="s">
        <v>85</v>
      </c>
      <c r="C104" t="s">
        <v>580</v>
      </c>
      <c r="D104" t="s">
        <v>581</v>
      </c>
      <c r="E104" s="2">
        <v>232.63300000000001</v>
      </c>
      <c r="F104" s="2">
        <v>0</v>
      </c>
      <c r="G104" s="2">
        <v>69.483000000000004</v>
      </c>
      <c r="H104" s="2">
        <v>-81.381</v>
      </c>
      <c r="I104" s="1">
        <v>0.79868075466507304</v>
      </c>
      <c r="J104" s="1">
        <v>0.84982569111003103</v>
      </c>
      <c r="K104" s="1">
        <v>0.67196898810586703</v>
      </c>
      <c r="L104" s="1">
        <v>0.476537457669237</v>
      </c>
      <c r="M104" s="2"/>
      <c r="N104" s="2"/>
      <c r="P104" s="1">
        <f>I104-'Passo 1'!I104</f>
        <v>2.7691686046262043E-2</v>
      </c>
      <c r="Q104" s="1">
        <f>J104-'Passo 1'!J104</f>
        <v>0.17314396495768003</v>
      </c>
      <c r="R104" s="1">
        <f t="shared" si="5"/>
        <v>185.79949999999994</v>
      </c>
      <c r="S104">
        <f t="shared" si="4"/>
        <v>197.69749999999985</v>
      </c>
      <c r="T104" s="1">
        <f t="shared" si="6"/>
        <v>156.32216161003217</v>
      </c>
      <c r="U104" s="1">
        <f t="shared" si="7"/>
        <v>110.85833838996761</v>
      </c>
    </row>
    <row r="105" spans="1:21" x14ac:dyDescent="0.3">
      <c r="A105" t="s">
        <v>57</v>
      </c>
      <c r="B105" t="s">
        <v>86</v>
      </c>
      <c r="C105" t="s">
        <v>34</v>
      </c>
      <c r="D105" t="s">
        <v>35</v>
      </c>
      <c r="E105" s="2">
        <v>60.182000000000002</v>
      </c>
      <c r="F105" s="2">
        <v>0</v>
      </c>
      <c r="G105" s="2">
        <v>29.680999999999901</v>
      </c>
      <c r="H105" s="2">
        <v>-28.382000000000001</v>
      </c>
      <c r="I105" s="1">
        <v>0.99318733176032603</v>
      </c>
      <c r="J105" s="1">
        <v>0.97160280482536299</v>
      </c>
      <c r="K105" s="1">
        <v>0.88690100115948101</v>
      </c>
      <c r="L105" s="1">
        <v>0.57788913542620801</v>
      </c>
      <c r="M105" s="2"/>
      <c r="N105" s="2"/>
      <c r="P105" s="1">
        <f>I105-'Passo 1'!I105</f>
        <v>7.4108537436442079E-2</v>
      </c>
      <c r="Q105" s="1">
        <f>J105-'Passo 1'!J105</f>
        <v>4.1839752749991965E-2</v>
      </c>
      <c r="R105" s="1">
        <f t="shared" si="5"/>
        <v>59.771999999999942</v>
      </c>
      <c r="S105">
        <f t="shared" si="4"/>
        <v>58.472999999999999</v>
      </c>
      <c r="T105" s="1">
        <f t="shared" si="6"/>
        <v>53.375476051779884</v>
      </c>
      <c r="U105" s="1">
        <f t="shared" si="7"/>
        <v>34.778523948220055</v>
      </c>
    </row>
    <row r="106" spans="1:21" x14ac:dyDescent="0.3">
      <c r="A106" t="s">
        <v>57</v>
      </c>
      <c r="B106" t="s">
        <v>87</v>
      </c>
      <c r="C106" t="s">
        <v>34</v>
      </c>
      <c r="D106" t="s">
        <v>35</v>
      </c>
      <c r="E106" s="2">
        <v>79.507000000000005</v>
      </c>
      <c r="F106" s="2">
        <v>0</v>
      </c>
      <c r="G106" s="2">
        <v>37.17</v>
      </c>
      <c r="H106" s="2">
        <v>-37.6815</v>
      </c>
      <c r="I106" s="1">
        <v>0.96750600576049905</v>
      </c>
      <c r="J106" s="1">
        <v>0.97393940156212599</v>
      </c>
      <c r="K106" s="1">
        <v>0.85657382431422702</v>
      </c>
      <c r="L106" s="1">
        <v>0.58487158300839803</v>
      </c>
      <c r="M106" s="2"/>
      <c r="N106" s="2"/>
      <c r="P106" s="1">
        <f>I106-'Passo 1'!I106</f>
        <v>0.10654407787993603</v>
      </c>
      <c r="Q106" s="1">
        <f>J106-'Passo 1'!J106</f>
        <v>2.3639427974895044E-2</v>
      </c>
      <c r="R106" s="1">
        <f t="shared" si="5"/>
        <v>76.923500000000004</v>
      </c>
      <c r="S106">
        <f t="shared" si="4"/>
        <v>77.43499999999996</v>
      </c>
      <c r="T106" s="1">
        <f t="shared" si="6"/>
        <v>68.103615049751255</v>
      </c>
      <c r="U106" s="1">
        <f t="shared" si="7"/>
        <v>46.501384950248706</v>
      </c>
    </row>
    <row r="107" spans="1:21" x14ac:dyDescent="0.3">
      <c r="A107" t="s">
        <v>57</v>
      </c>
      <c r="B107" t="s">
        <v>88</v>
      </c>
      <c r="C107" t="s">
        <v>580</v>
      </c>
      <c r="D107" t="s">
        <v>581</v>
      </c>
      <c r="E107" s="2">
        <v>142.47999999999999</v>
      </c>
      <c r="F107" s="2">
        <v>0</v>
      </c>
      <c r="G107" s="2">
        <v>53.808999999999997</v>
      </c>
      <c r="H107" s="2">
        <v>-48.6905</v>
      </c>
      <c r="I107" s="1">
        <v>0.87766002245929198</v>
      </c>
      <c r="J107" s="1">
        <v>0.84173568220101003</v>
      </c>
      <c r="K107" s="1">
        <v>0.70777307699121805</v>
      </c>
      <c r="L107" s="1">
        <v>0.51162262766908495</v>
      </c>
      <c r="M107" s="2"/>
      <c r="N107" s="2"/>
      <c r="P107" s="1">
        <f>I107-'Passo 1'!I107</f>
        <v>5.1035233015159998E-2</v>
      </c>
      <c r="Q107" s="1">
        <f>J107-'Passo 1'!J107</f>
        <v>8.4285513756315988E-2</v>
      </c>
      <c r="R107" s="1">
        <f t="shared" si="5"/>
        <v>125.04899999999991</v>
      </c>
      <c r="S107">
        <f t="shared" si="4"/>
        <v>119.9304999999999</v>
      </c>
      <c r="T107" s="1">
        <f t="shared" si="6"/>
        <v>100.84350800970874</v>
      </c>
      <c r="U107" s="1">
        <f t="shared" si="7"/>
        <v>72.895991990291222</v>
      </c>
    </row>
    <row r="108" spans="1:21" x14ac:dyDescent="0.3">
      <c r="A108" t="s">
        <v>57</v>
      </c>
      <c r="B108" t="s">
        <v>618</v>
      </c>
      <c r="C108" t="s">
        <v>580</v>
      </c>
      <c r="D108" t="s">
        <v>581</v>
      </c>
      <c r="E108" s="2">
        <v>160.833</v>
      </c>
      <c r="F108" s="2">
        <v>0</v>
      </c>
      <c r="G108" s="2">
        <v>79.542499999999905</v>
      </c>
      <c r="H108" s="2">
        <v>-79.210999999999999</v>
      </c>
      <c r="I108" s="1">
        <v>0.99456579184619998</v>
      </c>
      <c r="J108" s="1">
        <v>0.99250464767802604</v>
      </c>
      <c r="K108" s="1">
        <v>0.83833918982718503</v>
      </c>
      <c r="L108" s="1">
        <v>0.64873124969704099</v>
      </c>
      <c r="M108" s="2"/>
      <c r="N108" s="2"/>
      <c r="P108" s="1">
        <f>I108-'Passo 1'!I108</f>
        <v>3.5968986464220976E-2</v>
      </c>
      <c r="Q108" s="1">
        <f>J108-'Passo 1'!J108</f>
        <v>2.0993825893940055E-2</v>
      </c>
      <c r="R108" s="1">
        <f t="shared" si="5"/>
        <v>159.95899999999989</v>
      </c>
      <c r="S108">
        <f t="shared" si="4"/>
        <v>159.62749999999997</v>
      </c>
      <c r="T108" s="1">
        <f t="shared" si="6"/>
        <v>134.83260691747566</v>
      </c>
      <c r="U108" s="1">
        <f t="shared" si="7"/>
        <v>104.33739308252419</v>
      </c>
    </row>
    <row r="109" spans="1:21" x14ac:dyDescent="0.3">
      <c r="A109" t="s">
        <v>57</v>
      </c>
      <c r="B109" t="s">
        <v>619</v>
      </c>
      <c r="C109" t="s">
        <v>34</v>
      </c>
      <c r="D109" t="s">
        <v>35</v>
      </c>
      <c r="E109" s="2">
        <v>160</v>
      </c>
      <c r="F109" s="2">
        <v>0</v>
      </c>
      <c r="G109" s="2">
        <v>80</v>
      </c>
      <c r="H109" s="2">
        <v>-77</v>
      </c>
      <c r="I109" s="1">
        <v>1</v>
      </c>
      <c r="J109" s="1">
        <v>0.98124999999999996</v>
      </c>
      <c r="K109" s="1">
        <v>0.89073608641788005</v>
      </c>
      <c r="L109" s="1">
        <v>0.59051391358211902</v>
      </c>
      <c r="M109" s="2"/>
      <c r="N109" s="2"/>
      <c r="P109" s="1">
        <f>I109-'Passo 1'!I109</f>
        <v>0.11120625000000095</v>
      </c>
      <c r="Q109" s="1">
        <f>J109-'Passo 1'!J109</f>
        <v>9.3749999999999112E-3</v>
      </c>
      <c r="R109" s="1">
        <f t="shared" si="5"/>
        <v>160</v>
      </c>
      <c r="S109">
        <f t="shared" si="4"/>
        <v>157</v>
      </c>
      <c r="T109" s="1">
        <f t="shared" si="6"/>
        <v>142.5177738268608</v>
      </c>
      <c r="U109" s="1">
        <f t="shared" si="7"/>
        <v>94.48222617313904</v>
      </c>
    </row>
    <row r="110" spans="1:21" x14ac:dyDescent="0.3">
      <c r="A110" t="s">
        <v>57</v>
      </c>
      <c r="B110" t="s">
        <v>620</v>
      </c>
      <c r="C110" t="s">
        <v>580</v>
      </c>
      <c r="D110" t="s">
        <v>581</v>
      </c>
      <c r="E110" s="2">
        <v>139.46600000000001</v>
      </c>
      <c r="F110" s="2">
        <v>0</v>
      </c>
      <c r="G110" s="2">
        <v>66.570999999999998</v>
      </c>
      <c r="H110" s="2">
        <v>-50.912999999999997</v>
      </c>
      <c r="I110" s="1">
        <v>0.97732780749429904</v>
      </c>
      <c r="J110" s="1">
        <v>0.86505671633229597</v>
      </c>
      <c r="K110" s="1">
        <v>0.76220926901625696</v>
      </c>
      <c r="L110" s="1">
        <v>0.58017525481033805</v>
      </c>
      <c r="M110" s="2"/>
      <c r="N110" s="2"/>
      <c r="P110" s="1">
        <f>I110-'Passo 1'!I110</f>
        <v>0.15145626891141906</v>
      </c>
      <c r="Q110" s="1">
        <f>J110-'Passo 1'!J110</f>
        <v>9.1140493023390001E-2</v>
      </c>
      <c r="R110" s="1">
        <f t="shared" si="5"/>
        <v>136.30399999999992</v>
      </c>
      <c r="S110">
        <f t="shared" si="4"/>
        <v>120.646</v>
      </c>
      <c r="T110" s="1">
        <f t="shared" si="6"/>
        <v>106.30227791262131</v>
      </c>
      <c r="U110" s="1">
        <f t="shared" si="7"/>
        <v>80.914722087378607</v>
      </c>
    </row>
    <row r="111" spans="1:21" x14ac:dyDescent="0.3">
      <c r="A111" t="s">
        <v>57</v>
      </c>
      <c r="B111" t="s">
        <v>89</v>
      </c>
      <c r="C111" t="s">
        <v>580</v>
      </c>
      <c r="D111" t="s">
        <v>581</v>
      </c>
      <c r="E111" s="2">
        <v>86.331000000000003</v>
      </c>
      <c r="F111" s="2">
        <v>0</v>
      </c>
      <c r="G111" s="2">
        <v>36.737499999999997</v>
      </c>
      <c r="H111" s="2">
        <v>-41.918500000000002</v>
      </c>
      <c r="I111" s="1">
        <v>0.92554238917654097</v>
      </c>
      <c r="J111" s="1">
        <v>0.98555559416663696</v>
      </c>
      <c r="K111" s="1">
        <v>0.73475269123928399</v>
      </c>
      <c r="L111" s="1">
        <v>0.67634529210389405</v>
      </c>
      <c r="M111" s="2"/>
      <c r="N111" s="2"/>
      <c r="P111" s="1">
        <f>I111-'Passo 1'!I111</f>
        <v>1.9181985613510921E-2</v>
      </c>
      <c r="Q111" s="1">
        <f>J111-'Passo 1'!J111</f>
        <v>2.0265026467896963E-2</v>
      </c>
      <c r="R111" s="1">
        <f t="shared" si="5"/>
        <v>79.902999999999963</v>
      </c>
      <c r="S111">
        <f t="shared" si="4"/>
        <v>85.083999999999932</v>
      </c>
      <c r="T111" s="1">
        <f t="shared" si="6"/>
        <v>63.431934587378628</v>
      </c>
      <c r="U111" s="1">
        <f t="shared" si="7"/>
        <v>58.38956541262128</v>
      </c>
    </row>
    <row r="112" spans="1:21" x14ac:dyDescent="0.3">
      <c r="A112" t="s">
        <v>57</v>
      </c>
      <c r="B112" t="s">
        <v>621</v>
      </c>
      <c r="C112" t="s">
        <v>580</v>
      </c>
      <c r="D112" t="s">
        <v>581</v>
      </c>
      <c r="E112" s="2">
        <v>56.652000000000001</v>
      </c>
      <c r="F112" s="2">
        <v>0</v>
      </c>
      <c r="G112" s="2">
        <v>27.839500000000001</v>
      </c>
      <c r="H112" s="2">
        <v>-27.873999999999999</v>
      </c>
      <c r="I112" s="1">
        <v>0.99141248323095299</v>
      </c>
      <c r="J112" s="1">
        <v>0.99202146437901495</v>
      </c>
      <c r="K112" s="1">
        <v>0.74264169129896995</v>
      </c>
      <c r="L112" s="1">
        <v>0.74079225631099899</v>
      </c>
      <c r="M112" s="2"/>
      <c r="N112" s="2"/>
      <c r="P112" s="1">
        <f>I112-'Passo 1'!I112</f>
        <v>4.6044270281719979E-2</v>
      </c>
      <c r="Q112" s="1">
        <f>J112-'Passo 1'!J112</f>
        <v>3.0952128786273958E-2</v>
      </c>
      <c r="R112" s="1">
        <f t="shared" si="5"/>
        <v>56.165499999999952</v>
      </c>
      <c r="S112">
        <f t="shared" si="4"/>
        <v>56.199999999999953</v>
      </c>
      <c r="T112" s="1">
        <f t="shared" si="6"/>
        <v>42.072137095469245</v>
      </c>
      <c r="U112" s="1">
        <f t="shared" si="7"/>
        <v>41.967362904530717</v>
      </c>
    </row>
    <row r="113" spans="1:21" x14ac:dyDescent="0.3">
      <c r="A113" t="s">
        <v>57</v>
      </c>
      <c r="B113" t="s">
        <v>622</v>
      </c>
      <c r="C113" t="s">
        <v>580</v>
      </c>
      <c r="D113" t="s">
        <v>581</v>
      </c>
      <c r="E113" s="2">
        <v>87.088999999999999</v>
      </c>
      <c r="F113" s="2">
        <v>0</v>
      </c>
      <c r="G113" s="2">
        <v>40.361499999999999</v>
      </c>
      <c r="H113" s="2">
        <v>-41.844499999999996</v>
      </c>
      <c r="I113" s="1">
        <v>0.96345118212403402</v>
      </c>
      <c r="J113" s="1">
        <v>0.98047973911745401</v>
      </c>
      <c r="K113" s="1">
        <v>0.82213325617757904</v>
      </c>
      <c r="L113" s="1">
        <v>0.62179766506390899</v>
      </c>
      <c r="M113" s="2"/>
      <c r="N113" s="2"/>
      <c r="P113" s="1">
        <f>I113-'Passo 1'!I113</f>
        <v>6.8504633191333042E-2</v>
      </c>
      <c r="Q113" s="1">
        <f>J113-'Passo 1'!J113</f>
        <v>3.7352593324071037E-2</v>
      </c>
      <c r="R113" s="1">
        <f t="shared" si="5"/>
        <v>83.905999999999992</v>
      </c>
      <c r="S113">
        <f t="shared" si="4"/>
        <v>85.388999999999953</v>
      </c>
      <c r="T113" s="1">
        <f t="shared" si="6"/>
        <v>71.598763147249187</v>
      </c>
      <c r="U113" s="1">
        <f t="shared" si="7"/>
        <v>54.151736852750766</v>
      </c>
    </row>
    <row r="114" spans="1:21" x14ac:dyDescent="0.3">
      <c r="A114" t="s">
        <v>57</v>
      </c>
      <c r="B114" t="s">
        <v>623</v>
      </c>
      <c r="C114" t="s">
        <v>580</v>
      </c>
      <c r="D114" t="s">
        <v>581</v>
      </c>
      <c r="E114" s="2">
        <v>49.572000000000003</v>
      </c>
      <c r="F114" s="2">
        <v>0</v>
      </c>
      <c r="G114" s="2">
        <v>23.691500000000001</v>
      </c>
      <c r="H114" s="2">
        <v>-24.7545</v>
      </c>
      <c r="I114" s="1">
        <v>0.97792100379246305</v>
      </c>
      <c r="J114" s="1">
        <v>0.99936456063906998</v>
      </c>
      <c r="K114" s="1">
        <v>0.81715921132793101</v>
      </c>
      <c r="L114" s="1">
        <v>0.66012635310360201</v>
      </c>
      <c r="M114" s="2"/>
      <c r="N114" s="2"/>
      <c r="P114" s="1">
        <f>I114-'Passo 1'!I114</f>
        <v>4.2039861211974006E-2</v>
      </c>
      <c r="Q114" s="1">
        <f>J114-'Passo 1'!J114</f>
        <v>6.1082869361736014E-2</v>
      </c>
      <c r="R114" s="1">
        <f t="shared" si="5"/>
        <v>48.477499999999978</v>
      </c>
      <c r="S114">
        <f t="shared" si="4"/>
        <v>49.54049999999998</v>
      </c>
      <c r="T114" s="1">
        <f t="shared" si="6"/>
        <v>40.508216423948198</v>
      </c>
      <c r="U114" s="1">
        <f t="shared" si="7"/>
        <v>32.723783576051758</v>
      </c>
    </row>
    <row r="115" spans="1:21" x14ac:dyDescent="0.3">
      <c r="A115" t="s">
        <v>57</v>
      </c>
      <c r="B115" t="s">
        <v>624</v>
      </c>
      <c r="C115" t="s">
        <v>580</v>
      </c>
      <c r="D115" t="s">
        <v>581</v>
      </c>
      <c r="E115" s="2">
        <v>190.82</v>
      </c>
      <c r="F115" s="2">
        <v>0</v>
      </c>
      <c r="G115" s="2">
        <v>90.241500000000002</v>
      </c>
      <c r="H115" s="2">
        <v>-92.885000000000005</v>
      </c>
      <c r="I115" s="1">
        <v>0.97291426475212195</v>
      </c>
      <c r="J115" s="1">
        <v>0.98676763441987203</v>
      </c>
      <c r="K115" s="1">
        <v>0.82972347722958395</v>
      </c>
      <c r="L115" s="1">
        <v>0.62995842194241003</v>
      </c>
      <c r="M115" s="2"/>
      <c r="N115" s="2"/>
      <c r="P115" s="1">
        <f>I115-'Passo 1'!I115</f>
        <v>3.78629074520489E-2</v>
      </c>
      <c r="Q115" s="1">
        <f>J115-'Passo 1'!J115</f>
        <v>5.8570904517347033E-2</v>
      </c>
      <c r="R115" s="1">
        <f t="shared" si="5"/>
        <v>185.65149999999991</v>
      </c>
      <c r="S115">
        <f t="shared" si="4"/>
        <v>188.29499999999999</v>
      </c>
      <c r="T115" s="1">
        <f t="shared" si="6"/>
        <v>158.3278339249492</v>
      </c>
      <c r="U115" s="1">
        <f t="shared" si="7"/>
        <v>120.20866607505067</v>
      </c>
    </row>
    <row r="116" spans="1:21" x14ac:dyDescent="0.3">
      <c r="A116" t="s">
        <v>57</v>
      </c>
      <c r="B116" t="s">
        <v>625</v>
      </c>
      <c r="C116" t="s">
        <v>580</v>
      </c>
      <c r="D116" t="s">
        <v>581</v>
      </c>
      <c r="E116" s="2">
        <v>177.047</v>
      </c>
      <c r="F116" s="2">
        <v>0</v>
      </c>
      <c r="G116" s="2">
        <v>83.718000000000004</v>
      </c>
      <c r="H116" s="2">
        <v>-80.736499999999893</v>
      </c>
      <c r="I116" s="1">
        <v>0.97285748981908704</v>
      </c>
      <c r="J116" s="1">
        <v>0.95601732873191803</v>
      </c>
      <c r="K116" s="1">
        <v>0.75748122771890003</v>
      </c>
      <c r="L116" s="1">
        <v>0.67139359083210504</v>
      </c>
      <c r="M116" s="2"/>
      <c r="N116" s="2"/>
      <c r="P116" s="1">
        <f>I116-'Passo 1'!I116</f>
        <v>7.5141064237180033E-2</v>
      </c>
      <c r="Q116" s="1">
        <f>J116-'Passo 1'!J116</f>
        <v>4.3655074641197E-2</v>
      </c>
      <c r="R116" s="1">
        <f t="shared" si="5"/>
        <v>172.24149999999989</v>
      </c>
      <c r="S116">
        <f t="shared" si="4"/>
        <v>169.25999999999988</v>
      </c>
      <c r="T116" s="1">
        <f t="shared" si="6"/>
        <v>134.10977892394808</v>
      </c>
      <c r="U116" s="1">
        <f t="shared" si="7"/>
        <v>118.8682210760517</v>
      </c>
    </row>
    <row r="117" spans="1:21" x14ac:dyDescent="0.3">
      <c r="A117" t="s">
        <v>57</v>
      </c>
      <c r="B117" t="s">
        <v>90</v>
      </c>
      <c r="C117" t="s">
        <v>580</v>
      </c>
      <c r="D117" t="s">
        <v>581</v>
      </c>
      <c r="E117" s="2">
        <v>584.71699999999998</v>
      </c>
      <c r="F117" s="2">
        <v>0</v>
      </c>
      <c r="G117" s="2">
        <v>233.0745</v>
      </c>
      <c r="H117" s="2">
        <v>-199.98699999999999</v>
      </c>
      <c r="I117" s="1">
        <v>0.89861078094189095</v>
      </c>
      <c r="J117" s="1">
        <v>0.84202357721769605</v>
      </c>
      <c r="K117" s="1">
        <v>0.73220794138992995</v>
      </c>
      <c r="L117" s="1">
        <v>0.50842641676965805</v>
      </c>
      <c r="M117" s="2"/>
      <c r="N117" s="2"/>
      <c r="P117" s="1">
        <f>I117-'Passo 1'!I117</f>
        <v>0.13156877600617001</v>
      </c>
      <c r="Q117" s="1">
        <f>J117-'Passo 1'!J117</f>
        <v>7.6678974615070006E-2</v>
      </c>
      <c r="R117" s="1">
        <f t="shared" si="5"/>
        <v>525.43299999999965</v>
      </c>
      <c r="S117">
        <f t="shared" si="4"/>
        <v>492.34549999999956</v>
      </c>
      <c r="T117" s="1">
        <f t="shared" si="6"/>
        <v>428.13443086569566</v>
      </c>
      <c r="U117" s="1">
        <f t="shared" si="7"/>
        <v>297.28556913430413</v>
      </c>
    </row>
    <row r="118" spans="1:21" x14ac:dyDescent="0.3">
      <c r="A118" t="s">
        <v>57</v>
      </c>
      <c r="B118" t="s">
        <v>91</v>
      </c>
      <c r="C118" t="s">
        <v>580</v>
      </c>
      <c r="D118" t="s">
        <v>581</v>
      </c>
      <c r="E118" s="2">
        <v>59.27</v>
      </c>
      <c r="F118" s="2">
        <v>0</v>
      </c>
      <c r="G118" s="2">
        <v>26.386500000000002</v>
      </c>
      <c r="H118" s="2">
        <v>-28.37</v>
      </c>
      <c r="I118" s="1">
        <v>0.94519149654125101</v>
      </c>
      <c r="J118" s="1">
        <v>0.97865699341994195</v>
      </c>
      <c r="K118" s="1">
        <v>0.75960217366852201</v>
      </c>
      <c r="L118" s="1">
        <v>0.66424631629267195</v>
      </c>
      <c r="M118" s="2"/>
      <c r="N118" s="2"/>
      <c r="P118" s="1">
        <f>I118-'Passo 1'!I118</f>
        <v>0.11681289016365703</v>
      </c>
      <c r="Q118" s="1">
        <f>J118-'Passo 1'!J118</f>
        <v>7.078623249535998E-2</v>
      </c>
      <c r="R118" s="1">
        <f t="shared" si="5"/>
        <v>56.021499999999953</v>
      </c>
      <c r="S118">
        <f t="shared" si="4"/>
        <v>58.00499999999996</v>
      </c>
      <c r="T118" s="1">
        <f t="shared" si="6"/>
        <v>45.021620833333301</v>
      </c>
      <c r="U118" s="1">
        <f t="shared" si="7"/>
        <v>39.369879166666671</v>
      </c>
    </row>
    <row r="119" spans="1:21" x14ac:dyDescent="0.3">
      <c r="A119" t="s">
        <v>57</v>
      </c>
      <c r="B119" t="s">
        <v>92</v>
      </c>
      <c r="C119" t="s">
        <v>580</v>
      </c>
      <c r="D119" t="s">
        <v>581</v>
      </c>
      <c r="E119" s="2">
        <v>86.406999999999996</v>
      </c>
      <c r="F119" s="2">
        <v>0</v>
      </c>
      <c r="G119" s="2">
        <v>33.045000000000002</v>
      </c>
      <c r="H119" s="2">
        <v>-34.796999999999997</v>
      </c>
      <c r="I119" s="1">
        <v>0.88243429351788605</v>
      </c>
      <c r="J119" s="1">
        <v>0.90271042855324202</v>
      </c>
      <c r="K119" s="1">
        <v>0.69619258043601295</v>
      </c>
      <c r="L119" s="1">
        <v>0.588952141635114</v>
      </c>
      <c r="M119" s="2"/>
      <c r="N119" s="2"/>
      <c r="P119" s="1">
        <f>I119-'Passo 1'!I119</f>
        <v>0.11591653454002604</v>
      </c>
      <c r="Q119" s="1">
        <f>J119-'Passo 1'!J119</f>
        <v>4.742671311352098E-2</v>
      </c>
      <c r="R119" s="1">
        <f t="shared" si="5"/>
        <v>76.248499999999979</v>
      </c>
      <c r="S119">
        <f t="shared" si="4"/>
        <v>78.000499999999974</v>
      </c>
      <c r="T119" s="1">
        <f t="shared" si="6"/>
        <v>60.155912297734567</v>
      </c>
      <c r="U119" s="1">
        <f t="shared" si="7"/>
        <v>50.889587702265295</v>
      </c>
    </row>
    <row r="120" spans="1:21" x14ac:dyDescent="0.3">
      <c r="A120" t="s">
        <v>57</v>
      </c>
      <c r="B120" t="s">
        <v>93</v>
      </c>
      <c r="C120" t="s">
        <v>580</v>
      </c>
      <c r="D120" t="s">
        <v>581</v>
      </c>
      <c r="E120" s="2">
        <v>77.662000000000006</v>
      </c>
      <c r="F120" s="2">
        <v>0</v>
      </c>
      <c r="G120" s="2">
        <v>34.164499999999997</v>
      </c>
      <c r="H120" s="2">
        <v>-34.582000000000001</v>
      </c>
      <c r="I120" s="1">
        <v>0.93991269861708404</v>
      </c>
      <c r="J120" s="1">
        <v>0.94528855811078705</v>
      </c>
      <c r="K120" s="1">
        <v>0.68905356224162395</v>
      </c>
      <c r="L120" s="1">
        <v>0.69614769448624703</v>
      </c>
      <c r="M120" s="2"/>
      <c r="N120" s="2"/>
      <c r="P120" s="1">
        <f>I120-'Passo 1'!I120</f>
        <v>0.1016391542839491</v>
      </c>
      <c r="Q120" s="1">
        <f>J120-'Passo 1'!J120</f>
        <v>6.9177976359094062E-2</v>
      </c>
      <c r="R120" s="1">
        <f t="shared" si="5"/>
        <v>72.995499999999993</v>
      </c>
      <c r="S120">
        <f t="shared" si="4"/>
        <v>73.412999999999954</v>
      </c>
      <c r="T120" s="1">
        <f t="shared" si="6"/>
        <v>53.513277750809003</v>
      </c>
      <c r="U120" s="1">
        <f t="shared" si="7"/>
        <v>54.064222249190919</v>
      </c>
    </row>
    <row r="121" spans="1:21" x14ac:dyDescent="0.3">
      <c r="A121" t="s">
        <v>57</v>
      </c>
      <c r="B121" t="s">
        <v>626</v>
      </c>
      <c r="C121" t="s">
        <v>34</v>
      </c>
      <c r="D121" t="s">
        <v>35</v>
      </c>
      <c r="E121" s="2">
        <v>185.143</v>
      </c>
      <c r="F121" s="2">
        <v>0</v>
      </c>
      <c r="G121" s="2">
        <v>59.003</v>
      </c>
      <c r="H121" s="2">
        <v>-70.1965</v>
      </c>
      <c r="I121" s="1">
        <v>0.81868879730802602</v>
      </c>
      <c r="J121" s="1">
        <v>0.87914746979361902</v>
      </c>
      <c r="K121" s="1">
        <v>0.74644443208046296</v>
      </c>
      <c r="L121" s="1">
        <v>0.45139183502118202</v>
      </c>
      <c r="M121" s="2"/>
      <c r="N121" s="2"/>
      <c r="P121" s="1">
        <f>I121-'Passo 1'!I121</f>
        <v>2.7041259999027067E-2</v>
      </c>
      <c r="Q121" s="1">
        <f>J121-'Passo 1'!J121</f>
        <v>9.6976391221921032E-2</v>
      </c>
      <c r="R121" s="1">
        <f t="shared" si="5"/>
        <v>151.57449999999986</v>
      </c>
      <c r="S121">
        <f t="shared" si="4"/>
        <v>162.768</v>
      </c>
      <c r="T121" s="1">
        <f t="shared" si="6"/>
        <v>138.19896148867315</v>
      </c>
      <c r="U121" s="1">
        <f t="shared" si="7"/>
        <v>83.57203851132671</v>
      </c>
    </row>
    <row r="122" spans="1:21" x14ac:dyDescent="0.3">
      <c r="A122" t="s">
        <v>57</v>
      </c>
      <c r="B122" t="s">
        <v>94</v>
      </c>
      <c r="C122" t="s">
        <v>580</v>
      </c>
      <c r="D122" t="s">
        <v>581</v>
      </c>
      <c r="E122" s="2">
        <v>164.011</v>
      </c>
      <c r="F122" s="2">
        <v>0</v>
      </c>
      <c r="G122" s="2">
        <v>67.523499999999999</v>
      </c>
      <c r="H122" s="2">
        <v>-68.997</v>
      </c>
      <c r="I122" s="1">
        <v>0.91170104444214095</v>
      </c>
      <c r="J122" s="1">
        <v>0.92068519794404002</v>
      </c>
      <c r="K122" s="1">
        <v>0.69401725344059395</v>
      </c>
      <c r="L122" s="1">
        <v>0.63836898894558702</v>
      </c>
      <c r="M122" s="2"/>
      <c r="N122" s="2"/>
      <c r="P122" s="1">
        <f>I122-'Passo 1'!I122</f>
        <v>7.612599154934796E-2</v>
      </c>
      <c r="Q122" s="1">
        <f>J122-'Passo 1'!J122</f>
        <v>3.9710751108158027E-2</v>
      </c>
      <c r="R122" s="1">
        <f t="shared" si="5"/>
        <v>149.52899999999997</v>
      </c>
      <c r="S122">
        <f t="shared" si="4"/>
        <v>151.00249999999994</v>
      </c>
      <c r="T122" s="1">
        <f t="shared" si="6"/>
        <v>113.82646375404525</v>
      </c>
      <c r="U122" s="1">
        <f t="shared" si="7"/>
        <v>104.69953624595468</v>
      </c>
    </row>
    <row r="123" spans="1:21" x14ac:dyDescent="0.3">
      <c r="A123" t="s">
        <v>57</v>
      </c>
      <c r="B123" t="s">
        <v>95</v>
      </c>
      <c r="C123" t="s">
        <v>580</v>
      </c>
      <c r="D123" t="s">
        <v>581</v>
      </c>
      <c r="E123" s="2">
        <v>515</v>
      </c>
      <c r="F123" s="2">
        <v>0</v>
      </c>
      <c r="G123" s="2">
        <v>125.265</v>
      </c>
      <c r="H123" s="2">
        <v>-205.5</v>
      </c>
      <c r="I123" s="1">
        <v>0.74323300970873696</v>
      </c>
      <c r="J123" s="1">
        <v>0.89902912621359199</v>
      </c>
      <c r="K123" s="1">
        <v>0.60964979660852503</v>
      </c>
      <c r="L123" s="1">
        <v>0.53261233931380503</v>
      </c>
      <c r="M123" s="2"/>
      <c r="N123" s="2"/>
      <c r="P123" s="1">
        <f>I123-'Passo 1'!I123</f>
        <v>-3.9873786407770284E-3</v>
      </c>
      <c r="Q123" s="1">
        <f>J123-'Passo 1'!J123</f>
        <v>0</v>
      </c>
      <c r="R123" s="1">
        <f t="shared" si="5"/>
        <v>382.76499999999953</v>
      </c>
      <c r="S123">
        <f t="shared" si="4"/>
        <v>462.99999999999989</v>
      </c>
      <c r="T123" s="1">
        <f t="shared" si="6"/>
        <v>313.96964525339041</v>
      </c>
      <c r="U123" s="1">
        <f t="shared" si="7"/>
        <v>274.29535474660958</v>
      </c>
    </row>
    <row r="124" spans="1:21" x14ac:dyDescent="0.3">
      <c r="A124" t="s">
        <v>57</v>
      </c>
      <c r="B124" t="s">
        <v>96</v>
      </c>
      <c r="C124" t="s">
        <v>580</v>
      </c>
      <c r="D124" t="s">
        <v>581</v>
      </c>
      <c r="E124" s="2">
        <v>346.928</v>
      </c>
      <c r="F124" s="2">
        <v>0</v>
      </c>
      <c r="G124" s="2">
        <v>147.7705</v>
      </c>
      <c r="H124" s="2">
        <v>-161.428</v>
      </c>
      <c r="I124" s="1">
        <v>0.92593996448830795</v>
      </c>
      <c r="J124" s="1">
        <v>0.96530692247382699</v>
      </c>
      <c r="K124" s="1">
        <v>0.68627920801545705</v>
      </c>
      <c r="L124" s="1">
        <v>0.704967678946678</v>
      </c>
      <c r="M124" s="2"/>
      <c r="N124" s="2"/>
      <c r="P124" s="1">
        <f>I124-'Passo 1'!I124</f>
        <v>-1.1812249227506011E-2</v>
      </c>
      <c r="Q124" s="1">
        <f>J124-'Passo 1'!J124</f>
        <v>2.7554708758013025E-2</v>
      </c>
      <c r="R124" s="1">
        <f t="shared" si="5"/>
        <v>321.23449999999968</v>
      </c>
      <c r="S124">
        <f t="shared" si="4"/>
        <v>334.89199999999983</v>
      </c>
      <c r="T124" s="1">
        <f t="shared" si="6"/>
        <v>238.08947307838648</v>
      </c>
      <c r="U124" s="1">
        <f t="shared" si="7"/>
        <v>244.57302692161309</v>
      </c>
    </row>
    <row r="125" spans="1:21" x14ac:dyDescent="0.3">
      <c r="A125" t="s">
        <v>57</v>
      </c>
      <c r="B125" t="s">
        <v>97</v>
      </c>
      <c r="C125" t="s">
        <v>580</v>
      </c>
      <c r="D125" t="s">
        <v>581</v>
      </c>
      <c r="E125" s="2">
        <v>175.381</v>
      </c>
      <c r="F125" s="2">
        <v>0</v>
      </c>
      <c r="G125" s="2">
        <v>44.177999999999997</v>
      </c>
      <c r="H125" s="2">
        <v>-37.265500000000003</v>
      </c>
      <c r="I125" s="1">
        <v>0.75189729788289394</v>
      </c>
      <c r="J125" s="1">
        <v>0.71248310820442295</v>
      </c>
      <c r="K125" s="1">
        <v>0.65959746832457899</v>
      </c>
      <c r="L125" s="1">
        <v>0.30478293776273901</v>
      </c>
      <c r="M125" s="2"/>
      <c r="N125" s="2"/>
      <c r="P125" s="1">
        <f>I125-'Passo 1'!I125</f>
        <v>4.3371288794110896E-2</v>
      </c>
      <c r="Q125" s="1">
        <f>J125-'Passo 1'!J125</f>
        <v>6.2888796391854962E-2</v>
      </c>
      <c r="R125" s="1">
        <f t="shared" si="5"/>
        <v>131.86849999999981</v>
      </c>
      <c r="S125">
        <f t="shared" si="4"/>
        <v>124.9559999999999</v>
      </c>
      <c r="T125" s="1">
        <f t="shared" si="6"/>
        <v>115.680863592233</v>
      </c>
      <c r="U125" s="1">
        <f t="shared" si="7"/>
        <v>53.453136407766934</v>
      </c>
    </row>
    <row r="126" spans="1:21" x14ac:dyDescent="0.3">
      <c r="A126" t="s">
        <v>57</v>
      </c>
      <c r="B126" t="s">
        <v>98</v>
      </c>
      <c r="C126" t="s">
        <v>580</v>
      </c>
      <c r="D126" t="s">
        <v>581</v>
      </c>
      <c r="E126" s="2">
        <v>97.926000000000002</v>
      </c>
      <c r="F126" s="2">
        <v>0</v>
      </c>
      <c r="G126" s="2">
        <v>45.349499999999999</v>
      </c>
      <c r="H126" s="2">
        <v>-48.595999999999997</v>
      </c>
      <c r="I126" s="1">
        <v>0.96309968751914699</v>
      </c>
      <c r="J126" s="1">
        <v>0.99625227212384804</v>
      </c>
      <c r="K126" s="1">
        <v>0.74870887580589696</v>
      </c>
      <c r="L126" s="1">
        <v>0.71064308383709796</v>
      </c>
      <c r="M126" s="2"/>
      <c r="N126" s="2"/>
      <c r="P126" s="1">
        <f>I126-'Passo 1'!I126</f>
        <v>4.4181320589017026E-2</v>
      </c>
      <c r="Q126" s="1">
        <f>J126-'Passo 1'!J126</f>
        <v>3.2141617139473055E-2</v>
      </c>
      <c r="R126" s="1">
        <f t="shared" si="5"/>
        <v>94.312499999999986</v>
      </c>
      <c r="S126">
        <f t="shared" si="4"/>
        <v>97.558999999999941</v>
      </c>
      <c r="T126" s="1">
        <f t="shared" si="6"/>
        <v>73.318065372168263</v>
      </c>
      <c r="U126" s="1">
        <f t="shared" si="7"/>
        <v>69.590434627831655</v>
      </c>
    </row>
    <row r="127" spans="1:21" x14ac:dyDescent="0.3">
      <c r="A127" t="s">
        <v>57</v>
      </c>
      <c r="B127" t="s">
        <v>627</v>
      </c>
      <c r="C127" t="s">
        <v>580</v>
      </c>
      <c r="D127" t="s">
        <v>581</v>
      </c>
      <c r="E127" s="2">
        <v>86.262</v>
      </c>
      <c r="F127" s="2">
        <v>0</v>
      </c>
      <c r="G127" s="2">
        <v>41.222499999999997</v>
      </c>
      <c r="H127" s="2">
        <v>-43.131</v>
      </c>
      <c r="I127" s="1">
        <v>0.97787554195358295</v>
      </c>
      <c r="J127" s="1">
        <v>1</v>
      </c>
      <c r="K127" s="1">
        <v>0.80447535470662801</v>
      </c>
      <c r="L127" s="1">
        <v>0.67340018724695405</v>
      </c>
      <c r="M127" s="2"/>
      <c r="N127" s="2"/>
      <c r="P127" s="1">
        <f>I127-'Passo 1'!I127</f>
        <v>4.217384247988698E-2</v>
      </c>
      <c r="Q127" s="1">
        <f>J127-'Passo 1'!J127</f>
        <v>9.8618163270038028E-2</v>
      </c>
      <c r="R127" s="1">
        <f t="shared" si="5"/>
        <v>84.353499999999968</v>
      </c>
      <c r="S127">
        <f t="shared" si="4"/>
        <v>86.262</v>
      </c>
      <c r="T127" s="1">
        <f t="shared" si="6"/>
        <v>69.395653047703149</v>
      </c>
      <c r="U127" s="1">
        <f t="shared" si="7"/>
        <v>58.088846952296748</v>
      </c>
    </row>
    <row r="128" spans="1:21" x14ac:dyDescent="0.3">
      <c r="A128" t="s">
        <v>57</v>
      </c>
      <c r="B128" t="s">
        <v>628</v>
      </c>
      <c r="C128" t="s">
        <v>580</v>
      </c>
      <c r="D128" t="s">
        <v>581</v>
      </c>
      <c r="E128" s="2">
        <v>106.66800000000001</v>
      </c>
      <c r="F128" s="2">
        <v>0</v>
      </c>
      <c r="G128" s="2">
        <v>37.999499999999998</v>
      </c>
      <c r="H128" s="2">
        <v>-36.317</v>
      </c>
      <c r="I128" s="1">
        <v>0.85624085948925599</v>
      </c>
      <c r="J128" s="1">
        <v>0.84046761915475998</v>
      </c>
      <c r="K128" s="1">
        <v>0.67264287382087296</v>
      </c>
      <c r="L128" s="1">
        <v>0.52406560482314302</v>
      </c>
      <c r="M128" s="2"/>
      <c r="N128" s="2"/>
      <c r="P128" s="1">
        <f>I128-'Passo 1'!I128</f>
        <v>9.7409719878501999E-2</v>
      </c>
      <c r="Q128" s="1">
        <f>J128-'Passo 1'!J128</f>
        <v>2.0024749690628951E-2</v>
      </c>
      <c r="R128" s="1">
        <f t="shared" si="5"/>
        <v>91.333499999999958</v>
      </c>
      <c r="S128">
        <f t="shared" si="4"/>
        <v>89.650999999999939</v>
      </c>
      <c r="T128" s="1">
        <f t="shared" si="6"/>
        <v>71.749470064724875</v>
      </c>
      <c r="U128" s="1">
        <f t="shared" si="7"/>
        <v>55.90102993527502</v>
      </c>
    </row>
    <row r="129" spans="1:21" x14ac:dyDescent="0.3">
      <c r="A129" t="s">
        <v>57</v>
      </c>
      <c r="B129" t="s">
        <v>99</v>
      </c>
      <c r="C129" t="s">
        <v>580</v>
      </c>
      <c r="D129" t="s">
        <v>581</v>
      </c>
      <c r="E129" s="2">
        <v>80.138999999999996</v>
      </c>
      <c r="F129" s="2">
        <v>0</v>
      </c>
      <c r="G129" s="2">
        <v>31.4175</v>
      </c>
      <c r="H129" s="2">
        <v>-31.830500000000001</v>
      </c>
      <c r="I129" s="1">
        <v>0.892037584696589</v>
      </c>
      <c r="J129" s="1">
        <v>0.89719113041091103</v>
      </c>
      <c r="K129" s="1">
        <v>0.75179889252698495</v>
      </c>
      <c r="L129" s="1">
        <v>0.53742982258051497</v>
      </c>
      <c r="M129" s="2"/>
      <c r="N129" s="2"/>
      <c r="P129" s="1">
        <f>I129-'Passo 1'!I129</f>
        <v>7.1064026254383017E-2</v>
      </c>
      <c r="Q129" s="1">
        <f>J129-'Passo 1'!J129</f>
        <v>0</v>
      </c>
      <c r="R129" s="1">
        <f t="shared" si="5"/>
        <v>71.486999999999938</v>
      </c>
      <c r="S129">
        <f t="shared" si="4"/>
        <v>71.899999999999991</v>
      </c>
      <c r="T129" s="1">
        <f t="shared" si="6"/>
        <v>60.248411448220047</v>
      </c>
      <c r="U129" s="1">
        <f t="shared" si="7"/>
        <v>43.069088551779885</v>
      </c>
    </row>
    <row r="130" spans="1:21" x14ac:dyDescent="0.3">
      <c r="A130" t="s">
        <v>57</v>
      </c>
      <c r="B130" t="s">
        <v>100</v>
      </c>
      <c r="C130" t="s">
        <v>580</v>
      </c>
      <c r="D130" t="s">
        <v>581</v>
      </c>
      <c r="E130" s="2">
        <v>155.26900000000001</v>
      </c>
      <c r="F130" s="2">
        <v>0</v>
      </c>
      <c r="G130" s="2">
        <v>61.6754999999999</v>
      </c>
      <c r="H130" s="2">
        <v>-61.37</v>
      </c>
      <c r="I130" s="1">
        <v>0.89721708776381603</v>
      </c>
      <c r="J130" s="1">
        <v>0.89524953467852497</v>
      </c>
      <c r="K130" s="1">
        <v>0.694159568326988</v>
      </c>
      <c r="L130" s="1">
        <v>0.59830705411535401</v>
      </c>
      <c r="M130" s="2"/>
      <c r="N130" s="2"/>
      <c r="P130" s="1">
        <f>I130-'Passo 1'!I130</f>
        <v>8.4095988252646081E-2</v>
      </c>
      <c r="Q130" s="1">
        <f>J130-'Passo 1'!J130</f>
        <v>3.8404317668046972E-2</v>
      </c>
      <c r="R130" s="1">
        <f t="shared" si="5"/>
        <v>139.30999999999995</v>
      </c>
      <c r="S130">
        <f t="shared" ref="S130:S193" si="8">J130*E130</f>
        <v>139.00449999999989</v>
      </c>
      <c r="T130" s="1">
        <f t="shared" si="6"/>
        <v>107.7814620145631</v>
      </c>
      <c r="U130" s="1">
        <f t="shared" si="7"/>
        <v>92.898537985436903</v>
      </c>
    </row>
    <row r="131" spans="1:21" x14ac:dyDescent="0.3">
      <c r="A131" t="s">
        <v>57</v>
      </c>
      <c r="B131" t="s">
        <v>101</v>
      </c>
      <c r="C131" t="s">
        <v>580</v>
      </c>
      <c r="D131" t="s">
        <v>581</v>
      </c>
      <c r="E131" s="2">
        <v>138.16999999999999</v>
      </c>
      <c r="F131" s="2">
        <v>0</v>
      </c>
      <c r="G131" s="2">
        <v>54.89</v>
      </c>
      <c r="H131" s="2">
        <v>-58.652999999999999</v>
      </c>
      <c r="I131" s="1">
        <v>0.89726423970471103</v>
      </c>
      <c r="J131" s="1">
        <v>0.92449880581891797</v>
      </c>
      <c r="K131" s="1">
        <v>0.69264706597074599</v>
      </c>
      <c r="L131" s="1">
        <v>0.62911597955288401</v>
      </c>
      <c r="M131" s="2"/>
      <c r="N131" s="2"/>
      <c r="P131" s="1">
        <f>I131-'Passo 1'!I131</f>
        <v>3.4833900267785989E-2</v>
      </c>
      <c r="Q131" s="1">
        <f>J131-'Passo 1'!J131</f>
        <v>9.784685532315196E-2</v>
      </c>
      <c r="R131" s="1">
        <f t="shared" ref="R131:R194" si="9">I131*E131</f>
        <v>123.97499999999991</v>
      </c>
      <c r="S131">
        <f t="shared" si="8"/>
        <v>127.73799999999989</v>
      </c>
      <c r="T131" s="1">
        <f t="shared" ref="T131:T194" si="10">K131*E131</f>
        <v>95.703045105177964</v>
      </c>
      <c r="U131" s="1">
        <f t="shared" ref="U131:U194" si="11">L131*E131</f>
        <v>86.92495489482198</v>
      </c>
    </row>
    <row r="132" spans="1:21" x14ac:dyDescent="0.3">
      <c r="A132" t="s">
        <v>57</v>
      </c>
      <c r="B132" t="s">
        <v>102</v>
      </c>
      <c r="C132" t="s">
        <v>580</v>
      </c>
      <c r="D132" t="s">
        <v>581</v>
      </c>
      <c r="E132" s="2">
        <v>169</v>
      </c>
      <c r="F132" s="2">
        <v>0</v>
      </c>
      <c r="G132" s="2">
        <v>59.122500000000002</v>
      </c>
      <c r="H132" s="2">
        <v>-76.3005</v>
      </c>
      <c r="I132" s="1">
        <v>0.849837278106508</v>
      </c>
      <c r="J132" s="1">
        <v>0.95148224852070995</v>
      </c>
      <c r="K132" s="1">
        <v>0.654610895281591</v>
      </c>
      <c r="L132" s="1">
        <v>0.64670863134562695</v>
      </c>
      <c r="M132" s="2"/>
      <c r="N132" s="2"/>
      <c r="P132" s="1">
        <f>I132-'Passo 1'!I132</f>
        <v>3.5281065088756947E-2</v>
      </c>
      <c r="Q132" s="1">
        <f>J132-'Passo 1'!J132</f>
        <v>9.9201183431952944E-2</v>
      </c>
      <c r="R132" s="1">
        <f t="shared" si="9"/>
        <v>143.62249999999986</v>
      </c>
      <c r="S132">
        <f t="shared" si="8"/>
        <v>160.80049999999997</v>
      </c>
      <c r="T132" s="1">
        <f t="shared" si="10"/>
        <v>110.62924130258888</v>
      </c>
      <c r="U132" s="1">
        <f t="shared" si="11"/>
        <v>109.29375869741095</v>
      </c>
    </row>
    <row r="133" spans="1:21" x14ac:dyDescent="0.3">
      <c r="A133" t="s">
        <v>57</v>
      </c>
      <c r="B133" t="s">
        <v>103</v>
      </c>
      <c r="C133" t="s">
        <v>580</v>
      </c>
      <c r="D133" t="s">
        <v>581</v>
      </c>
      <c r="E133" s="2">
        <v>188.96100000000001</v>
      </c>
      <c r="F133" s="2">
        <v>0</v>
      </c>
      <c r="G133" s="2">
        <v>68.953000000000003</v>
      </c>
      <c r="H133" s="2">
        <v>-71.212999999999994</v>
      </c>
      <c r="I133" s="1">
        <v>0.86490598589126799</v>
      </c>
      <c r="J133" s="1">
        <v>0.876866125814321</v>
      </c>
      <c r="K133" s="1">
        <v>0.67151707230592494</v>
      </c>
      <c r="L133" s="1">
        <v>0.57025503939966404</v>
      </c>
      <c r="M133" s="2"/>
      <c r="N133" s="2"/>
      <c r="P133" s="1">
        <f>I133-'Passo 1'!I133</f>
        <v>4.8869872619218047E-2</v>
      </c>
      <c r="Q133" s="1">
        <f>J133-'Passo 1'!J133</f>
        <v>5.9080974380956941E-2</v>
      </c>
      <c r="R133" s="1">
        <f t="shared" si="9"/>
        <v>163.4334999999999</v>
      </c>
      <c r="S133">
        <f t="shared" si="8"/>
        <v>165.69349999999991</v>
      </c>
      <c r="T133" s="1">
        <f t="shared" si="10"/>
        <v>126.89053749999989</v>
      </c>
      <c r="U133" s="1">
        <f t="shared" si="11"/>
        <v>107.75596249999992</v>
      </c>
    </row>
    <row r="134" spans="1:21" x14ac:dyDescent="0.3">
      <c r="A134" t="s">
        <v>57</v>
      </c>
      <c r="B134" t="s">
        <v>104</v>
      </c>
      <c r="C134" t="s">
        <v>580</v>
      </c>
      <c r="D134" t="s">
        <v>581</v>
      </c>
      <c r="E134" s="2">
        <v>187.77799999999999</v>
      </c>
      <c r="F134" s="2">
        <v>0</v>
      </c>
      <c r="G134" s="2">
        <v>70.811499999999995</v>
      </c>
      <c r="H134" s="2">
        <v>-72.743499999999997</v>
      </c>
      <c r="I134" s="1">
        <v>0.87710221644708097</v>
      </c>
      <c r="J134" s="1">
        <v>0.88739096166750098</v>
      </c>
      <c r="K134" s="1">
        <v>0.68343295714546304</v>
      </c>
      <c r="L134" s="1">
        <v>0.58106022096911802</v>
      </c>
      <c r="M134" s="2"/>
      <c r="N134" s="2"/>
      <c r="P134" s="1">
        <f>I134-'Passo 1'!I134</f>
        <v>7.594340125041299E-2</v>
      </c>
      <c r="Q134" s="1">
        <f>J134-'Passo 1'!J134</f>
        <v>0.13540989892319699</v>
      </c>
      <c r="R134" s="1">
        <f t="shared" si="9"/>
        <v>164.70049999999998</v>
      </c>
      <c r="S134">
        <f t="shared" si="8"/>
        <v>166.63249999999999</v>
      </c>
      <c r="T134" s="1">
        <f t="shared" si="10"/>
        <v>128.33367382686075</v>
      </c>
      <c r="U134" s="1">
        <f t="shared" si="11"/>
        <v>109.11032617313904</v>
      </c>
    </row>
    <row r="135" spans="1:21" x14ac:dyDescent="0.3">
      <c r="A135" t="s">
        <v>57</v>
      </c>
      <c r="B135" t="s">
        <v>105</v>
      </c>
      <c r="C135" t="s">
        <v>580</v>
      </c>
      <c r="D135" t="s">
        <v>581</v>
      </c>
      <c r="E135" s="2">
        <v>222.79400000000001</v>
      </c>
      <c r="F135" s="2">
        <v>0</v>
      </c>
      <c r="G135" s="2">
        <v>85.0595</v>
      </c>
      <c r="H135" s="2">
        <v>-101.90349999999999</v>
      </c>
      <c r="I135" s="1">
        <v>0.88178541612431205</v>
      </c>
      <c r="J135" s="1">
        <v>0.957388888390172</v>
      </c>
      <c r="K135" s="1">
        <v>0.68733818933641</v>
      </c>
      <c r="L135" s="1">
        <v>0.65183611517807305</v>
      </c>
      <c r="M135" s="2"/>
      <c r="N135" s="2"/>
      <c r="P135" s="1">
        <f>I135-'Passo 1'!I135</f>
        <v>5.7930195606704094E-2</v>
      </c>
      <c r="Q135" s="1">
        <f>J135-'Passo 1'!J135</f>
        <v>6.0288876720199003E-2</v>
      </c>
      <c r="R135" s="1">
        <f t="shared" si="9"/>
        <v>196.45649999999998</v>
      </c>
      <c r="S135">
        <f t="shared" si="8"/>
        <v>213.3005</v>
      </c>
      <c r="T135" s="1">
        <f t="shared" si="10"/>
        <v>153.13482455501614</v>
      </c>
      <c r="U135" s="1">
        <f t="shared" si="11"/>
        <v>145.22517544498362</v>
      </c>
    </row>
    <row r="136" spans="1:21" x14ac:dyDescent="0.3">
      <c r="A136" t="s">
        <v>57</v>
      </c>
      <c r="B136" t="s">
        <v>106</v>
      </c>
      <c r="C136" t="s">
        <v>580</v>
      </c>
      <c r="D136" t="s">
        <v>581</v>
      </c>
      <c r="E136" s="2">
        <v>204.095</v>
      </c>
      <c r="F136" s="2">
        <v>0</v>
      </c>
      <c r="G136" s="2">
        <v>85.320499999999996</v>
      </c>
      <c r="H136" s="2">
        <v>-77.139499999999998</v>
      </c>
      <c r="I136" s="1">
        <v>0.91804306817903403</v>
      </c>
      <c r="J136" s="1">
        <v>0.87795879369901197</v>
      </c>
      <c r="K136" s="1">
        <v>0.66169351358103301</v>
      </c>
      <c r="L136" s="1">
        <v>0.63430834829701299</v>
      </c>
      <c r="M136" s="2"/>
      <c r="N136" s="2"/>
      <c r="P136" s="1">
        <f>I136-'Passo 1'!I136</f>
        <v>2.3317572698988043E-2</v>
      </c>
      <c r="Q136" s="1">
        <f>J136-'Passo 1'!J136</f>
        <v>0</v>
      </c>
      <c r="R136" s="1">
        <f t="shared" si="9"/>
        <v>187.36799999999994</v>
      </c>
      <c r="S136">
        <f t="shared" si="8"/>
        <v>179.18699999999984</v>
      </c>
      <c r="T136" s="1">
        <f t="shared" si="10"/>
        <v>135.04833765432093</v>
      </c>
      <c r="U136" s="1">
        <f t="shared" si="11"/>
        <v>129.45916234567886</v>
      </c>
    </row>
    <row r="137" spans="1:21" x14ac:dyDescent="0.3">
      <c r="A137" t="s">
        <v>57</v>
      </c>
      <c r="B137" t="s">
        <v>107</v>
      </c>
      <c r="C137" t="s">
        <v>34</v>
      </c>
      <c r="D137" t="s">
        <v>35</v>
      </c>
      <c r="E137" s="2">
        <v>256.59500000000003</v>
      </c>
      <c r="F137" s="2">
        <v>0</v>
      </c>
      <c r="G137" s="2">
        <v>114.1915</v>
      </c>
      <c r="H137" s="2">
        <v>-118.9</v>
      </c>
      <c r="I137" s="1">
        <v>0.94502620861669095</v>
      </c>
      <c r="J137" s="1">
        <v>0.96337613749293605</v>
      </c>
      <c r="K137" s="1">
        <v>0.82841048701594899</v>
      </c>
      <c r="L137" s="1">
        <v>0.57999185909367801</v>
      </c>
      <c r="M137" s="2"/>
      <c r="N137" s="2"/>
      <c r="P137" s="1">
        <f>I137-'Passo 1'!I137</f>
        <v>3.5604746779944962E-2</v>
      </c>
      <c r="Q137" s="1">
        <f>J137-'Passo 1'!J137</f>
        <v>6.8173580934937084E-2</v>
      </c>
      <c r="R137" s="1">
        <f t="shared" si="9"/>
        <v>242.48899999999983</v>
      </c>
      <c r="S137">
        <f t="shared" si="8"/>
        <v>247.19749999999996</v>
      </c>
      <c r="T137" s="1">
        <f t="shared" si="10"/>
        <v>212.56598891585745</v>
      </c>
      <c r="U137" s="1">
        <f t="shared" si="11"/>
        <v>148.82301108414234</v>
      </c>
    </row>
    <row r="138" spans="1:21" x14ac:dyDescent="0.3">
      <c r="A138" t="s">
        <v>57</v>
      </c>
      <c r="B138" t="s">
        <v>108</v>
      </c>
      <c r="C138" t="s">
        <v>580</v>
      </c>
      <c r="D138" t="s">
        <v>581</v>
      </c>
      <c r="E138" s="2">
        <v>88.165999999999997</v>
      </c>
      <c r="F138" s="2">
        <v>0</v>
      </c>
      <c r="G138" s="2">
        <v>38.972499999999997</v>
      </c>
      <c r="H138" s="2">
        <v>-43.561</v>
      </c>
      <c r="I138" s="1">
        <v>0.94203547852913805</v>
      </c>
      <c r="J138" s="1">
        <v>0.99407935031644801</v>
      </c>
      <c r="K138" s="1">
        <v>0.67108074788973704</v>
      </c>
      <c r="L138" s="1">
        <v>0.76503408095584902</v>
      </c>
      <c r="M138" s="2"/>
      <c r="N138" s="2"/>
      <c r="P138" s="1">
        <f>I138-'Passo 1'!I138</f>
        <v>2.3047433250913074E-2</v>
      </c>
      <c r="Q138" s="1">
        <f>J138-'Passo 1'!J138</f>
        <v>5.2219676519293046E-2</v>
      </c>
      <c r="R138" s="1">
        <f t="shared" si="9"/>
        <v>83.055499999999981</v>
      </c>
      <c r="S138">
        <f t="shared" si="8"/>
        <v>87.643999999999949</v>
      </c>
      <c r="T138" s="1">
        <f t="shared" si="10"/>
        <v>59.166505218446552</v>
      </c>
      <c r="U138" s="1">
        <f t="shared" si="11"/>
        <v>67.449994781553386</v>
      </c>
    </row>
    <row r="139" spans="1:21" x14ac:dyDescent="0.3">
      <c r="A139" t="s">
        <v>57</v>
      </c>
      <c r="B139" t="s">
        <v>629</v>
      </c>
      <c r="C139" t="s">
        <v>580</v>
      </c>
      <c r="D139" t="s">
        <v>581</v>
      </c>
      <c r="E139" s="2">
        <v>89.504000000000005</v>
      </c>
      <c r="F139" s="2">
        <v>0</v>
      </c>
      <c r="G139" s="2">
        <v>44.161499999999997</v>
      </c>
      <c r="H139" s="2">
        <v>-42.738</v>
      </c>
      <c r="I139" s="1">
        <v>0.99340252949588803</v>
      </c>
      <c r="J139" s="1">
        <v>0.97749821237039602</v>
      </c>
      <c r="K139" s="1">
        <v>0.79897463451580097</v>
      </c>
      <c r="L139" s="1">
        <v>0.67192610735048397</v>
      </c>
      <c r="M139" s="2"/>
      <c r="N139" s="2"/>
      <c r="P139" s="1">
        <f>I139-'Passo 1'!I139</f>
        <v>2.9674651412228026E-2</v>
      </c>
      <c r="Q139" s="1">
        <f>J139-'Passo 1'!J139</f>
        <v>2.5043573471576042E-2</v>
      </c>
      <c r="R139" s="1">
        <f t="shared" si="9"/>
        <v>88.913499999999971</v>
      </c>
      <c r="S139">
        <f t="shared" si="8"/>
        <v>87.489999999999924</v>
      </c>
      <c r="T139" s="1">
        <f t="shared" si="10"/>
        <v>71.511425687702257</v>
      </c>
      <c r="U139" s="1">
        <f t="shared" si="11"/>
        <v>60.14007431229772</v>
      </c>
    </row>
    <row r="140" spans="1:21" x14ac:dyDescent="0.3">
      <c r="A140" t="s">
        <v>57</v>
      </c>
      <c r="B140" t="s">
        <v>109</v>
      </c>
      <c r="C140" t="s">
        <v>580</v>
      </c>
      <c r="D140" t="s">
        <v>581</v>
      </c>
      <c r="E140" s="2">
        <v>194.226</v>
      </c>
      <c r="F140" s="2">
        <v>0</v>
      </c>
      <c r="G140" s="2">
        <v>82.641999999999996</v>
      </c>
      <c r="H140" s="2">
        <v>-84.555999999999997</v>
      </c>
      <c r="I140" s="1">
        <v>0.925494012130198</v>
      </c>
      <c r="J140" s="1">
        <v>0.93534851152780696</v>
      </c>
      <c r="K140" s="1">
        <v>0.73489976932587497</v>
      </c>
      <c r="L140" s="1">
        <v>0.62594275433213098</v>
      </c>
      <c r="M140" s="2"/>
      <c r="N140" s="2"/>
      <c r="P140" s="1">
        <f>I140-'Passo 1'!I140</f>
        <v>8.3673143657387983E-2</v>
      </c>
      <c r="Q140" s="1">
        <f>J140-'Passo 1'!J140</f>
        <v>9.5450660570674972E-2</v>
      </c>
      <c r="R140" s="1">
        <f t="shared" si="9"/>
        <v>179.75499999999982</v>
      </c>
      <c r="S140">
        <f t="shared" si="8"/>
        <v>181.66899999999984</v>
      </c>
      <c r="T140" s="1">
        <f t="shared" si="10"/>
        <v>142.73664259708738</v>
      </c>
      <c r="U140" s="1">
        <f t="shared" si="11"/>
        <v>121.57435740291247</v>
      </c>
    </row>
    <row r="141" spans="1:21" x14ac:dyDescent="0.3">
      <c r="A141" t="s">
        <v>57</v>
      </c>
      <c r="B141" t="s">
        <v>110</v>
      </c>
      <c r="C141" t="s">
        <v>580</v>
      </c>
      <c r="D141" t="s">
        <v>581</v>
      </c>
      <c r="E141" s="2">
        <v>461.92200000000003</v>
      </c>
      <c r="F141" s="2">
        <v>0</v>
      </c>
      <c r="G141" s="2">
        <v>184.38</v>
      </c>
      <c r="H141" s="2">
        <v>-195.36850000000001</v>
      </c>
      <c r="I141" s="1">
        <v>0.89915829945315395</v>
      </c>
      <c r="J141" s="1">
        <v>0.92294694775308395</v>
      </c>
      <c r="K141" s="1">
        <v>0.71509056450196296</v>
      </c>
      <c r="L141" s="1">
        <v>0.60701468270427505</v>
      </c>
      <c r="M141" s="2"/>
      <c r="N141" s="2"/>
      <c r="P141" s="1">
        <f>I141-'Passo 1'!I141</f>
        <v>0.11756855053450599</v>
      </c>
      <c r="Q141" s="1">
        <f>J141-'Passo 1'!J141</f>
        <v>8.5234087140253934E-2</v>
      </c>
      <c r="R141" s="1">
        <f t="shared" si="9"/>
        <v>415.34099999999978</v>
      </c>
      <c r="S141">
        <f t="shared" si="8"/>
        <v>426.32950000000005</v>
      </c>
      <c r="T141" s="1">
        <f t="shared" si="10"/>
        <v>330.31606373587573</v>
      </c>
      <c r="U141" s="1">
        <f t="shared" si="11"/>
        <v>280.39343626412415</v>
      </c>
    </row>
    <row r="142" spans="1:21" x14ac:dyDescent="0.3">
      <c r="A142" t="s">
        <v>57</v>
      </c>
      <c r="B142" t="s">
        <v>111</v>
      </c>
      <c r="C142" t="s">
        <v>580</v>
      </c>
      <c r="D142" t="s">
        <v>581</v>
      </c>
      <c r="E142" s="2">
        <v>52.466000000000001</v>
      </c>
      <c r="F142" s="2">
        <v>0</v>
      </c>
      <c r="G142" s="2">
        <v>26.001000000000001</v>
      </c>
      <c r="H142" s="2">
        <v>-26.085000000000001</v>
      </c>
      <c r="I142" s="1">
        <v>0.99557808866694597</v>
      </c>
      <c r="J142" s="1">
        <v>0.99717912552891297</v>
      </c>
      <c r="K142" s="1">
        <v>0.80147256176507298</v>
      </c>
      <c r="L142" s="1">
        <v>0.69128465243078596</v>
      </c>
      <c r="M142" s="2"/>
      <c r="N142" s="2"/>
      <c r="P142" s="1">
        <f>I142-'Passo 1'!I142</f>
        <v>6.0543971333815949E-2</v>
      </c>
      <c r="Q142" s="1">
        <f>J142-'Passo 1'!J142</f>
        <v>2.5692829642052994E-2</v>
      </c>
      <c r="R142" s="1">
        <f t="shared" si="9"/>
        <v>52.233999999999988</v>
      </c>
      <c r="S142">
        <f t="shared" si="8"/>
        <v>52.317999999999948</v>
      </c>
      <c r="T142" s="1">
        <f t="shared" si="10"/>
        <v>42.050059425566317</v>
      </c>
      <c r="U142" s="1">
        <f t="shared" si="11"/>
        <v>36.268940574433614</v>
      </c>
    </row>
    <row r="143" spans="1:21" x14ac:dyDescent="0.3">
      <c r="A143" t="s">
        <v>57</v>
      </c>
      <c r="B143" t="s">
        <v>112</v>
      </c>
      <c r="C143" t="s">
        <v>580</v>
      </c>
      <c r="D143" t="s">
        <v>581</v>
      </c>
      <c r="E143" s="2">
        <v>255.53</v>
      </c>
      <c r="F143" s="2">
        <v>0</v>
      </c>
      <c r="G143" s="2">
        <v>89.352000000000004</v>
      </c>
      <c r="H143" s="2">
        <v>-91.983000000000004</v>
      </c>
      <c r="I143" s="1">
        <v>0.849673228192384</v>
      </c>
      <c r="J143" s="1">
        <v>0.85996947520838996</v>
      </c>
      <c r="K143" s="1">
        <v>0.65928492379630499</v>
      </c>
      <c r="L143" s="1">
        <v>0.55035777960446897</v>
      </c>
      <c r="M143" s="2"/>
      <c r="N143" s="2"/>
      <c r="P143" s="1">
        <f>I143-'Passo 1'!I143</f>
        <v>9.5341055844714973E-2</v>
      </c>
      <c r="Q143" s="1">
        <f>J143-'Passo 1'!J143</f>
        <v>9.7671506281062914E-2</v>
      </c>
      <c r="R143" s="1">
        <f t="shared" si="9"/>
        <v>217.11699999999988</v>
      </c>
      <c r="S143">
        <f t="shared" si="8"/>
        <v>219.74799999999988</v>
      </c>
      <c r="T143" s="1">
        <f t="shared" si="10"/>
        <v>168.46707657766981</v>
      </c>
      <c r="U143" s="1">
        <f t="shared" si="11"/>
        <v>140.63292342232995</v>
      </c>
    </row>
    <row r="144" spans="1:21" x14ac:dyDescent="0.3">
      <c r="A144" t="s">
        <v>57</v>
      </c>
      <c r="B144" t="s">
        <v>113</v>
      </c>
      <c r="C144" t="s">
        <v>580</v>
      </c>
      <c r="D144" t="s">
        <v>581</v>
      </c>
      <c r="E144" s="2">
        <v>238.577</v>
      </c>
      <c r="F144" s="2">
        <v>0</v>
      </c>
      <c r="G144" s="2">
        <v>93.9435</v>
      </c>
      <c r="H144" s="2">
        <v>-95.688500000000005</v>
      </c>
      <c r="I144" s="1">
        <v>0.89376595396873904</v>
      </c>
      <c r="J144" s="1">
        <v>0.901080154415555</v>
      </c>
      <c r="K144" s="1">
        <v>0.69504309281570498</v>
      </c>
      <c r="L144" s="1">
        <v>0.59980301556858895</v>
      </c>
      <c r="M144" s="2"/>
      <c r="N144" s="2"/>
      <c r="P144" s="1">
        <f>I144-'Passo 1'!I144</f>
        <v>5.5573253079718055E-2</v>
      </c>
      <c r="Q144" s="1">
        <f>J144-'Passo 1'!J144</f>
        <v>9.0264359095804991E-2</v>
      </c>
      <c r="R144" s="1">
        <f t="shared" si="9"/>
        <v>213.23199999999986</v>
      </c>
      <c r="S144">
        <f t="shared" si="8"/>
        <v>214.97699999999986</v>
      </c>
      <c r="T144" s="1">
        <f t="shared" si="10"/>
        <v>165.82129595469243</v>
      </c>
      <c r="U144" s="1">
        <f t="shared" si="11"/>
        <v>143.09920404530723</v>
      </c>
    </row>
    <row r="145" spans="1:21" x14ac:dyDescent="0.3">
      <c r="A145" t="s">
        <v>57</v>
      </c>
      <c r="B145" t="s">
        <v>114</v>
      </c>
      <c r="C145" t="s">
        <v>580</v>
      </c>
      <c r="D145" t="s">
        <v>581</v>
      </c>
      <c r="E145" s="2">
        <v>570.76800000000003</v>
      </c>
      <c r="F145" s="2">
        <v>0</v>
      </c>
      <c r="G145" s="2">
        <v>178.96100000000001</v>
      </c>
      <c r="H145" s="2">
        <v>-244.9975</v>
      </c>
      <c r="I145" s="1">
        <v>0.81354420710341102</v>
      </c>
      <c r="J145" s="1">
        <v>0.92924182855380799</v>
      </c>
      <c r="K145" s="1">
        <v>0.69668349119433803</v>
      </c>
      <c r="L145" s="1">
        <v>0.54610254446288098</v>
      </c>
      <c r="M145" s="2"/>
      <c r="N145" s="2"/>
      <c r="P145" s="1">
        <f>I145-'Passo 1'!I145</f>
        <v>6.0599052504694995E-2</v>
      </c>
      <c r="Q145" s="1">
        <f>J145-'Passo 1'!J145</f>
        <v>3.9431958343845941E-2</v>
      </c>
      <c r="R145" s="1">
        <f t="shared" si="9"/>
        <v>464.34499999999974</v>
      </c>
      <c r="S145">
        <f t="shared" si="8"/>
        <v>530.38149999999996</v>
      </c>
      <c r="T145" s="1">
        <f t="shared" si="10"/>
        <v>397.64464290200993</v>
      </c>
      <c r="U145" s="1">
        <f t="shared" si="11"/>
        <v>311.69785709798964</v>
      </c>
    </row>
    <row r="146" spans="1:21" x14ac:dyDescent="0.3">
      <c r="A146" t="s">
        <v>57</v>
      </c>
      <c r="B146" t="s">
        <v>630</v>
      </c>
      <c r="C146" t="s">
        <v>580</v>
      </c>
      <c r="D146" t="s">
        <v>581</v>
      </c>
      <c r="E146" s="2">
        <v>627.79499999999996</v>
      </c>
      <c r="F146" s="2">
        <v>0</v>
      </c>
      <c r="G146" s="2">
        <v>231.01050000000001</v>
      </c>
      <c r="H146" s="2">
        <v>-249.04300000000001</v>
      </c>
      <c r="I146" s="1">
        <v>0.86797123264760001</v>
      </c>
      <c r="J146" s="1">
        <v>0.89669478093963695</v>
      </c>
      <c r="K146" s="1">
        <v>0.61762319973454705</v>
      </c>
      <c r="L146" s="1">
        <v>0.64704281385269002</v>
      </c>
      <c r="M146" s="2"/>
      <c r="N146" s="2"/>
      <c r="P146" s="1">
        <f>I146-'Passo 1'!I146</f>
        <v>4.6144840274293997E-2</v>
      </c>
      <c r="Q146" s="1">
        <f>J146-'Passo 1'!J146</f>
        <v>0.15842910504225094</v>
      </c>
      <c r="R146" s="1">
        <f t="shared" si="9"/>
        <v>544.90800000000002</v>
      </c>
      <c r="S146">
        <f t="shared" si="8"/>
        <v>562.94049999999936</v>
      </c>
      <c r="T146" s="1">
        <f t="shared" si="10"/>
        <v>387.74075667734996</v>
      </c>
      <c r="U146" s="1">
        <f t="shared" si="11"/>
        <v>406.21024332264949</v>
      </c>
    </row>
    <row r="147" spans="1:21" x14ac:dyDescent="0.3">
      <c r="A147" t="s">
        <v>57</v>
      </c>
      <c r="B147" t="s">
        <v>631</v>
      </c>
      <c r="C147" t="s">
        <v>580</v>
      </c>
      <c r="D147" t="s">
        <v>581</v>
      </c>
      <c r="E147" s="2">
        <v>165.36600000000001</v>
      </c>
      <c r="F147" s="2">
        <v>0</v>
      </c>
      <c r="G147" s="2">
        <v>61.067999999999898</v>
      </c>
      <c r="H147" s="2">
        <v>-72.477500000000006</v>
      </c>
      <c r="I147" s="1">
        <v>0.86928993868146998</v>
      </c>
      <c r="J147" s="1">
        <v>0.93828537909848397</v>
      </c>
      <c r="K147" s="1">
        <v>0.76180234754149001</v>
      </c>
      <c r="L147" s="1">
        <v>0.54577297023846405</v>
      </c>
      <c r="M147" s="2"/>
      <c r="N147" s="2"/>
      <c r="P147" s="1">
        <f>I147-'Passo 1'!I147</f>
        <v>7.8943071731794934E-2</v>
      </c>
      <c r="Q147" s="1">
        <f>J147-'Passo 1'!J147</f>
        <v>3.7135807844417945E-2</v>
      </c>
      <c r="R147" s="1">
        <f t="shared" si="9"/>
        <v>143.75099999999998</v>
      </c>
      <c r="S147">
        <f t="shared" si="8"/>
        <v>155.16049999999993</v>
      </c>
      <c r="T147" s="1">
        <f t="shared" si="10"/>
        <v>125.97620700354605</v>
      </c>
      <c r="U147" s="1">
        <f t="shared" si="11"/>
        <v>90.25229299645386</v>
      </c>
    </row>
    <row r="148" spans="1:21" x14ac:dyDescent="0.3">
      <c r="A148" t="s">
        <v>57</v>
      </c>
      <c r="B148" t="s">
        <v>632</v>
      </c>
      <c r="C148" t="s">
        <v>580</v>
      </c>
      <c r="D148" t="s">
        <v>581</v>
      </c>
      <c r="E148" s="2">
        <v>381.9</v>
      </c>
      <c r="F148" s="2">
        <v>0.247</v>
      </c>
      <c r="G148" s="2">
        <v>135.08099999999999</v>
      </c>
      <c r="H148" s="2">
        <v>-131.393</v>
      </c>
      <c r="I148" s="1">
        <v>0.85338439382037101</v>
      </c>
      <c r="J148" s="1">
        <v>0.84372741555380903</v>
      </c>
      <c r="K148" s="1">
        <v>0.59896800607944201</v>
      </c>
      <c r="L148" s="1">
        <v>0.59846718637931595</v>
      </c>
      <c r="M148" s="2"/>
      <c r="N148" s="2"/>
      <c r="P148" s="1">
        <f>I148-'Passo 1'!I148</f>
        <v>8.4201361612986969E-2</v>
      </c>
      <c r="Q148" s="1">
        <f>J148-'Passo 1'!J148</f>
        <v>5.0559046870908064E-2</v>
      </c>
      <c r="R148" s="1">
        <f t="shared" si="9"/>
        <v>325.90749999999969</v>
      </c>
      <c r="S148">
        <f t="shared" si="8"/>
        <v>322.21949999999964</v>
      </c>
      <c r="T148" s="1">
        <f t="shared" si="10"/>
        <v>228.74588152173888</v>
      </c>
      <c r="U148" s="1">
        <f t="shared" si="11"/>
        <v>228.55461847826075</v>
      </c>
    </row>
    <row r="149" spans="1:21" x14ac:dyDescent="0.3">
      <c r="A149" t="s">
        <v>57</v>
      </c>
      <c r="B149" t="s">
        <v>633</v>
      </c>
      <c r="C149" t="s">
        <v>580</v>
      </c>
      <c r="D149" t="s">
        <v>581</v>
      </c>
      <c r="E149" s="2">
        <v>103.041</v>
      </c>
      <c r="F149" s="2">
        <v>0</v>
      </c>
      <c r="G149" s="2">
        <v>33.656999999999996</v>
      </c>
      <c r="H149" s="2">
        <v>-46.649000000000001</v>
      </c>
      <c r="I149" s="1">
        <v>0.82663696974990497</v>
      </c>
      <c r="J149" s="1">
        <v>0.95272270261352199</v>
      </c>
      <c r="K149" s="1">
        <v>0.68532061034576797</v>
      </c>
      <c r="L149" s="1">
        <v>0.59403906201765999</v>
      </c>
      <c r="M149" s="2"/>
      <c r="N149" s="2"/>
      <c r="P149" s="1">
        <f>I149-'Passo 1'!I149</f>
        <v>5.9636455391542942E-2</v>
      </c>
      <c r="Q149" s="1">
        <f>J149-'Passo 1'!J149</f>
        <v>5.771003775196204E-2</v>
      </c>
      <c r="R149" s="1">
        <f t="shared" si="9"/>
        <v>85.177499999999952</v>
      </c>
      <c r="S149">
        <f t="shared" si="8"/>
        <v>98.169499999999914</v>
      </c>
      <c r="T149" s="1">
        <f t="shared" si="10"/>
        <v>70.616121010638281</v>
      </c>
      <c r="U149" s="1">
        <f t="shared" si="11"/>
        <v>61.210378989361701</v>
      </c>
    </row>
    <row r="150" spans="1:21" x14ac:dyDescent="0.3">
      <c r="A150" t="s">
        <v>57</v>
      </c>
      <c r="B150" t="s">
        <v>634</v>
      </c>
      <c r="C150" t="s">
        <v>580</v>
      </c>
      <c r="D150" t="s">
        <v>581</v>
      </c>
      <c r="E150" s="2">
        <v>198.291</v>
      </c>
      <c r="F150" s="2">
        <v>0</v>
      </c>
      <c r="G150" s="2">
        <v>59.647999999999897</v>
      </c>
      <c r="H150" s="2">
        <v>-63.442500000000003</v>
      </c>
      <c r="I150" s="1">
        <v>0.80081042508232803</v>
      </c>
      <c r="J150" s="1">
        <v>0.81994644234987901</v>
      </c>
      <c r="K150" s="1">
        <v>0.56585478542897905</v>
      </c>
      <c r="L150" s="1">
        <v>0.55490208200322799</v>
      </c>
      <c r="M150" s="2"/>
      <c r="N150" s="2"/>
      <c r="P150" s="1">
        <f>I150-'Passo 1'!I150</f>
        <v>7.2829830905083992E-2</v>
      </c>
      <c r="Q150" s="1">
        <f>J150-'Passo 1'!J150</f>
        <v>2.4564907131437996E-2</v>
      </c>
      <c r="R150" s="1">
        <f t="shared" si="9"/>
        <v>158.79349999999991</v>
      </c>
      <c r="S150">
        <f t="shared" si="8"/>
        <v>162.58799999999985</v>
      </c>
      <c r="T150" s="1">
        <f t="shared" si="10"/>
        <v>112.20391125749768</v>
      </c>
      <c r="U150" s="1">
        <f t="shared" si="11"/>
        <v>110.03208874250208</v>
      </c>
    </row>
    <row r="151" spans="1:21" x14ac:dyDescent="0.3">
      <c r="A151" t="s">
        <v>57</v>
      </c>
      <c r="B151" t="s">
        <v>115</v>
      </c>
      <c r="C151" t="s">
        <v>34</v>
      </c>
      <c r="D151" t="s">
        <v>35</v>
      </c>
      <c r="E151" s="2">
        <v>179.97399999999999</v>
      </c>
      <c r="F151" s="2">
        <v>0</v>
      </c>
      <c r="G151" s="2">
        <v>82.747499999999903</v>
      </c>
      <c r="H151" s="2">
        <v>-74.360500000000002</v>
      </c>
      <c r="I151" s="1">
        <v>0.95977474524097905</v>
      </c>
      <c r="J151" s="1">
        <v>0.91317356951559603</v>
      </c>
      <c r="K151" s="1">
        <v>0.84401062061895005</v>
      </c>
      <c r="L151" s="1">
        <v>0.52893769413762504</v>
      </c>
      <c r="M151" s="2"/>
      <c r="N151" s="2"/>
      <c r="P151" s="1">
        <f>I151-'Passo 1'!I151</f>
        <v>0.11023814550990707</v>
      </c>
      <c r="Q151" s="1">
        <f>J151-'Passo 1'!J151</f>
        <v>3.7741562670163042E-2</v>
      </c>
      <c r="R151" s="1">
        <f t="shared" si="9"/>
        <v>172.73449999999994</v>
      </c>
      <c r="S151">
        <f t="shared" si="8"/>
        <v>164.34749999999988</v>
      </c>
      <c r="T151" s="1">
        <f t="shared" si="10"/>
        <v>151.8999674352749</v>
      </c>
      <c r="U151" s="1">
        <f t="shared" si="11"/>
        <v>95.195032564724926</v>
      </c>
    </row>
    <row r="152" spans="1:21" x14ac:dyDescent="0.3">
      <c r="A152" t="s">
        <v>57</v>
      </c>
      <c r="B152" t="s">
        <v>635</v>
      </c>
      <c r="C152" t="s">
        <v>580</v>
      </c>
      <c r="D152" t="s">
        <v>581</v>
      </c>
      <c r="E152" s="2">
        <v>191.34200000000001</v>
      </c>
      <c r="F152" s="2">
        <v>0</v>
      </c>
      <c r="G152" s="2">
        <v>88.091999999999999</v>
      </c>
      <c r="H152" s="2">
        <v>-63.703999999999901</v>
      </c>
      <c r="I152" s="1">
        <v>0.96039029590994096</v>
      </c>
      <c r="J152" s="1">
        <v>0.83293265461843102</v>
      </c>
      <c r="K152" s="1">
        <v>0.83601420374754498</v>
      </c>
      <c r="L152" s="1">
        <v>0.457308746780828</v>
      </c>
      <c r="M152" s="2"/>
      <c r="N152" s="2"/>
      <c r="P152" s="1">
        <f>I152-'Passo 1'!I152</f>
        <v>1.8728245758902973E-2</v>
      </c>
      <c r="Q152" s="1">
        <f>J152-'Passo 1'!J152</f>
        <v>7.9846557473006063E-2</v>
      </c>
      <c r="R152" s="1">
        <f t="shared" si="9"/>
        <v>183.76299999999995</v>
      </c>
      <c r="S152">
        <f t="shared" si="8"/>
        <v>159.37499999999983</v>
      </c>
      <c r="T152" s="1">
        <f t="shared" si="10"/>
        <v>159.96462977346278</v>
      </c>
      <c r="U152" s="1">
        <f t="shared" si="11"/>
        <v>87.502370226537195</v>
      </c>
    </row>
    <row r="153" spans="1:21" x14ac:dyDescent="0.3">
      <c r="A153" t="s">
        <v>57</v>
      </c>
      <c r="B153" t="s">
        <v>116</v>
      </c>
      <c r="C153" t="s">
        <v>580</v>
      </c>
      <c r="D153" t="s">
        <v>581</v>
      </c>
      <c r="E153" s="2">
        <v>66.721999999999994</v>
      </c>
      <c r="F153" s="2">
        <v>0</v>
      </c>
      <c r="G153" s="2">
        <v>33.025500000000001</v>
      </c>
      <c r="H153" s="2">
        <v>-32.486499999999999</v>
      </c>
      <c r="I153" s="1">
        <v>0.99497167351098503</v>
      </c>
      <c r="J153" s="1">
        <v>0.98689337849584802</v>
      </c>
      <c r="K153" s="1">
        <v>0.80955592745830096</v>
      </c>
      <c r="L153" s="1">
        <v>0.67230912454853198</v>
      </c>
      <c r="M153" s="2"/>
      <c r="N153" s="2"/>
      <c r="P153" s="1">
        <f>I153-'Passo 1'!I153</f>
        <v>8.7055244147356992E-2</v>
      </c>
      <c r="Q153" s="1">
        <f>J153-'Passo 1'!J153</f>
        <v>6.8358262642007062E-2</v>
      </c>
      <c r="R153" s="1">
        <f t="shared" si="9"/>
        <v>66.386499999999941</v>
      </c>
      <c r="S153">
        <f t="shared" si="8"/>
        <v>65.847499999999968</v>
      </c>
      <c r="T153" s="1">
        <f t="shared" si="10"/>
        <v>54.015190591872752</v>
      </c>
      <c r="U153" s="1">
        <f t="shared" si="11"/>
        <v>44.857809408127146</v>
      </c>
    </row>
    <row r="154" spans="1:21" x14ac:dyDescent="0.3">
      <c r="A154" t="s">
        <v>57</v>
      </c>
      <c r="B154" t="s">
        <v>117</v>
      </c>
      <c r="C154" t="s">
        <v>34</v>
      </c>
      <c r="D154" t="s">
        <v>35</v>
      </c>
      <c r="E154" s="2">
        <v>80.042000000000002</v>
      </c>
      <c r="F154" s="2">
        <v>0</v>
      </c>
      <c r="G154" s="2">
        <v>38.332999999999998</v>
      </c>
      <c r="H154" s="2">
        <v>-34.905500000000004</v>
      </c>
      <c r="I154" s="1">
        <v>0.97891107168736402</v>
      </c>
      <c r="J154" s="1">
        <v>0.93608980285350196</v>
      </c>
      <c r="K154" s="1">
        <v>0.87849389537725697</v>
      </c>
      <c r="L154" s="1">
        <v>0.53650697916360901</v>
      </c>
      <c r="M154" s="2"/>
      <c r="N154" s="2"/>
      <c r="P154" s="1">
        <f>I154-'Passo 1'!I154</f>
        <v>8.8734664301241994E-2</v>
      </c>
      <c r="Q154" s="1">
        <f>J154-'Passo 1'!J154</f>
        <v>2.3062891981709965E-2</v>
      </c>
      <c r="R154" s="1">
        <f t="shared" si="9"/>
        <v>78.353999999999999</v>
      </c>
      <c r="S154">
        <f t="shared" si="8"/>
        <v>74.926500000000004</v>
      </c>
      <c r="T154" s="1">
        <f t="shared" si="10"/>
        <v>70.316408373786402</v>
      </c>
      <c r="U154" s="1">
        <f t="shared" si="11"/>
        <v>42.943091626213594</v>
      </c>
    </row>
    <row r="155" spans="1:21" x14ac:dyDescent="0.3">
      <c r="A155" t="s">
        <v>57</v>
      </c>
      <c r="B155" t="s">
        <v>118</v>
      </c>
      <c r="C155" t="s">
        <v>580</v>
      </c>
      <c r="D155" t="s">
        <v>35</v>
      </c>
      <c r="E155" s="2">
        <v>340.36799999999999</v>
      </c>
      <c r="F155" s="2">
        <v>0</v>
      </c>
      <c r="G155" s="2">
        <v>140.71350000000001</v>
      </c>
      <c r="H155" s="2">
        <v>-159.5855</v>
      </c>
      <c r="I155" s="1">
        <v>0.91341577351572401</v>
      </c>
      <c r="J155" s="1">
        <v>0.96886164386781304</v>
      </c>
      <c r="K155" s="1">
        <v>0.665804423756575</v>
      </c>
      <c r="L155" s="1">
        <v>0.71647299362696204</v>
      </c>
      <c r="M155" s="2"/>
      <c r="N155" s="2"/>
      <c r="P155" s="1">
        <f>I155-'Passo 1'!I155</f>
        <v>9.2677631269684979E-2</v>
      </c>
      <c r="Q155" s="1">
        <f>J155-'Passo 1'!J155</f>
        <v>0.13578538523010408</v>
      </c>
      <c r="R155" s="1">
        <f t="shared" si="9"/>
        <v>310.89749999999992</v>
      </c>
      <c r="S155">
        <f t="shared" si="8"/>
        <v>329.76949999999977</v>
      </c>
      <c r="T155" s="1">
        <f t="shared" si="10"/>
        <v>226.61852010517791</v>
      </c>
      <c r="U155" s="1">
        <f t="shared" si="11"/>
        <v>243.86447989482181</v>
      </c>
    </row>
    <row r="156" spans="1:21" x14ac:dyDescent="0.3">
      <c r="A156" t="s">
        <v>57</v>
      </c>
      <c r="B156" t="s">
        <v>119</v>
      </c>
      <c r="C156" t="s">
        <v>580</v>
      </c>
      <c r="D156" t="s">
        <v>581</v>
      </c>
      <c r="E156" s="2">
        <v>148.60900000000001</v>
      </c>
      <c r="F156" s="2">
        <v>0</v>
      </c>
      <c r="G156" s="2">
        <v>64.179000000000002</v>
      </c>
      <c r="H156" s="2">
        <v>-64.535499999999999</v>
      </c>
      <c r="I156" s="1">
        <v>0.931864826490993</v>
      </c>
      <c r="J156" s="1">
        <v>0.93426373907367599</v>
      </c>
      <c r="K156" s="1">
        <v>0.70193070776441402</v>
      </c>
      <c r="L156" s="1">
        <v>0.66419785780025498</v>
      </c>
      <c r="M156" s="2"/>
      <c r="N156" s="2"/>
      <c r="P156" s="1">
        <f>I156-'Passo 1'!I156</f>
        <v>0</v>
      </c>
      <c r="Q156" s="1">
        <f>J156-'Passo 1'!J156</f>
        <v>1.7795019144197011E-2</v>
      </c>
      <c r="R156" s="1">
        <f t="shared" si="9"/>
        <v>138.48349999999999</v>
      </c>
      <c r="S156">
        <f t="shared" si="8"/>
        <v>138.83999999999992</v>
      </c>
      <c r="T156" s="1">
        <f t="shared" si="10"/>
        <v>104.31322055016182</v>
      </c>
      <c r="U156" s="1">
        <f t="shared" si="11"/>
        <v>98.705779449838104</v>
      </c>
    </row>
    <row r="157" spans="1:21" x14ac:dyDescent="0.3">
      <c r="A157" t="s">
        <v>57</v>
      </c>
      <c r="B157" t="s">
        <v>120</v>
      </c>
      <c r="C157" t="s">
        <v>580</v>
      </c>
      <c r="D157" t="s">
        <v>581</v>
      </c>
      <c r="E157" s="2">
        <v>40.722000000000001</v>
      </c>
      <c r="F157" s="2">
        <v>0</v>
      </c>
      <c r="G157" s="2">
        <v>18.3355</v>
      </c>
      <c r="H157" s="2">
        <v>-16.663499999999999</v>
      </c>
      <c r="I157" s="1">
        <v>0.950260301556898</v>
      </c>
      <c r="J157" s="1">
        <v>0.90920141446883695</v>
      </c>
      <c r="K157" s="1">
        <v>0.76066450607650304</v>
      </c>
      <c r="L157" s="1">
        <v>0.59879720994923202</v>
      </c>
      <c r="M157" s="2"/>
      <c r="N157" s="2"/>
      <c r="P157" s="1">
        <f>I157-'Passo 1'!I157</f>
        <v>0.13266784539069798</v>
      </c>
      <c r="Q157" s="1">
        <f>J157-'Passo 1'!J157</f>
        <v>1.9129708756936981E-2</v>
      </c>
      <c r="R157" s="1">
        <f t="shared" si="9"/>
        <v>38.6965</v>
      </c>
      <c r="S157">
        <f t="shared" si="8"/>
        <v>37.024499999999982</v>
      </c>
      <c r="T157" s="1">
        <f t="shared" si="10"/>
        <v>30.975780016447359</v>
      </c>
      <c r="U157" s="1">
        <f t="shared" si="11"/>
        <v>24.384219983552626</v>
      </c>
    </row>
    <row r="158" spans="1:21" x14ac:dyDescent="0.3">
      <c r="A158" t="s">
        <v>57</v>
      </c>
      <c r="B158" t="s">
        <v>121</v>
      </c>
      <c r="C158" t="s">
        <v>34</v>
      </c>
      <c r="D158" t="s">
        <v>35</v>
      </c>
      <c r="E158" s="2">
        <v>442.23899999999998</v>
      </c>
      <c r="F158" s="2">
        <v>0</v>
      </c>
      <c r="G158" s="2">
        <v>206.2405</v>
      </c>
      <c r="H158" s="2">
        <v>-217.672</v>
      </c>
      <c r="I158" s="1">
        <v>0.96635529657040597</v>
      </c>
      <c r="J158" s="1">
        <v>0.99220444148978204</v>
      </c>
      <c r="K158" s="1">
        <v>0.84603625982164798</v>
      </c>
      <c r="L158" s="1">
        <v>0.61252347823854003</v>
      </c>
      <c r="M158" s="2"/>
      <c r="N158" s="2"/>
      <c r="P158" s="1">
        <f>I158-'Passo 1'!I158</f>
        <v>5.6970326000194027E-2</v>
      </c>
      <c r="Q158" s="1">
        <f>J158-'Passo 1'!J158</f>
        <v>3.522981917017054E-3</v>
      </c>
      <c r="R158" s="1">
        <f t="shared" si="9"/>
        <v>427.35999999999973</v>
      </c>
      <c r="S158">
        <f t="shared" si="8"/>
        <v>438.7914999999997</v>
      </c>
      <c r="T158" s="1">
        <f t="shared" si="10"/>
        <v>374.15022950726575</v>
      </c>
      <c r="U158" s="1">
        <f t="shared" si="11"/>
        <v>270.88177049273366</v>
      </c>
    </row>
    <row r="159" spans="1:21" x14ac:dyDescent="0.3">
      <c r="A159" t="s">
        <v>57</v>
      </c>
      <c r="B159" t="s">
        <v>122</v>
      </c>
      <c r="C159" t="s">
        <v>34</v>
      </c>
      <c r="D159" t="s">
        <v>35</v>
      </c>
      <c r="E159" s="2">
        <v>237.376</v>
      </c>
      <c r="F159" s="2">
        <v>0</v>
      </c>
      <c r="G159" s="2">
        <v>107.592</v>
      </c>
      <c r="H159" s="2">
        <v>-110.4885</v>
      </c>
      <c r="I159" s="1">
        <v>0.95325559449986497</v>
      </c>
      <c r="J159" s="1">
        <v>0.96545775478565599</v>
      </c>
      <c r="K159" s="1">
        <v>0.85292777138923104</v>
      </c>
      <c r="L159" s="1">
        <v>0.56578557789628903</v>
      </c>
      <c r="M159" s="2"/>
      <c r="N159" s="2"/>
      <c r="P159" s="1">
        <f>I159-'Passo 1'!I159</f>
        <v>0.20476796306281997</v>
      </c>
      <c r="Q159" s="1">
        <f>J159-'Passo 1'!J159</f>
        <v>0.18933042936101396</v>
      </c>
      <c r="R159" s="1">
        <f t="shared" si="9"/>
        <v>226.27999999999994</v>
      </c>
      <c r="S159">
        <f t="shared" si="8"/>
        <v>229.17649999999989</v>
      </c>
      <c r="T159" s="1">
        <f t="shared" si="10"/>
        <v>202.46458266129011</v>
      </c>
      <c r="U159" s="1">
        <f t="shared" si="11"/>
        <v>134.30391733870951</v>
      </c>
    </row>
    <row r="160" spans="1:21" x14ac:dyDescent="0.3">
      <c r="A160" t="s">
        <v>57</v>
      </c>
      <c r="B160" t="s">
        <v>123</v>
      </c>
      <c r="C160" t="s">
        <v>34</v>
      </c>
      <c r="D160" t="s">
        <v>35</v>
      </c>
      <c r="E160" s="2">
        <v>98.765000000000001</v>
      </c>
      <c r="F160" s="2">
        <v>0</v>
      </c>
      <c r="G160" s="2">
        <v>40.265500000000003</v>
      </c>
      <c r="H160" s="2">
        <v>-41.017499999999998</v>
      </c>
      <c r="I160" s="1">
        <v>0.90768997114362304</v>
      </c>
      <c r="J160" s="1">
        <v>0.91530400445501903</v>
      </c>
      <c r="K160" s="1">
        <v>0.82705055914725201</v>
      </c>
      <c r="L160" s="1">
        <v>0.49594341645139001</v>
      </c>
      <c r="M160" s="2"/>
      <c r="N160" s="2"/>
      <c r="P160" s="1">
        <f>I160-'Passo 1'!I160</f>
        <v>0.16626335240216605</v>
      </c>
      <c r="Q160" s="1">
        <f>J160-'Passo 1'!J160</f>
        <v>0.13378221029717008</v>
      </c>
      <c r="R160" s="1">
        <f t="shared" si="9"/>
        <v>89.647999999999925</v>
      </c>
      <c r="S160">
        <f t="shared" si="8"/>
        <v>90.399999999999949</v>
      </c>
      <c r="T160" s="1">
        <f t="shared" si="10"/>
        <v>81.683648474178341</v>
      </c>
      <c r="U160" s="1">
        <f t="shared" si="11"/>
        <v>48.981851525821533</v>
      </c>
    </row>
    <row r="161" spans="1:21" x14ac:dyDescent="0.3">
      <c r="A161" t="s">
        <v>57</v>
      </c>
      <c r="B161" t="s">
        <v>124</v>
      </c>
      <c r="C161" t="s">
        <v>34</v>
      </c>
      <c r="D161" t="s">
        <v>35</v>
      </c>
      <c r="E161" s="2">
        <v>164.517</v>
      </c>
      <c r="F161" s="2">
        <v>0</v>
      </c>
      <c r="G161" s="2">
        <v>79.001999999999995</v>
      </c>
      <c r="H161" s="2">
        <v>-77.259500000000003</v>
      </c>
      <c r="I161" s="1">
        <v>0.98020569302868299</v>
      </c>
      <c r="J161" s="1">
        <v>0.96961408243524905</v>
      </c>
      <c r="K161" s="1">
        <v>0.84731526078952102</v>
      </c>
      <c r="L161" s="1">
        <v>0.60250451467441202</v>
      </c>
      <c r="M161" s="2"/>
      <c r="N161" s="2"/>
      <c r="P161" s="1">
        <f>I161-'Passo 1'!I161</f>
        <v>0.14041709975260896</v>
      </c>
      <c r="Q161" s="1">
        <f>J161-'Passo 1'!J161</f>
        <v>9.3956855522529081E-2</v>
      </c>
      <c r="R161" s="1">
        <f t="shared" si="9"/>
        <v>161.26049999999984</v>
      </c>
      <c r="S161">
        <f t="shared" si="8"/>
        <v>159.51799999999986</v>
      </c>
      <c r="T161" s="1">
        <f t="shared" si="10"/>
        <v>139.39776475930964</v>
      </c>
      <c r="U161" s="1">
        <f t="shared" si="11"/>
        <v>99.122235240690244</v>
      </c>
    </row>
    <row r="162" spans="1:21" x14ac:dyDescent="0.3">
      <c r="A162" t="s">
        <v>57</v>
      </c>
      <c r="B162" t="s">
        <v>125</v>
      </c>
      <c r="C162" t="s">
        <v>34</v>
      </c>
      <c r="D162" t="s">
        <v>35</v>
      </c>
      <c r="E162" s="2">
        <v>635.62199999999996</v>
      </c>
      <c r="F162" s="2">
        <v>0</v>
      </c>
      <c r="G162" s="2">
        <v>315.68549999999999</v>
      </c>
      <c r="H162" s="2">
        <v>-270.00749999999999</v>
      </c>
      <c r="I162" s="1">
        <v>0.996656031414897</v>
      </c>
      <c r="J162" s="1">
        <v>0.92479256539263899</v>
      </c>
      <c r="K162" s="1">
        <v>0.93016747665275601</v>
      </c>
      <c r="L162" s="1">
        <v>0.49128112015477998</v>
      </c>
      <c r="M162" s="2"/>
      <c r="N162" s="2"/>
      <c r="P162" s="1">
        <f>I162-'Passo 1'!I162</f>
        <v>6.3090169943771035E-2</v>
      </c>
      <c r="Q162" s="1">
        <f>J162-'Passo 1'!J162</f>
        <v>9.499435198907602E-2</v>
      </c>
      <c r="R162" s="1">
        <f t="shared" si="9"/>
        <v>633.49649999999963</v>
      </c>
      <c r="S162">
        <f t="shared" si="8"/>
        <v>587.81849999999997</v>
      </c>
      <c r="T162" s="1">
        <f t="shared" si="10"/>
        <v>591.234911844978</v>
      </c>
      <c r="U162" s="1">
        <f t="shared" si="11"/>
        <v>312.26908815502156</v>
      </c>
    </row>
    <row r="163" spans="1:21" x14ac:dyDescent="0.3">
      <c r="A163" t="s">
        <v>57</v>
      </c>
      <c r="B163" t="s">
        <v>636</v>
      </c>
      <c r="C163" t="s">
        <v>34</v>
      </c>
      <c r="D163" t="s">
        <v>35</v>
      </c>
      <c r="E163" s="2">
        <v>598.37599999999998</v>
      </c>
      <c r="F163" s="2">
        <v>0</v>
      </c>
      <c r="G163" s="2">
        <v>295.16800000000001</v>
      </c>
      <c r="H163" s="2">
        <v>-267.36849999999998</v>
      </c>
      <c r="I163" s="1">
        <v>0.99328181611561905</v>
      </c>
      <c r="J163" s="1">
        <v>0.94682356912710397</v>
      </c>
      <c r="K163" s="1">
        <v>0.87630465317483996</v>
      </c>
      <c r="L163" s="1">
        <v>0.56380073206788295</v>
      </c>
      <c r="M163" s="2"/>
      <c r="N163" s="2"/>
      <c r="P163" s="1">
        <f>I163-'Passo 1'!I163</f>
        <v>3.3346090083827051E-2</v>
      </c>
      <c r="Q163" s="1">
        <f>J163-'Passo 1'!J163</f>
        <v>7.233411767851694E-2</v>
      </c>
      <c r="R163" s="1">
        <f t="shared" si="9"/>
        <v>594.35599999999965</v>
      </c>
      <c r="S163">
        <f t="shared" si="8"/>
        <v>566.55649999999991</v>
      </c>
      <c r="T163" s="1">
        <f t="shared" si="10"/>
        <v>524.35967314814798</v>
      </c>
      <c r="U163" s="1">
        <f t="shared" si="11"/>
        <v>337.36482685185149</v>
      </c>
    </row>
    <row r="164" spans="1:21" x14ac:dyDescent="0.3">
      <c r="A164" t="s">
        <v>57</v>
      </c>
      <c r="B164" t="s">
        <v>126</v>
      </c>
      <c r="C164" t="s">
        <v>34</v>
      </c>
      <c r="D164" t="s">
        <v>35</v>
      </c>
      <c r="E164" s="2">
        <v>666.56399999999996</v>
      </c>
      <c r="F164" s="2">
        <v>0</v>
      </c>
      <c r="G164" s="2">
        <v>301.81849999999997</v>
      </c>
      <c r="H164" s="2">
        <v>-282.36799999999999</v>
      </c>
      <c r="I164" s="1">
        <v>0.95279748081204496</v>
      </c>
      <c r="J164" s="1">
        <v>0.92361723705450605</v>
      </c>
      <c r="K164" s="1">
        <v>0.82708997003499696</v>
      </c>
      <c r="L164" s="1">
        <v>0.54932474783155405</v>
      </c>
      <c r="M164" s="2"/>
      <c r="N164" s="2"/>
      <c r="P164" s="1">
        <f>I164-'Passo 1'!I164</f>
        <v>7.1756050431766916E-2</v>
      </c>
      <c r="Q164" s="1">
        <f>J164-'Passo 1'!J164</f>
        <v>0.12031327824485005</v>
      </c>
      <c r="R164" s="1">
        <f t="shared" si="9"/>
        <v>635.1004999999999</v>
      </c>
      <c r="S164">
        <f t="shared" si="8"/>
        <v>615.64999999999975</v>
      </c>
      <c r="T164" s="1">
        <f t="shared" si="10"/>
        <v>551.30839878640768</v>
      </c>
      <c r="U164" s="1">
        <f t="shared" si="11"/>
        <v>366.16010121359199</v>
      </c>
    </row>
    <row r="165" spans="1:21" x14ac:dyDescent="0.3">
      <c r="A165" t="s">
        <v>57</v>
      </c>
      <c r="B165" t="s">
        <v>127</v>
      </c>
      <c r="C165" t="s">
        <v>580</v>
      </c>
      <c r="D165" t="s">
        <v>581</v>
      </c>
      <c r="E165" s="2">
        <v>148.101</v>
      </c>
      <c r="F165" s="2">
        <v>0</v>
      </c>
      <c r="G165" s="2">
        <v>61.869</v>
      </c>
      <c r="H165" s="2">
        <v>-64.387999999999906</v>
      </c>
      <c r="I165" s="1">
        <v>0.91774869852330498</v>
      </c>
      <c r="J165" s="1">
        <v>0.93475736153030597</v>
      </c>
      <c r="K165" s="1">
        <v>0.78528071015518097</v>
      </c>
      <c r="L165" s="1">
        <v>0.56722534989842999</v>
      </c>
      <c r="M165" s="2"/>
      <c r="N165" s="2"/>
      <c r="P165" s="1">
        <f>I165-'Passo 1'!I165</f>
        <v>9.5620556242024035E-2</v>
      </c>
      <c r="Q165" s="1">
        <f>J165-'Passo 1'!J165</f>
        <v>5.8838225265190003E-2</v>
      </c>
      <c r="R165" s="1">
        <f t="shared" si="9"/>
        <v>135.9195</v>
      </c>
      <c r="S165">
        <f t="shared" si="8"/>
        <v>138.43849999999983</v>
      </c>
      <c r="T165" s="1">
        <f t="shared" si="10"/>
        <v>116.30085845469246</v>
      </c>
      <c r="U165" s="1">
        <f t="shared" si="11"/>
        <v>84.006641545307374</v>
      </c>
    </row>
    <row r="166" spans="1:21" x14ac:dyDescent="0.3">
      <c r="A166" t="s">
        <v>57</v>
      </c>
      <c r="B166" t="s">
        <v>128</v>
      </c>
      <c r="C166" t="s">
        <v>580</v>
      </c>
      <c r="D166" t="s">
        <v>581</v>
      </c>
      <c r="E166" s="2">
        <v>64.141000000000005</v>
      </c>
      <c r="F166" s="2">
        <v>0</v>
      </c>
      <c r="G166" s="2">
        <v>26.916499999999999</v>
      </c>
      <c r="H166" s="2">
        <v>-24.091999999999999</v>
      </c>
      <c r="I166" s="1">
        <v>0.91964578039007805</v>
      </c>
      <c r="J166" s="1">
        <v>0.87560998425344105</v>
      </c>
      <c r="K166" s="1">
        <v>0.71291124696001196</v>
      </c>
      <c r="L166" s="1">
        <v>0.58234451768350703</v>
      </c>
      <c r="M166" s="2"/>
      <c r="N166" s="2"/>
      <c r="P166" s="1">
        <f>I166-'Passo 1'!I166</f>
        <v>1.8545080369811062E-2</v>
      </c>
      <c r="Q166" s="1">
        <f>J166-'Passo 1'!J166</f>
        <v>7.1311641539733017E-2</v>
      </c>
      <c r="R166" s="1">
        <f t="shared" si="9"/>
        <v>58.987000000000002</v>
      </c>
      <c r="S166">
        <f t="shared" si="8"/>
        <v>56.162499999999966</v>
      </c>
      <c r="T166" s="1">
        <f t="shared" si="10"/>
        <v>45.726840291262128</v>
      </c>
      <c r="U166" s="1">
        <f t="shared" si="11"/>
        <v>37.35215970873783</v>
      </c>
    </row>
    <row r="167" spans="1:21" x14ac:dyDescent="0.3">
      <c r="A167" t="s">
        <v>57</v>
      </c>
      <c r="B167" t="s">
        <v>129</v>
      </c>
      <c r="C167" t="s">
        <v>580</v>
      </c>
      <c r="D167" t="s">
        <v>581</v>
      </c>
      <c r="E167" s="2">
        <v>295.49200000000002</v>
      </c>
      <c r="F167" s="2">
        <v>0</v>
      </c>
      <c r="G167" s="2">
        <v>134.36799999999999</v>
      </c>
      <c r="H167" s="2">
        <v>-143.55249999999899</v>
      </c>
      <c r="I167" s="1">
        <v>0.95472635468980505</v>
      </c>
      <c r="J167" s="1">
        <v>0.98580841444099998</v>
      </c>
      <c r="K167" s="1">
        <v>0.72868161049442903</v>
      </c>
      <c r="L167" s="1">
        <v>0.71185315863637499</v>
      </c>
      <c r="M167" s="2"/>
      <c r="N167" s="2"/>
      <c r="P167" s="1">
        <f>I167-'Passo 1'!I167</f>
        <v>2.0232358236433101E-2</v>
      </c>
      <c r="Q167" s="1">
        <f>J167-'Passo 1'!J167</f>
        <v>9.5484818539926963E-2</v>
      </c>
      <c r="R167" s="1">
        <f t="shared" si="9"/>
        <v>282.11399999999986</v>
      </c>
      <c r="S167">
        <f t="shared" si="8"/>
        <v>291.29849999999999</v>
      </c>
      <c r="T167" s="1">
        <f t="shared" si="10"/>
        <v>215.31958644821984</v>
      </c>
      <c r="U167" s="1">
        <f t="shared" si="11"/>
        <v>210.34691355177972</v>
      </c>
    </row>
    <row r="168" spans="1:21" x14ac:dyDescent="0.3">
      <c r="A168" t="s">
        <v>57</v>
      </c>
      <c r="B168" t="s">
        <v>637</v>
      </c>
      <c r="C168" t="s">
        <v>34</v>
      </c>
      <c r="D168" t="s">
        <v>35</v>
      </c>
      <c r="E168" s="2">
        <v>599.23800000000006</v>
      </c>
      <c r="F168" s="2">
        <v>0</v>
      </c>
      <c r="G168" s="2">
        <v>287.24700000000001</v>
      </c>
      <c r="H168" s="2">
        <v>-282.18549999999999</v>
      </c>
      <c r="I168" s="1">
        <v>0.97935377929971001</v>
      </c>
      <c r="J168" s="1">
        <v>0.97090721883458597</v>
      </c>
      <c r="K168" s="1">
        <v>0.861649152297711</v>
      </c>
      <c r="L168" s="1">
        <v>0.58861184583658499</v>
      </c>
      <c r="M168" s="2"/>
      <c r="N168" s="2"/>
      <c r="P168" s="1">
        <f>I168-'Passo 1'!I168</f>
        <v>6.1649127725544983E-2</v>
      </c>
      <c r="Q168" s="1">
        <f>J168-'Passo 1'!J168</f>
        <v>0.13909414956995392</v>
      </c>
      <c r="R168" s="1">
        <f t="shared" si="9"/>
        <v>586.86599999999964</v>
      </c>
      <c r="S168">
        <f t="shared" si="8"/>
        <v>581.80449999999973</v>
      </c>
      <c r="T168" s="1">
        <f t="shared" si="10"/>
        <v>516.33291472457574</v>
      </c>
      <c r="U168" s="1">
        <f t="shared" si="11"/>
        <v>352.71858527542355</v>
      </c>
    </row>
    <row r="169" spans="1:21" x14ac:dyDescent="0.3">
      <c r="A169" t="s">
        <v>57</v>
      </c>
      <c r="B169" t="s">
        <v>638</v>
      </c>
      <c r="C169" t="s">
        <v>580</v>
      </c>
      <c r="D169" t="s">
        <v>581</v>
      </c>
      <c r="E169" s="2">
        <v>0</v>
      </c>
      <c r="F169" s="2">
        <v>0</v>
      </c>
      <c r="G169" s="2">
        <v>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M169" s="2"/>
      <c r="N169" s="2"/>
      <c r="P169" s="1">
        <f>I169-'Passo 1'!I169</f>
        <v>0</v>
      </c>
      <c r="Q169" s="1">
        <f>J169-'Passo 1'!J169</f>
        <v>0</v>
      </c>
      <c r="R169" s="1">
        <f t="shared" si="9"/>
        <v>0</v>
      </c>
      <c r="S169">
        <f t="shared" si="8"/>
        <v>0</v>
      </c>
      <c r="T169" s="1">
        <f t="shared" si="10"/>
        <v>0</v>
      </c>
      <c r="U169" s="1">
        <f t="shared" si="11"/>
        <v>0</v>
      </c>
    </row>
    <row r="170" spans="1:21" x14ac:dyDescent="0.3">
      <c r="A170" t="s">
        <v>57</v>
      </c>
      <c r="B170" t="s">
        <v>130</v>
      </c>
      <c r="C170" t="s">
        <v>34</v>
      </c>
      <c r="D170" t="s">
        <v>35</v>
      </c>
      <c r="E170" s="2">
        <v>81.097999999999999</v>
      </c>
      <c r="F170" s="2">
        <v>0</v>
      </c>
      <c r="G170" s="2">
        <v>39.5595</v>
      </c>
      <c r="H170" s="2">
        <v>-38.935499999999998</v>
      </c>
      <c r="I170" s="1">
        <v>0.98779871266862296</v>
      </c>
      <c r="J170" s="1">
        <v>0.98010431823226196</v>
      </c>
      <c r="K170" s="1">
        <v>0.87666006801391905</v>
      </c>
      <c r="L170" s="1">
        <v>0.59124296288696498</v>
      </c>
      <c r="M170" s="2"/>
      <c r="N170" s="2"/>
      <c r="P170" s="1">
        <f>I170-'Passo 1'!I170</f>
        <v>1.8039902340378999E-2</v>
      </c>
      <c r="Q170" s="1">
        <f>J170-'Passo 1'!J170</f>
        <v>5.3700461170439473E-3</v>
      </c>
      <c r="R170" s="1">
        <f t="shared" si="9"/>
        <v>80.108499999999978</v>
      </c>
      <c r="S170">
        <f t="shared" si="8"/>
        <v>79.484499999999983</v>
      </c>
      <c r="T170" s="1">
        <f t="shared" si="10"/>
        <v>71.095378195792804</v>
      </c>
      <c r="U170" s="1">
        <f t="shared" si="11"/>
        <v>47.948621804207086</v>
      </c>
    </row>
    <row r="171" spans="1:21" x14ac:dyDescent="0.3">
      <c r="A171" t="s">
        <v>57</v>
      </c>
      <c r="B171" t="s">
        <v>639</v>
      </c>
      <c r="C171" t="s">
        <v>580</v>
      </c>
      <c r="D171" t="s">
        <v>581</v>
      </c>
      <c r="E171" s="2">
        <v>126.643</v>
      </c>
      <c r="F171" s="2">
        <v>0</v>
      </c>
      <c r="G171" s="2">
        <v>58.470999999999997</v>
      </c>
      <c r="H171" s="2">
        <v>-52.248999999999903</v>
      </c>
      <c r="I171" s="1">
        <v>0.96169942278688902</v>
      </c>
      <c r="J171" s="1">
        <v>0.91256919055928798</v>
      </c>
      <c r="K171" s="1">
        <v>0.82995279911394704</v>
      </c>
      <c r="L171" s="1">
        <v>0.54431581423222897</v>
      </c>
      <c r="M171" s="2"/>
      <c r="N171" s="2"/>
      <c r="P171" s="1">
        <f>I171-'Passo 1'!I171</f>
        <v>1.3032698214667016E-2</v>
      </c>
      <c r="Q171" s="1">
        <f>J171-'Passo 1'!J171</f>
        <v>5.0251494358156013E-2</v>
      </c>
      <c r="R171" s="1">
        <f t="shared" si="9"/>
        <v>121.79249999999999</v>
      </c>
      <c r="S171">
        <f t="shared" si="8"/>
        <v>115.57049999999991</v>
      </c>
      <c r="T171" s="1">
        <f t="shared" si="10"/>
        <v>105.1077123381876</v>
      </c>
      <c r="U171" s="1">
        <f t="shared" si="11"/>
        <v>68.933787661812175</v>
      </c>
    </row>
    <row r="172" spans="1:21" x14ac:dyDescent="0.3">
      <c r="A172" t="s">
        <v>57</v>
      </c>
      <c r="B172" t="s">
        <v>640</v>
      </c>
      <c r="C172" t="s">
        <v>580</v>
      </c>
      <c r="D172" t="s">
        <v>581</v>
      </c>
      <c r="E172" s="2">
        <v>297.04300000000001</v>
      </c>
      <c r="F172" s="2">
        <v>0</v>
      </c>
      <c r="G172" s="2">
        <v>145.529</v>
      </c>
      <c r="H172" s="2">
        <v>-147.53749999999999</v>
      </c>
      <c r="I172" s="1">
        <v>0.98992570099278498</v>
      </c>
      <c r="J172" s="1">
        <v>0.99668734829637395</v>
      </c>
      <c r="K172" s="1">
        <v>0.78823514903157599</v>
      </c>
      <c r="L172" s="1">
        <v>0.69837790025758395</v>
      </c>
      <c r="M172" s="2"/>
      <c r="N172" s="2"/>
      <c r="P172" s="1">
        <f>I172-'Passo 1'!I172</f>
        <v>0.10778405820032799</v>
      </c>
      <c r="Q172" s="1">
        <f>J172-'Passo 1'!J172</f>
        <v>3.9665974286550942E-2</v>
      </c>
      <c r="R172" s="1">
        <f t="shared" si="9"/>
        <v>294.05049999999983</v>
      </c>
      <c r="S172">
        <f t="shared" si="8"/>
        <v>296.0589999999998</v>
      </c>
      <c r="T172" s="1">
        <f t="shared" si="10"/>
        <v>234.13973337378644</v>
      </c>
      <c r="U172" s="1">
        <f t="shared" si="11"/>
        <v>207.44826662621352</v>
      </c>
    </row>
    <row r="173" spans="1:21" x14ac:dyDescent="0.3">
      <c r="A173" t="s">
        <v>57</v>
      </c>
      <c r="B173" t="s">
        <v>641</v>
      </c>
      <c r="C173" t="s">
        <v>580</v>
      </c>
      <c r="D173" t="s">
        <v>581</v>
      </c>
      <c r="E173" s="2">
        <v>175.06200000000001</v>
      </c>
      <c r="F173" s="2">
        <v>0</v>
      </c>
      <c r="G173" s="2">
        <v>77.372999999999905</v>
      </c>
      <c r="H173" s="2">
        <v>-77.648499999999999</v>
      </c>
      <c r="I173" s="1">
        <v>0.94197484319840896</v>
      </c>
      <c r="J173" s="1">
        <v>0.94354857136328796</v>
      </c>
      <c r="K173" s="1">
        <v>0.77997370479624095</v>
      </c>
      <c r="L173" s="1">
        <v>0.60554970976545697</v>
      </c>
      <c r="M173" s="2"/>
      <c r="N173" s="2"/>
      <c r="P173" s="1">
        <f>I173-'Passo 1'!I173</f>
        <v>3.9111857513338011E-2</v>
      </c>
      <c r="Q173" s="1">
        <f>J173-'Passo 1'!J173</f>
        <v>5.1798791285372903E-2</v>
      </c>
      <c r="R173" s="1">
        <f t="shared" si="9"/>
        <v>164.90399999999988</v>
      </c>
      <c r="S173">
        <f t="shared" si="8"/>
        <v>165.17949999999993</v>
      </c>
      <c r="T173" s="1">
        <f t="shared" si="10"/>
        <v>136.54375670903954</v>
      </c>
      <c r="U173" s="1">
        <f t="shared" si="11"/>
        <v>106.00874329096044</v>
      </c>
    </row>
    <row r="174" spans="1:21" x14ac:dyDescent="0.3">
      <c r="A174" t="s">
        <v>57</v>
      </c>
      <c r="B174" t="s">
        <v>131</v>
      </c>
      <c r="C174" t="s">
        <v>580</v>
      </c>
      <c r="D174" t="s">
        <v>581</v>
      </c>
      <c r="E174" s="2">
        <v>189.50200000000001</v>
      </c>
      <c r="F174" s="2">
        <v>0</v>
      </c>
      <c r="G174" s="2">
        <v>87.578000000000003</v>
      </c>
      <c r="H174" s="2">
        <v>-89.99</v>
      </c>
      <c r="I174" s="1">
        <v>0.96214815674768595</v>
      </c>
      <c r="J174" s="1">
        <v>0.97487625460417204</v>
      </c>
      <c r="K174" s="1">
        <v>0.81074776721025099</v>
      </c>
      <c r="L174" s="1">
        <v>0.626276644141607</v>
      </c>
      <c r="M174" s="2"/>
      <c r="N174" s="2"/>
      <c r="P174" s="1">
        <f>I174-'Passo 1'!I174</f>
        <v>2.772266255765099E-2</v>
      </c>
      <c r="Q174" s="1">
        <f>J174-'Passo 1'!J174</f>
        <v>0.1042548363605651</v>
      </c>
      <c r="R174" s="1">
        <f t="shared" si="9"/>
        <v>182.32899999999998</v>
      </c>
      <c r="S174">
        <f t="shared" si="8"/>
        <v>184.74099999999981</v>
      </c>
      <c r="T174" s="1">
        <f t="shared" si="10"/>
        <v>153.638323381877</v>
      </c>
      <c r="U174" s="1">
        <f t="shared" si="11"/>
        <v>118.68067661812282</v>
      </c>
    </row>
    <row r="175" spans="1:21" x14ac:dyDescent="0.3">
      <c r="A175" t="s">
        <v>57</v>
      </c>
      <c r="B175" t="s">
        <v>132</v>
      </c>
      <c r="C175" t="s">
        <v>34</v>
      </c>
      <c r="D175" t="s">
        <v>35</v>
      </c>
      <c r="E175" s="2">
        <v>218.75299999999999</v>
      </c>
      <c r="F175" s="2">
        <v>0</v>
      </c>
      <c r="G175" s="2">
        <v>98.917000000000002</v>
      </c>
      <c r="H175" s="2">
        <v>-109.37649999999999</v>
      </c>
      <c r="I175" s="1">
        <v>0.95218579859476205</v>
      </c>
      <c r="J175" s="1">
        <v>1</v>
      </c>
      <c r="K175" s="1">
        <v>0.85126328179658295</v>
      </c>
      <c r="L175" s="1">
        <v>0.60092251679817899</v>
      </c>
      <c r="M175" s="2"/>
      <c r="N175" s="2"/>
      <c r="P175" s="1">
        <f>I175-'Passo 1'!I175</f>
        <v>4.5190237391030008E-2</v>
      </c>
      <c r="Q175" s="1">
        <f>J175-'Passo 1'!J175</f>
        <v>2.9142457474869987E-3</v>
      </c>
      <c r="R175" s="1">
        <f t="shared" si="9"/>
        <v>208.29349999999997</v>
      </c>
      <c r="S175">
        <f t="shared" si="8"/>
        <v>218.75299999999999</v>
      </c>
      <c r="T175" s="1">
        <f t="shared" si="10"/>
        <v>186.21639668284789</v>
      </c>
      <c r="U175" s="1">
        <f t="shared" si="11"/>
        <v>131.45360331715204</v>
      </c>
    </row>
    <row r="176" spans="1:21" x14ac:dyDescent="0.3">
      <c r="A176" t="s">
        <v>57</v>
      </c>
      <c r="B176" t="s">
        <v>133</v>
      </c>
      <c r="C176" t="s">
        <v>580</v>
      </c>
      <c r="D176" t="s">
        <v>581</v>
      </c>
      <c r="E176" s="2">
        <v>122.13</v>
      </c>
      <c r="F176" s="2">
        <v>0</v>
      </c>
      <c r="G176" s="2">
        <v>55.990499999999997</v>
      </c>
      <c r="H176" s="2">
        <v>-55.06</v>
      </c>
      <c r="I176" s="1">
        <v>0.958450012281994</v>
      </c>
      <c r="J176" s="1">
        <v>0.95083108163432395</v>
      </c>
      <c r="K176" s="1">
        <v>0.81744493936775398</v>
      </c>
      <c r="L176" s="1">
        <v>0.59183615454856398</v>
      </c>
      <c r="M176" s="2"/>
      <c r="N176" s="2"/>
      <c r="P176" s="1">
        <f>I176-'Passo 1'!I176</f>
        <v>1.6666666666666052E-2</v>
      </c>
      <c r="Q176" s="1">
        <f>J176-'Passo 1'!J176</f>
        <v>8.4794890690247926E-2</v>
      </c>
      <c r="R176" s="1">
        <f t="shared" si="9"/>
        <v>117.05549999999992</v>
      </c>
      <c r="S176">
        <f t="shared" si="8"/>
        <v>116.12499999999999</v>
      </c>
      <c r="T176" s="1">
        <f t="shared" si="10"/>
        <v>99.83455044498379</v>
      </c>
      <c r="U176" s="1">
        <f t="shared" si="11"/>
        <v>72.280949555016122</v>
      </c>
    </row>
    <row r="177" spans="1:21" x14ac:dyDescent="0.3">
      <c r="A177" t="s">
        <v>57</v>
      </c>
      <c r="B177" t="s">
        <v>642</v>
      </c>
      <c r="C177" t="s">
        <v>580</v>
      </c>
      <c r="D177" t="s">
        <v>581</v>
      </c>
      <c r="E177" s="2">
        <v>80.447999999999993</v>
      </c>
      <c r="F177" s="2">
        <v>0</v>
      </c>
      <c r="G177" s="2">
        <v>35.079500000000003</v>
      </c>
      <c r="H177" s="2">
        <v>-29.413</v>
      </c>
      <c r="I177" s="1">
        <v>0.93605185958631598</v>
      </c>
      <c r="J177" s="1">
        <v>0.86561505568814601</v>
      </c>
      <c r="K177" s="1">
        <v>0.73029455055733195</v>
      </c>
      <c r="L177" s="1">
        <v>0.57137236471713104</v>
      </c>
      <c r="M177" s="2"/>
      <c r="N177" s="2"/>
      <c r="P177" s="1">
        <f>I177-'Passo 1'!I177</f>
        <v>0.104191527446301</v>
      </c>
      <c r="Q177" s="1">
        <f>J177-'Passo 1'!J177</f>
        <v>0.10287390612569602</v>
      </c>
      <c r="R177" s="1">
        <f t="shared" si="9"/>
        <v>75.303499999999943</v>
      </c>
      <c r="S177">
        <f t="shared" si="8"/>
        <v>69.636999999999958</v>
      </c>
      <c r="T177" s="1">
        <f t="shared" si="10"/>
        <v>58.750736003236234</v>
      </c>
      <c r="U177" s="1">
        <f t="shared" si="11"/>
        <v>45.965763996763755</v>
      </c>
    </row>
    <row r="178" spans="1:21" x14ac:dyDescent="0.3">
      <c r="A178" t="s">
        <v>57</v>
      </c>
      <c r="B178" t="s">
        <v>643</v>
      </c>
      <c r="C178" t="s">
        <v>580</v>
      </c>
      <c r="D178" t="s">
        <v>581</v>
      </c>
      <c r="E178" s="2">
        <v>60.494999999999997</v>
      </c>
      <c r="F178" s="2">
        <v>0</v>
      </c>
      <c r="G178" s="2">
        <v>23.357500000000002</v>
      </c>
      <c r="H178" s="2">
        <v>-25.576499999999999</v>
      </c>
      <c r="I178" s="1">
        <v>0.88610628977601402</v>
      </c>
      <c r="J178" s="1">
        <v>0.92278700719067697</v>
      </c>
      <c r="K178" s="1">
        <v>0.69109870670527995</v>
      </c>
      <c r="L178" s="1">
        <v>0.61779459026141104</v>
      </c>
      <c r="M178" s="2"/>
      <c r="N178" s="2"/>
      <c r="P178" s="1">
        <f>I178-'Passo 1'!I178</f>
        <v>5.2186131085213971E-2</v>
      </c>
      <c r="Q178" s="1">
        <f>J178-'Passo 1'!J178</f>
        <v>8.4519381767088952E-2</v>
      </c>
      <c r="R178" s="1">
        <f t="shared" si="9"/>
        <v>53.604999999999968</v>
      </c>
      <c r="S178">
        <f t="shared" si="8"/>
        <v>55.823999999999998</v>
      </c>
      <c r="T178" s="1">
        <f t="shared" si="10"/>
        <v>41.808016262135908</v>
      </c>
      <c r="U178" s="1">
        <f t="shared" si="11"/>
        <v>37.373483737864056</v>
      </c>
    </row>
    <row r="179" spans="1:21" x14ac:dyDescent="0.3">
      <c r="A179" t="s">
        <v>57</v>
      </c>
      <c r="B179" t="s">
        <v>644</v>
      </c>
      <c r="C179" t="s">
        <v>580</v>
      </c>
      <c r="D179" t="s">
        <v>581</v>
      </c>
      <c r="E179" s="2">
        <v>252.46199999999999</v>
      </c>
      <c r="F179" s="2">
        <v>0</v>
      </c>
      <c r="G179" s="2">
        <v>99.12</v>
      </c>
      <c r="H179" s="2">
        <v>-106.0305</v>
      </c>
      <c r="I179" s="1">
        <v>0.89261354183996</v>
      </c>
      <c r="J179" s="1">
        <v>0.91998597808779103</v>
      </c>
      <c r="K179" s="1">
        <v>0.69495761677511203</v>
      </c>
      <c r="L179" s="1">
        <v>0.617641903152639</v>
      </c>
      <c r="M179" s="2"/>
      <c r="N179" s="2"/>
      <c r="P179" s="1">
        <f>I179-'Passo 1'!I179</f>
        <v>0.10669724552605997</v>
      </c>
      <c r="Q179" s="1">
        <f>J179-'Passo 1'!J179</f>
        <v>3.4125927862411087E-2</v>
      </c>
      <c r="R179" s="1">
        <f t="shared" si="9"/>
        <v>225.35099999999997</v>
      </c>
      <c r="S179">
        <f t="shared" si="8"/>
        <v>232.2614999999999</v>
      </c>
      <c r="T179" s="1">
        <f t="shared" si="10"/>
        <v>175.45038984627831</v>
      </c>
      <c r="U179" s="1">
        <f t="shared" si="11"/>
        <v>155.93111015372153</v>
      </c>
    </row>
    <row r="180" spans="1:21" x14ac:dyDescent="0.3">
      <c r="A180" t="s">
        <v>57</v>
      </c>
      <c r="B180" t="s">
        <v>134</v>
      </c>
      <c r="C180" t="s">
        <v>34</v>
      </c>
      <c r="D180" t="s">
        <v>35</v>
      </c>
      <c r="E180" s="2">
        <v>200</v>
      </c>
      <c r="F180" s="2">
        <v>0</v>
      </c>
      <c r="G180" s="2">
        <v>100</v>
      </c>
      <c r="H180" s="2">
        <v>-100</v>
      </c>
      <c r="I180" s="1">
        <v>1</v>
      </c>
      <c r="J180" s="1">
        <v>1</v>
      </c>
      <c r="K180" s="1">
        <v>0.93593577791262095</v>
      </c>
      <c r="L180" s="1">
        <v>0.56406422208737805</v>
      </c>
      <c r="M180" s="2"/>
      <c r="N180" s="2"/>
      <c r="P180" s="1">
        <f>I180-'Passo 1'!I180</f>
        <v>0.21430499999999997</v>
      </c>
      <c r="Q180" s="1">
        <f>J180-'Passo 1'!J180</f>
        <v>0.18972250000000002</v>
      </c>
      <c r="R180" s="1">
        <f t="shared" si="9"/>
        <v>200</v>
      </c>
      <c r="S180">
        <f t="shared" si="8"/>
        <v>200</v>
      </c>
      <c r="T180" s="1">
        <f t="shared" si="10"/>
        <v>187.18715558252418</v>
      </c>
      <c r="U180" s="1">
        <f t="shared" si="11"/>
        <v>112.81284441747562</v>
      </c>
    </row>
    <row r="181" spans="1:21" x14ac:dyDescent="0.3">
      <c r="A181" t="s">
        <v>57</v>
      </c>
      <c r="B181" t="s">
        <v>135</v>
      </c>
      <c r="C181" t="s">
        <v>34</v>
      </c>
      <c r="D181" t="s">
        <v>35</v>
      </c>
      <c r="E181" s="2">
        <v>154.08000000000001</v>
      </c>
      <c r="F181" s="2">
        <v>0</v>
      </c>
      <c r="G181" s="2">
        <v>73.44</v>
      </c>
      <c r="H181" s="2">
        <v>-76.81</v>
      </c>
      <c r="I181" s="1">
        <v>0.97663551401869098</v>
      </c>
      <c r="J181" s="1">
        <v>0.99850726895119402</v>
      </c>
      <c r="K181" s="1">
        <v>0.85322935911282105</v>
      </c>
      <c r="L181" s="1">
        <v>0.62191342385706305</v>
      </c>
      <c r="M181" s="2"/>
      <c r="N181" s="2"/>
      <c r="P181" s="1">
        <f>I181-'Passo 1'!I181</f>
        <v>3.5062954309449945E-2</v>
      </c>
      <c r="Q181" s="1">
        <f>J181-'Passo 1'!J181</f>
        <v>8.2791407061266975E-2</v>
      </c>
      <c r="R181" s="1">
        <f t="shared" si="9"/>
        <v>150.4799999999999</v>
      </c>
      <c r="S181">
        <f t="shared" si="8"/>
        <v>153.85</v>
      </c>
      <c r="T181" s="1">
        <f t="shared" si="10"/>
        <v>131.46557965210349</v>
      </c>
      <c r="U181" s="1">
        <f t="shared" si="11"/>
        <v>95.824420347896279</v>
      </c>
    </row>
    <row r="182" spans="1:21" x14ac:dyDescent="0.3">
      <c r="A182" t="s">
        <v>57</v>
      </c>
      <c r="B182" t="s">
        <v>136</v>
      </c>
      <c r="C182" t="s">
        <v>580</v>
      </c>
      <c r="D182" t="s">
        <v>581</v>
      </c>
      <c r="E182" s="2">
        <v>97.884</v>
      </c>
      <c r="F182" s="2">
        <v>0</v>
      </c>
      <c r="G182" s="2">
        <v>44.526499999999999</v>
      </c>
      <c r="H182" s="2">
        <v>-35.872</v>
      </c>
      <c r="I182" s="1">
        <v>0.95489048261207099</v>
      </c>
      <c r="J182" s="1">
        <v>0.86647460259082099</v>
      </c>
      <c r="K182" s="1">
        <v>0.80206134438908006</v>
      </c>
      <c r="L182" s="1">
        <v>0.51930374081381203</v>
      </c>
      <c r="M182" s="2"/>
      <c r="N182" s="2"/>
      <c r="P182" s="1">
        <f>I182-'Passo 1'!I182</f>
        <v>9.3120428262024935E-2</v>
      </c>
      <c r="Q182" s="1">
        <f>J182-'Passo 1'!J182</f>
        <v>5.6321768624085E-2</v>
      </c>
      <c r="R182" s="1">
        <f t="shared" si="9"/>
        <v>93.468499999999963</v>
      </c>
      <c r="S182">
        <f t="shared" si="8"/>
        <v>84.813999999999922</v>
      </c>
      <c r="T182" s="1">
        <f t="shared" si="10"/>
        <v>78.508972634180708</v>
      </c>
      <c r="U182" s="1">
        <f t="shared" si="11"/>
        <v>50.831527365819177</v>
      </c>
    </row>
    <row r="183" spans="1:21" x14ac:dyDescent="0.3">
      <c r="A183" t="s">
        <v>57</v>
      </c>
      <c r="B183" t="s">
        <v>137</v>
      </c>
      <c r="C183" t="s">
        <v>580</v>
      </c>
      <c r="D183" t="s">
        <v>581</v>
      </c>
      <c r="E183" s="2">
        <v>270.80700000000002</v>
      </c>
      <c r="F183" s="2">
        <v>0</v>
      </c>
      <c r="G183" s="2">
        <v>107.5895</v>
      </c>
      <c r="H183" s="2">
        <v>-127.36750000000001</v>
      </c>
      <c r="I183" s="1">
        <v>0.89729216748459195</v>
      </c>
      <c r="J183" s="1">
        <v>0.97032573013252899</v>
      </c>
      <c r="K183" s="1">
        <v>0.67958666975791504</v>
      </c>
      <c r="L183" s="1">
        <v>0.68803122785920601</v>
      </c>
      <c r="M183" s="2"/>
      <c r="N183" s="2"/>
      <c r="P183" s="1">
        <f>I183-'Passo 1'!I183</f>
        <v>-2.5955754467202996E-2</v>
      </c>
      <c r="Q183" s="1">
        <f>J183-'Passo 1'!J183</f>
        <v>1.8875066006417973E-2</v>
      </c>
      <c r="R183" s="1">
        <f t="shared" si="9"/>
        <v>242.99299999999991</v>
      </c>
      <c r="S183">
        <f t="shared" si="8"/>
        <v>262.77099999999979</v>
      </c>
      <c r="T183" s="1">
        <f t="shared" si="10"/>
        <v>184.03682727713172</v>
      </c>
      <c r="U183" s="1">
        <f t="shared" si="11"/>
        <v>186.32367272286803</v>
      </c>
    </row>
    <row r="184" spans="1:21" x14ac:dyDescent="0.3">
      <c r="A184" t="s">
        <v>57</v>
      </c>
      <c r="B184" t="s">
        <v>138</v>
      </c>
      <c r="C184" t="s">
        <v>580</v>
      </c>
      <c r="D184" t="s">
        <v>581</v>
      </c>
      <c r="E184" s="2">
        <v>685.65800000000002</v>
      </c>
      <c r="F184" s="2">
        <v>0</v>
      </c>
      <c r="G184" s="2">
        <v>331.48450000000003</v>
      </c>
      <c r="H184" s="2">
        <v>-336.24950000000001</v>
      </c>
      <c r="I184" s="1">
        <v>0.98345457939672498</v>
      </c>
      <c r="J184" s="1">
        <v>0.99040410817054503</v>
      </c>
      <c r="K184" s="1">
        <v>0.74771645416156096</v>
      </c>
      <c r="L184" s="1">
        <v>0.72614223340570905</v>
      </c>
      <c r="M184" s="2"/>
      <c r="N184" s="2"/>
      <c r="P184" s="1">
        <f>I184-'Passo 1'!I184</f>
        <v>1.6678139830644034E-2</v>
      </c>
      <c r="Q184" s="1">
        <f>J184-'Passo 1'!J184</f>
        <v>5.7861207774138057E-2</v>
      </c>
      <c r="R184" s="1">
        <f t="shared" si="9"/>
        <v>674.31349999999964</v>
      </c>
      <c r="S184">
        <f t="shared" si="8"/>
        <v>679.07849999999962</v>
      </c>
      <c r="T184" s="1">
        <f t="shared" si="10"/>
        <v>512.67776852750762</v>
      </c>
      <c r="U184" s="1">
        <f t="shared" si="11"/>
        <v>497.88523147249168</v>
      </c>
    </row>
    <row r="185" spans="1:21" x14ac:dyDescent="0.3">
      <c r="A185" t="s">
        <v>57</v>
      </c>
      <c r="B185" t="s">
        <v>139</v>
      </c>
      <c r="C185" t="s">
        <v>580</v>
      </c>
      <c r="D185" t="s">
        <v>581</v>
      </c>
      <c r="E185" s="2">
        <v>0</v>
      </c>
      <c r="F185" s="2">
        <v>0</v>
      </c>
      <c r="G185" s="2">
        <v>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M185" s="2"/>
      <c r="N185" s="2"/>
      <c r="P185" s="1">
        <f>I185-'Passo 1'!I185</f>
        <v>0</v>
      </c>
      <c r="Q185" s="1">
        <f>J185-'Passo 1'!J185</f>
        <v>0</v>
      </c>
      <c r="R185" s="1">
        <f t="shared" si="9"/>
        <v>0</v>
      </c>
      <c r="S185">
        <f t="shared" si="8"/>
        <v>0</v>
      </c>
      <c r="T185" s="1">
        <f t="shared" si="10"/>
        <v>0</v>
      </c>
      <c r="U185" s="1">
        <f t="shared" si="11"/>
        <v>0</v>
      </c>
    </row>
    <row r="186" spans="1:21" x14ac:dyDescent="0.3">
      <c r="A186" t="s">
        <v>57</v>
      </c>
      <c r="B186" t="s">
        <v>140</v>
      </c>
      <c r="C186" t="s">
        <v>580</v>
      </c>
      <c r="D186" t="s">
        <v>581</v>
      </c>
      <c r="E186" s="2">
        <v>0</v>
      </c>
      <c r="F186" s="2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M186" s="2"/>
      <c r="N186" s="2"/>
      <c r="P186" s="1">
        <f>I186-'Passo 1'!I186</f>
        <v>0</v>
      </c>
      <c r="Q186" s="1">
        <f>J186-'Passo 1'!J186</f>
        <v>0</v>
      </c>
      <c r="R186" s="1">
        <f t="shared" si="9"/>
        <v>0</v>
      </c>
      <c r="S186">
        <f t="shared" si="8"/>
        <v>0</v>
      </c>
      <c r="T186" s="1">
        <f t="shared" si="10"/>
        <v>0</v>
      </c>
      <c r="U186" s="1">
        <f t="shared" si="11"/>
        <v>0</v>
      </c>
    </row>
    <row r="187" spans="1:21" x14ac:dyDescent="0.3">
      <c r="A187" t="s">
        <v>57</v>
      </c>
      <c r="B187" t="s">
        <v>141</v>
      </c>
      <c r="C187" t="s">
        <v>34</v>
      </c>
      <c r="D187" t="s">
        <v>35</v>
      </c>
      <c r="E187" s="2">
        <v>65</v>
      </c>
      <c r="F187" s="2">
        <v>0</v>
      </c>
      <c r="G187" s="2">
        <v>32.5</v>
      </c>
      <c r="H187" s="2">
        <v>-32.36</v>
      </c>
      <c r="I187" s="1">
        <v>1</v>
      </c>
      <c r="J187" s="1">
        <v>0.99784615384615305</v>
      </c>
      <c r="K187" s="1">
        <v>0.90855775765496605</v>
      </c>
      <c r="L187" s="1">
        <v>0.589288396191187</v>
      </c>
      <c r="M187" s="2"/>
      <c r="N187" s="2"/>
      <c r="P187" s="1">
        <f>I187-'Passo 1'!I187</f>
        <v>5.0307692307693053E-2</v>
      </c>
      <c r="Q187" s="1">
        <f>J187-'Passo 1'!J187</f>
        <v>0.10928461538461509</v>
      </c>
      <c r="R187" s="1">
        <f t="shared" si="9"/>
        <v>65</v>
      </c>
      <c r="S187">
        <f t="shared" si="8"/>
        <v>64.859999999999943</v>
      </c>
      <c r="T187" s="1">
        <f t="shared" si="10"/>
        <v>59.056254247572795</v>
      </c>
      <c r="U187" s="1">
        <f t="shared" si="11"/>
        <v>38.303745752427155</v>
      </c>
    </row>
    <row r="188" spans="1:21" x14ac:dyDescent="0.3">
      <c r="A188" t="s">
        <v>57</v>
      </c>
      <c r="B188" t="s">
        <v>142</v>
      </c>
      <c r="C188" t="s">
        <v>580</v>
      </c>
      <c r="D188" t="s">
        <v>581</v>
      </c>
      <c r="E188" s="2">
        <v>495.87400000000002</v>
      </c>
      <c r="F188" s="2">
        <v>0</v>
      </c>
      <c r="G188" s="2">
        <v>234.67250000000001</v>
      </c>
      <c r="H188" s="2">
        <v>-231.4025</v>
      </c>
      <c r="I188" s="1">
        <v>0.97325026115505098</v>
      </c>
      <c r="J188" s="1">
        <v>0.96665584402489302</v>
      </c>
      <c r="K188" s="1">
        <v>0.74547177817825105</v>
      </c>
      <c r="L188" s="1">
        <v>0.69443432700169305</v>
      </c>
      <c r="M188" s="2"/>
      <c r="N188" s="2"/>
      <c r="P188" s="1">
        <f>I188-'Passo 1'!I188</f>
        <v>1.0417969080855016E-2</v>
      </c>
      <c r="Q188" s="1">
        <f>J188-'Passo 1'!J188</f>
        <v>5.235906702105797E-2</v>
      </c>
      <c r="R188" s="1">
        <f t="shared" si="9"/>
        <v>482.6094999999998</v>
      </c>
      <c r="S188">
        <f t="shared" si="8"/>
        <v>479.33949999999982</v>
      </c>
      <c r="T188" s="1">
        <f t="shared" si="10"/>
        <v>369.66007253236211</v>
      </c>
      <c r="U188" s="1">
        <f t="shared" si="11"/>
        <v>344.35192746763755</v>
      </c>
    </row>
    <row r="189" spans="1:21" x14ac:dyDescent="0.3">
      <c r="A189" t="s">
        <v>57</v>
      </c>
      <c r="B189" t="s">
        <v>143</v>
      </c>
      <c r="C189" t="s">
        <v>34</v>
      </c>
      <c r="D189" t="s">
        <v>35</v>
      </c>
      <c r="E189" s="2">
        <v>192.09399999999999</v>
      </c>
      <c r="F189" s="2">
        <v>0</v>
      </c>
      <c r="G189" s="2">
        <v>88.877499999999998</v>
      </c>
      <c r="H189" s="2">
        <v>-84</v>
      </c>
      <c r="I189" s="1">
        <v>0.96267712682332596</v>
      </c>
      <c r="J189" s="1">
        <v>0.93728591210553103</v>
      </c>
      <c r="K189" s="1">
        <v>0.85865190482188003</v>
      </c>
      <c r="L189" s="1">
        <v>0.54131113410697695</v>
      </c>
      <c r="M189" s="2"/>
      <c r="N189" s="2"/>
      <c r="P189" s="1">
        <f>I189-'Passo 1'!I189</f>
        <v>-5.5962185180102875E-4</v>
      </c>
      <c r="Q189" s="1">
        <f>J189-'Passo 1'!J189</f>
        <v>6.6719939196435041E-2</v>
      </c>
      <c r="R189" s="1">
        <f t="shared" si="9"/>
        <v>184.92449999999997</v>
      </c>
      <c r="S189">
        <f t="shared" si="8"/>
        <v>180.04699999999988</v>
      </c>
      <c r="T189" s="1">
        <f t="shared" si="10"/>
        <v>164.94187900485423</v>
      </c>
      <c r="U189" s="1">
        <f t="shared" si="11"/>
        <v>103.98262099514562</v>
      </c>
    </row>
    <row r="190" spans="1:21" x14ac:dyDescent="0.3">
      <c r="A190" t="s">
        <v>57</v>
      </c>
      <c r="B190" t="s">
        <v>645</v>
      </c>
      <c r="C190" t="s">
        <v>580</v>
      </c>
      <c r="D190" t="s">
        <v>581</v>
      </c>
      <c r="E190" s="2">
        <v>0</v>
      </c>
      <c r="F190" s="2">
        <v>0</v>
      </c>
      <c r="G190" s="2">
        <v>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M190" s="2"/>
      <c r="N190" s="2"/>
      <c r="P190" s="1">
        <f>I190-'Passo 1'!I190</f>
        <v>0</v>
      </c>
      <c r="Q190" s="1">
        <f>J190-'Passo 1'!J190</f>
        <v>0</v>
      </c>
      <c r="R190" s="1">
        <f t="shared" si="9"/>
        <v>0</v>
      </c>
      <c r="S190">
        <f t="shared" si="8"/>
        <v>0</v>
      </c>
      <c r="T190" s="1">
        <f t="shared" si="10"/>
        <v>0</v>
      </c>
      <c r="U190" s="1">
        <f t="shared" si="11"/>
        <v>0</v>
      </c>
    </row>
    <row r="191" spans="1:21" x14ac:dyDescent="0.3">
      <c r="A191" t="s">
        <v>57</v>
      </c>
      <c r="B191" t="s">
        <v>144</v>
      </c>
      <c r="C191" t="s">
        <v>34</v>
      </c>
      <c r="D191" t="s">
        <v>35</v>
      </c>
      <c r="E191" s="2">
        <v>0</v>
      </c>
      <c r="F191" s="2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M191" s="2"/>
      <c r="N191" s="2"/>
      <c r="P191" s="1">
        <f>I191-'Passo 1'!I191</f>
        <v>0</v>
      </c>
      <c r="Q191" s="1">
        <f>J191-'Passo 1'!J191</f>
        <v>0</v>
      </c>
      <c r="R191" s="1">
        <f t="shared" si="9"/>
        <v>0</v>
      </c>
      <c r="S191">
        <f t="shared" si="8"/>
        <v>0</v>
      </c>
      <c r="T191" s="1">
        <f t="shared" si="10"/>
        <v>0</v>
      </c>
      <c r="U191" s="1">
        <f t="shared" si="11"/>
        <v>0</v>
      </c>
    </row>
    <row r="192" spans="1:21" x14ac:dyDescent="0.3">
      <c r="A192" t="s">
        <v>57</v>
      </c>
      <c r="B192" t="s">
        <v>145</v>
      </c>
      <c r="C192" t="s">
        <v>34</v>
      </c>
      <c r="D192" t="s">
        <v>35</v>
      </c>
      <c r="E192" s="2">
        <v>111.72499999999999</v>
      </c>
      <c r="F192" s="2">
        <v>0</v>
      </c>
      <c r="G192" s="2">
        <v>49.136000000000003</v>
      </c>
      <c r="H192" s="2">
        <v>-49.5</v>
      </c>
      <c r="I192" s="1">
        <v>0.939794137390915</v>
      </c>
      <c r="J192" s="1">
        <v>0.94305213694338696</v>
      </c>
      <c r="K192" s="1">
        <v>0.81948176724084798</v>
      </c>
      <c r="L192" s="1">
        <v>0.56336450709345398</v>
      </c>
      <c r="M192" s="2"/>
      <c r="N192" s="2"/>
      <c r="P192" s="1">
        <f>I192-'Passo 1'!I192</f>
        <v>1.6576415305437964E-2</v>
      </c>
      <c r="Q192" s="1">
        <f>J192-'Passo 1'!J192</f>
        <v>5.6357126874020946E-2</v>
      </c>
      <c r="R192" s="1">
        <f t="shared" si="9"/>
        <v>104.99849999999998</v>
      </c>
      <c r="S192">
        <f t="shared" si="8"/>
        <v>105.3624999999999</v>
      </c>
      <c r="T192" s="1">
        <f t="shared" si="10"/>
        <v>91.556600444983729</v>
      </c>
      <c r="U192" s="1">
        <f t="shared" si="11"/>
        <v>62.941899555016143</v>
      </c>
    </row>
    <row r="193" spans="1:21" x14ac:dyDescent="0.3">
      <c r="A193" t="s">
        <v>57</v>
      </c>
      <c r="B193" t="s">
        <v>146</v>
      </c>
      <c r="C193" t="s">
        <v>580</v>
      </c>
      <c r="D193" t="s">
        <v>581</v>
      </c>
      <c r="E193" s="2">
        <v>76.466999999999999</v>
      </c>
      <c r="F193" s="2">
        <v>0</v>
      </c>
      <c r="G193" s="2">
        <v>33.987000000000002</v>
      </c>
      <c r="H193" s="2">
        <v>-28.729499999999899</v>
      </c>
      <c r="I193" s="1">
        <v>0.94446624033896898</v>
      </c>
      <c r="J193" s="1">
        <v>0.875711091058888</v>
      </c>
      <c r="K193" s="1">
        <v>0.77960574496187895</v>
      </c>
      <c r="L193" s="1">
        <v>0.54057158643597802</v>
      </c>
      <c r="M193" s="2"/>
      <c r="N193" s="2"/>
      <c r="P193" s="1">
        <f>I193-'Passo 1'!I193</f>
        <v>0.15655773078582902</v>
      </c>
      <c r="Q193" s="1">
        <f>J193-'Passo 1'!J193</f>
        <v>8.1355355905161963E-2</v>
      </c>
      <c r="R193" s="1">
        <f t="shared" si="9"/>
        <v>72.220499999999944</v>
      </c>
      <c r="S193">
        <f t="shared" si="8"/>
        <v>66.962999999999994</v>
      </c>
      <c r="T193" s="1">
        <f t="shared" si="10"/>
        <v>59.614112499999997</v>
      </c>
      <c r="U193" s="1">
        <f t="shared" si="11"/>
        <v>41.335887499999934</v>
      </c>
    </row>
    <row r="194" spans="1:21" x14ac:dyDescent="0.3">
      <c r="A194" t="s">
        <v>57</v>
      </c>
      <c r="B194" t="s">
        <v>147</v>
      </c>
      <c r="C194" t="s">
        <v>580</v>
      </c>
      <c r="D194" t="s">
        <v>581</v>
      </c>
      <c r="E194" s="2">
        <v>99.554000000000002</v>
      </c>
      <c r="F194" s="2">
        <v>0</v>
      </c>
      <c r="G194" s="2">
        <v>44.113</v>
      </c>
      <c r="H194" s="2">
        <v>-37.701999999999998</v>
      </c>
      <c r="I194" s="1">
        <v>0.94310625389235903</v>
      </c>
      <c r="J194" s="1">
        <v>0.87870904232878599</v>
      </c>
      <c r="K194" s="1">
        <v>0.82373132593697895</v>
      </c>
      <c r="L194" s="1">
        <v>0.49808397028416601</v>
      </c>
      <c r="M194" s="2"/>
      <c r="N194" s="2"/>
      <c r="P194" s="1">
        <f>I194-'Passo 1'!I194</f>
        <v>5.6085139723164978E-2</v>
      </c>
      <c r="Q194" s="1">
        <f>J194-'Passo 1'!J194</f>
        <v>1.8909335636940972E-2</v>
      </c>
      <c r="R194" s="1">
        <f t="shared" si="9"/>
        <v>93.889999999999915</v>
      </c>
      <c r="S194">
        <f t="shared" ref="S194:S257" si="12">J194*E194</f>
        <v>87.478999999999957</v>
      </c>
      <c r="T194" s="1">
        <f t="shared" si="10"/>
        <v>82.005748422330001</v>
      </c>
      <c r="U194" s="1">
        <f t="shared" si="11"/>
        <v>49.586251577669863</v>
      </c>
    </row>
    <row r="195" spans="1:21" x14ac:dyDescent="0.3">
      <c r="A195" t="s">
        <v>57</v>
      </c>
      <c r="B195" t="s">
        <v>148</v>
      </c>
      <c r="C195" t="s">
        <v>34</v>
      </c>
      <c r="D195" t="s">
        <v>35</v>
      </c>
      <c r="E195" s="2">
        <v>354.84899999999999</v>
      </c>
      <c r="F195" s="2">
        <v>0</v>
      </c>
      <c r="G195" s="2">
        <v>177.23050000000001</v>
      </c>
      <c r="H195" s="2">
        <v>-175.54</v>
      </c>
      <c r="I195" s="1">
        <v>0.99945328858190297</v>
      </c>
      <c r="J195" s="1">
        <v>0.99468929037421505</v>
      </c>
      <c r="K195" s="1">
        <v>0.89040478319444205</v>
      </c>
      <c r="L195" s="1">
        <v>0.60373779576167697</v>
      </c>
      <c r="M195" s="2"/>
      <c r="N195" s="2"/>
      <c r="P195" s="1">
        <f>I195-'Passo 1'!I195</f>
        <v>7.4372479561728988E-2</v>
      </c>
      <c r="Q195" s="1">
        <f>J195-'Passo 1'!J195</f>
        <v>0.10696380714050202</v>
      </c>
      <c r="R195" s="1">
        <f t="shared" ref="R195:R258" si="13">I195*E195</f>
        <v>354.65499999999969</v>
      </c>
      <c r="S195">
        <f t="shared" si="12"/>
        <v>352.96449999999982</v>
      </c>
      <c r="T195" s="1">
        <f t="shared" ref="T195:T258" si="14">K195*E195</f>
        <v>315.95924691176458</v>
      </c>
      <c r="U195" s="1">
        <f t="shared" ref="U195:U258" si="15">L195*E195</f>
        <v>214.2357530882353</v>
      </c>
    </row>
    <row r="196" spans="1:21" x14ac:dyDescent="0.3">
      <c r="A196" t="s">
        <v>57</v>
      </c>
      <c r="B196" t="s">
        <v>149</v>
      </c>
      <c r="C196" t="s">
        <v>34</v>
      </c>
      <c r="D196" t="s">
        <v>35</v>
      </c>
      <c r="E196" s="2">
        <v>315.59699999999998</v>
      </c>
      <c r="F196" s="2">
        <v>0</v>
      </c>
      <c r="G196" s="2">
        <v>124.271</v>
      </c>
      <c r="H196" s="2">
        <v>-136.232</v>
      </c>
      <c r="I196" s="1">
        <v>0.89376483299904597</v>
      </c>
      <c r="J196" s="1">
        <v>0.93166443280512801</v>
      </c>
      <c r="K196" s="1">
        <v>0.79090425115944696</v>
      </c>
      <c r="L196" s="1">
        <v>0.53452501464472701</v>
      </c>
      <c r="M196" s="2"/>
      <c r="N196" s="2"/>
      <c r="P196" s="1">
        <f>I196-'Passo 1'!I196</f>
        <v>2.7758502140387997E-2</v>
      </c>
      <c r="Q196" s="1">
        <f>J196-'Passo 1'!J196</f>
        <v>0.11317598076027402</v>
      </c>
      <c r="R196" s="1">
        <f t="shared" si="13"/>
        <v>282.06949999999989</v>
      </c>
      <c r="S196">
        <f t="shared" si="12"/>
        <v>294.03049999999996</v>
      </c>
      <c r="T196" s="1">
        <f t="shared" si="14"/>
        <v>249.60700895316796</v>
      </c>
      <c r="U196" s="1">
        <f t="shared" si="15"/>
        <v>168.6944910468319</v>
      </c>
    </row>
    <row r="197" spans="1:21" x14ac:dyDescent="0.3">
      <c r="A197" t="s">
        <v>57</v>
      </c>
      <c r="B197" t="s">
        <v>150</v>
      </c>
      <c r="C197" t="s">
        <v>580</v>
      </c>
      <c r="D197" t="s">
        <v>581</v>
      </c>
      <c r="E197" s="2">
        <v>54.831000000000003</v>
      </c>
      <c r="F197" s="2">
        <v>0</v>
      </c>
      <c r="G197" s="2">
        <v>24.231000000000002</v>
      </c>
      <c r="H197" s="2">
        <v>-22.779</v>
      </c>
      <c r="I197" s="1">
        <v>0.94192154073425605</v>
      </c>
      <c r="J197" s="1">
        <v>0.91544017070635197</v>
      </c>
      <c r="K197" s="1">
        <v>0.76617597458480602</v>
      </c>
      <c r="L197" s="1">
        <v>0.591185736855801</v>
      </c>
      <c r="M197" s="2"/>
      <c r="N197" s="2"/>
      <c r="P197" s="1">
        <f>I197-'Passo 1'!I197</f>
        <v>0.117397092885412</v>
      </c>
      <c r="Q197" s="1">
        <f>J197-'Passo 1'!J197</f>
        <v>0.12636100016414098</v>
      </c>
      <c r="R197" s="1">
        <f t="shared" si="13"/>
        <v>51.646499999999996</v>
      </c>
      <c r="S197">
        <f t="shared" si="12"/>
        <v>50.194499999999991</v>
      </c>
      <c r="T197" s="1">
        <f t="shared" si="14"/>
        <v>42.0101948624595</v>
      </c>
      <c r="U197" s="1">
        <f t="shared" si="15"/>
        <v>32.415305137540429</v>
      </c>
    </row>
    <row r="198" spans="1:21" x14ac:dyDescent="0.3">
      <c r="A198" t="s">
        <v>57</v>
      </c>
      <c r="B198" t="s">
        <v>151</v>
      </c>
      <c r="C198" t="s">
        <v>580</v>
      </c>
      <c r="D198" t="s">
        <v>581</v>
      </c>
      <c r="E198" s="2">
        <v>442.113</v>
      </c>
      <c r="F198" s="2">
        <v>0</v>
      </c>
      <c r="G198" s="2">
        <v>195.50200000000001</v>
      </c>
      <c r="H198" s="2">
        <v>-195.601</v>
      </c>
      <c r="I198" s="1">
        <v>0.94219916627649403</v>
      </c>
      <c r="J198" s="1">
        <v>0.94242309092924204</v>
      </c>
      <c r="K198" s="1">
        <v>0.72844255441086803</v>
      </c>
      <c r="L198" s="1">
        <v>0.65617970279486804</v>
      </c>
      <c r="M198" s="2"/>
      <c r="N198" s="2"/>
      <c r="P198" s="1">
        <f>I198-'Passo 1'!I198</f>
        <v>0.12909256230873101</v>
      </c>
      <c r="Q198" s="1">
        <f>J198-'Passo 1'!J198</f>
        <v>6.5723016513878019E-2</v>
      </c>
      <c r="R198" s="1">
        <f t="shared" si="13"/>
        <v>416.55849999999958</v>
      </c>
      <c r="S198">
        <f t="shared" si="12"/>
        <v>416.65749999999997</v>
      </c>
      <c r="T198" s="1">
        <f t="shared" si="14"/>
        <v>322.05392305825211</v>
      </c>
      <c r="U198" s="1">
        <f t="shared" si="15"/>
        <v>290.10557694174747</v>
      </c>
    </row>
    <row r="199" spans="1:21" x14ac:dyDescent="0.3">
      <c r="A199" t="s">
        <v>57</v>
      </c>
      <c r="B199" t="s">
        <v>152</v>
      </c>
      <c r="C199" t="s">
        <v>34</v>
      </c>
      <c r="D199" t="s">
        <v>35</v>
      </c>
      <c r="E199" s="2">
        <v>211.74</v>
      </c>
      <c r="F199" s="2">
        <v>0</v>
      </c>
      <c r="G199" s="2">
        <v>104</v>
      </c>
      <c r="H199" s="2">
        <v>-91.268000000000001</v>
      </c>
      <c r="I199" s="1">
        <v>0.99116841409275502</v>
      </c>
      <c r="J199" s="1">
        <v>0.93103806555209201</v>
      </c>
      <c r="K199" s="1">
        <v>0.89708865202327204</v>
      </c>
      <c r="L199" s="1">
        <v>0.525117827621574</v>
      </c>
      <c r="M199" s="2"/>
      <c r="N199" s="2"/>
      <c r="P199" s="1">
        <f>I199-'Passo 1'!I199</f>
        <v>0.12071172192311397</v>
      </c>
      <c r="Q199" s="1">
        <f>J199-'Passo 1'!J199</f>
        <v>6.7979597619723053E-2</v>
      </c>
      <c r="R199" s="1">
        <f t="shared" si="13"/>
        <v>209.86999999999995</v>
      </c>
      <c r="S199">
        <f t="shared" si="12"/>
        <v>197.13799999999998</v>
      </c>
      <c r="T199" s="1">
        <f t="shared" si="14"/>
        <v>189.94955117940762</v>
      </c>
      <c r="U199" s="1">
        <f t="shared" si="15"/>
        <v>111.18844882059209</v>
      </c>
    </row>
    <row r="200" spans="1:21" x14ac:dyDescent="0.3">
      <c r="A200" t="s">
        <v>57</v>
      </c>
      <c r="B200" t="s">
        <v>153</v>
      </c>
      <c r="C200" t="s">
        <v>580</v>
      </c>
      <c r="D200" t="s">
        <v>581</v>
      </c>
      <c r="E200" s="2">
        <v>214.62</v>
      </c>
      <c r="F200" s="2">
        <v>0</v>
      </c>
      <c r="G200" s="2">
        <v>69.007499999999993</v>
      </c>
      <c r="H200" s="2">
        <v>-95.649500000000003</v>
      </c>
      <c r="I200" s="1">
        <v>0.82153340788370099</v>
      </c>
      <c r="J200" s="1">
        <v>0.94566908955362905</v>
      </c>
      <c r="K200" s="1">
        <v>0.66149612968386295</v>
      </c>
      <c r="L200" s="1">
        <v>0.60570636775346698</v>
      </c>
      <c r="M200" s="2"/>
      <c r="N200" s="2"/>
      <c r="P200" s="1">
        <f>I200-'Passo 1'!I200</f>
        <v>8.3391575808405949E-2</v>
      </c>
      <c r="Q200" s="1">
        <f>J200-'Passo 1'!J200</f>
        <v>0.145606187680552</v>
      </c>
      <c r="R200" s="1">
        <f t="shared" si="13"/>
        <v>176.31749999999991</v>
      </c>
      <c r="S200">
        <f t="shared" si="12"/>
        <v>202.95949999999988</v>
      </c>
      <c r="T200" s="1">
        <f t="shared" si="14"/>
        <v>141.97029935275066</v>
      </c>
      <c r="U200" s="1">
        <f t="shared" si="15"/>
        <v>129.9967006472491</v>
      </c>
    </row>
    <row r="201" spans="1:21" x14ac:dyDescent="0.3">
      <c r="A201" t="s">
        <v>57</v>
      </c>
      <c r="B201" t="s">
        <v>646</v>
      </c>
      <c r="C201" t="s">
        <v>580</v>
      </c>
      <c r="D201" t="s">
        <v>581</v>
      </c>
      <c r="E201" s="2">
        <v>170.654</v>
      </c>
      <c r="F201" s="2">
        <v>0</v>
      </c>
      <c r="G201" s="2">
        <v>82.758499999999998</v>
      </c>
      <c r="H201" s="2">
        <v>-84.912499999999994</v>
      </c>
      <c r="I201" s="1">
        <v>0.98494907825190103</v>
      </c>
      <c r="J201" s="1">
        <v>0.99757110879322997</v>
      </c>
      <c r="K201" s="1">
        <v>0.70173517291730103</v>
      </c>
      <c r="L201" s="1">
        <v>0.78078501412783097</v>
      </c>
      <c r="M201" s="2"/>
      <c r="N201" s="2"/>
      <c r="P201" s="1">
        <f>I201-'Passo 1'!I201</f>
        <v>0.1025349537661</v>
      </c>
      <c r="Q201" s="1">
        <f>J201-'Passo 1'!J201</f>
        <v>6.307206394224496E-2</v>
      </c>
      <c r="R201" s="1">
        <f t="shared" si="13"/>
        <v>168.08549999999991</v>
      </c>
      <c r="S201">
        <f t="shared" si="12"/>
        <v>170.23949999999985</v>
      </c>
      <c r="T201" s="1">
        <f t="shared" si="14"/>
        <v>119.75391419902908</v>
      </c>
      <c r="U201" s="1">
        <f t="shared" si="15"/>
        <v>133.24408580097085</v>
      </c>
    </row>
    <row r="202" spans="1:21" x14ac:dyDescent="0.3">
      <c r="A202" t="s">
        <v>57</v>
      </c>
      <c r="B202" t="s">
        <v>647</v>
      </c>
      <c r="C202" t="s">
        <v>580</v>
      </c>
      <c r="D202" t="s">
        <v>581</v>
      </c>
      <c r="E202" s="2">
        <v>345.053</v>
      </c>
      <c r="F202" s="2">
        <v>0</v>
      </c>
      <c r="G202" s="2">
        <v>126.773499999999</v>
      </c>
      <c r="H202" s="2">
        <v>-166.46350000000001</v>
      </c>
      <c r="I202" s="1">
        <v>0.867402978672841</v>
      </c>
      <c r="J202" s="1">
        <v>0.98242878630239405</v>
      </c>
      <c r="K202" s="1">
        <v>0.661159186797034</v>
      </c>
      <c r="L202" s="1">
        <v>0.68867257817820104</v>
      </c>
      <c r="M202" s="2"/>
      <c r="N202" s="2"/>
      <c r="P202" s="1">
        <f>I202-'Passo 1'!I202</f>
        <v>5.7918638585956028E-2</v>
      </c>
      <c r="Q202" s="1">
        <f>J202-'Passo 1'!J202</f>
        <v>0.1296250141282641</v>
      </c>
      <c r="R202" s="1">
        <f t="shared" si="13"/>
        <v>299.29999999999978</v>
      </c>
      <c r="S202">
        <f t="shared" si="12"/>
        <v>338.98999999999995</v>
      </c>
      <c r="T202" s="1">
        <f t="shared" si="14"/>
        <v>228.13496088187696</v>
      </c>
      <c r="U202" s="1">
        <f t="shared" si="15"/>
        <v>237.6285391181228</v>
      </c>
    </row>
    <row r="203" spans="1:21" x14ac:dyDescent="0.3">
      <c r="A203" t="s">
        <v>57</v>
      </c>
      <c r="B203" t="s">
        <v>154</v>
      </c>
      <c r="C203" t="s">
        <v>580</v>
      </c>
      <c r="D203" t="s">
        <v>581</v>
      </c>
      <c r="E203" s="2">
        <v>158.02199999999999</v>
      </c>
      <c r="F203" s="2">
        <v>0</v>
      </c>
      <c r="G203" s="2">
        <v>52.237499999999997</v>
      </c>
      <c r="H203" s="2">
        <v>-54.445</v>
      </c>
      <c r="I203" s="1">
        <v>0.83057105972586098</v>
      </c>
      <c r="J203" s="1">
        <v>0.84454063358266496</v>
      </c>
      <c r="K203" s="1">
        <v>0.68605654827915197</v>
      </c>
      <c r="L203" s="1">
        <v>0.48905514502937297</v>
      </c>
      <c r="M203" s="2"/>
      <c r="N203" s="2"/>
      <c r="P203" s="1">
        <f>I203-'Passo 1'!I203</f>
        <v>9.0231107061042981E-2</v>
      </c>
      <c r="Q203" s="1">
        <f>J203-'Passo 1'!J203</f>
        <v>7.2341192998442994E-2</v>
      </c>
      <c r="R203" s="1">
        <f t="shared" si="13"/>
        <v>131.24850000000001</v>
      </c>
      <c r="S203">
        <f t="shared" si="12"/>
        <v>133.45599999999988</v>
      </c>
      <c r="T203" s="1">
        <f t="shared" si="14"/>
        <v>108.41202787216815</v>
      </c>
      <c r="U203" s="1">
        <f t="shared" si="15"/>
        <v>77.281472127831577</v>
      </c>
    </row>
    <row r="204" spans="1:21" x14ac:dyDescent="0.3">
      <c r="A204" t="s">
        <v>57</v>
      </c>
      <c r="B204" t="s">
        <v>155</v>
      </c>
      <c r="C204" t="s">
        <v>580</v>
      </c>
      <c r="D204" t="s">
        <v>581</v>
      </c>
      <c r="E204" s="2">
        <v>84.757999999999996</v>
      </c>
      <c r="F204" s="2">
        <v>0</v>
      </c>
      <c r="G204" s="2">
        <v>29.842500000000001</v>
      </c>
      <c r="H204" s="2">
        <v>-28.9315</v>
      </c>
      <c r="I204" s="1">
        <v>0.852090658108969</v>
      </c>
      <c r="J204" s="1">
        <v>0.841342410155973</v>
      </c>
      <c r="K204" s="1">
        <v>0.69091439307005498</v>
      </c>
      <c r="L204" s="1">
        <v>0.50251867519488702</v>
      </c>
      <c r="M204" s="2"/>
      <c r="N204" s="2"/>
      <c r="P204" s="1">
        <f>I204-'Passo 1'!I204</f>
        <v>9.6427475872484014E-2</v>
      </c>
      <c r="Q204" s="1">
        <f>J204-'Passo 1'!J204</f>
        <v>8.3449349913871984E-2</v>
      </c>
      <c r="R204" s="1">
        <f t="shared" si="13"/>
        <v>72.221499999999992</v>
      </c>
      <c r="S204">
        <f t="shared" si="12"/>
        <v>71.310499999999962</v>
      </c>
      <c r="T204" s="1">
        <f t="shared" si="14"/>
        <v>58.560522127831717</v>
      </c>
      <c r="U204" s="1">
        <f t="shared" si="15"/>
        <v>42.592477872168232</v>
      </c>
    </row>
    <row r="205" spans="1:21" x14ac:dyDescent="0.3">
      <c r="A205" t="s">
        <v>57</v>
      </c>
      <c r="B205" t="s">
        <v>648</v>
      </c>
      <c r="C205" t="s">
        <v>580</v>
      </c>
      <c r="D205" t="s">
        <v>581</v>
      </c>
      <c r="E205" s="2">
        <v>113.274</v>
      </c>
      <c r="F205" s="2">
        <v>0</v>
      </c>
      <c r="G205" s="2">
        <v>55.585000000000001</v>
      </c>
      <c r="H205" s="2">
        <v>-56.292000000000002</v>
      </c>
      <c r="I205" s="1">
        <v>0.99071278492857995</v>
      </c>
      <c r="J205" s="1">
        <v>0.99695428783304196</v>
      </c>
      <c r="K205" s="1">
        <v>0.82709729088323902</v>
      </c>
      <c r="L205" s="1">
        <v>0.660569781878382</v>
      </c>
      <c r="M205" s="2"/>
      <c r="N205" s="2"/>
      <c r="P205" s="1">
        <f>I205-'Passo 1'!I205</f>
        <v>7.8950156258276949E-2</v>
      </c>
      <c r="Q205" s="1">
        <f>J205-'Passo 1'!J205</f>
        <v>3.4884439500679987E-2</v>
      </c>
      <c r="R205" s="1">
        <f t="shared" si="13"/>
        <v>112.22199999999997</v>
      </c>
      <c r="S205">
        <f t="shared" si="12"/>
        <v>112.929</v>
      </c>
      <c r="T205" s="1">
        <f t="shared" si="14"/>
        <v>93.688618527508012</v>
      </c>
      <c r="U205" s="1">
        <f t="shared" si="15"/>
        <v>74.825381472491841</v>
      </c>
    </row>
    <row r="206" spans="1:21" x14ac:dyDescent="0.3">
      <c r="A206" t="s">
        <v>57</v>
      </c>
      <c r="B206" t="s">
        <v>649</v>
      </c>
      <c r="C206" t="s">
        <v>580</v>
      </c>
      <c r="D206" t="s">
        <v>581</v>
      </c>
      <c r="E206" s="2">
        <v>362.435</v>
      </c>
      <c r="F206" s="2">
        <v>8.7999999999999995E-2</v>
      </c>
      <c r="G206" s="2">
        <v>133.65</v>
      </c>
      <c r="H206" s="2">
        <v>-145.696</v>
      </c>
      <c r="I206" s="1">
        <v>0.86863437581911196</v>
      </c>
      <c r="J206" s="1">
        <v>0.90187068025990802</v>
      </c>
      <c r="K206" s="1">
        <v>0.690295088661524</v>
      </c>
      <c r="L206" s="1">
        <v>0.58033136849631095</v>
      </c>
      <c r="M206" s="2"/>
      <c r="N206" s="2"/>
      <c r="P206" s="1">
        <f>I206-'Passo 1'!I206</f>
        <v>4.7231917447266958E-2</v>
      </c>
      <c r="Q206" s="1">
        <f>J206-'Passo 1'!J206</f>
        <v>9.9335053181950017E-2</v>
      </c>
      <c r="R206" s="1">
        <f t="shared" si="13"/>
        <v>314.82349999999985</v>
      </c>
      <c r="S206">
        <f t="shared" si="12"/>
        <v>326.86949999999979</v>
      </c>
      <c r="T206" s="1">
        <f t="shared" si="14"/>
        <v>250.18710045903944</v>
      </c>
      <c r="U206" s="1">
        <f t="shared" si="15"/>
        <v>210.33239954096047</v>
      </c>
    </row>
    <row r="207" spans="1:21" x14ac:dyDescent="0.3">
      <c r="A207" t="s">
        <v>57</v>
      </c>
      <c r="B207" t="s">
        <v>156</v>
      </c>
      <c r="C207" t="s">
        <v>580</v>
      </c>
      <c r="D207" t="s">
        <v>581</v>
      </c>
      <c r="E207" s="2">
        <v>98.14</v>
      </c>
      <c r="F207" s="2">
        <v>0</v>
      </c>
      <c r="G207" s="2">
        <v>32.792999999999999</v>
      </c>
      <c r="H207" s="2">
        <v>-43.223999999999997</v>
      </c>
      <c r="I207" s="1">
        <v>0.83414509883839405</v>
      </c>
      <c r="J207" s="1">
        <v>0.94043203586712798</v>
      </c>
      <c r="K207" s="1">
        <v>0.60382860361296098</v>
      </c>
      <c r="L207" s="1">
        <v>0.67074853109256105</v>
      </c>
      <c r="M207" s="2"/>
      <c r="N207" s="2"/>
      <c r="P207" s="1">
        <f>I207-'Passo 1'!I207</f>
        <v>6.7933564295904025E-2</v>
      </c>
      <c r="Q207" s="1">
        <f>J207-'Passo 1'!J207</f>
        <v>0.18193397187690996</v>
      </c>
      <c r="R207" s="1">
        <f t="shared" si="13"/>
        <v>81.863</v>
      </c>
      <c r="S207">
        <f t="shared" si="12"/>
        <v>92.29399999999994</v>
      </c>
      <c r="T207" s="1">
        <f t="shared" si="14"/>
        <v>59.259739158575989</v>
      </c>
      <c r="U207" s="1">
        <f t="shared" si="15"/>
        <v>65.827260841423936</v>
      </c>
    </row>
    <row r="208" spans="1:21" x14ac:dyDescent="0.3">
      <c r="A208" t="s">
        <v>57</v>
      </c>
      <c r="B208" t="s">
        <v>650</v>
      </c>
      <c r="C208" t="s">
        <v>580</v>
      </c>
      <c r="D208" t="s">
        <v>581</v>
      </c>
      <c r="E208" s="2">
        <v>0</v>
      </c>
      <c r="F208" s="2">
        <v>0</v>
      </c>
      <c r="G208" s="2">
        <v>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M208" s="2"/>
      <c r="N208" s="2"/>
      <c r="P208" s="1">
        <f>I208-'Passo 1'!I208</f>
        <v>0</v>
      </c>
      <c r="Q208" s="1">
        <f>J208-'Passo 1'!J208</f>
        <v>0</v>
      </c>
      <c r="R208" s="1">
        <f t="shared" si="13"/>
        <v>0</v>
      </c>
      <c r="S208">
        <f t="shared" si="12"/>
        <v>0</v>
      </c>
      <c r="T208" s="1">
        <f t="shared" si="14"/>
        <v>0</v>
      </c>
      <c r="U208" s="1">
        <f t="shared" si="15"/>
        <v>0</v>
      </c>
    </row>
    <row r="209" spans="1:21" x14ac:dyDescent="0.3">
      <c r="A209" t="s">
        <v>57</v>
      </c>
      <c r="B209" t="s">
        <v>157</v>
      </c>
      <c r="C209" t="s">
        <v>34</v>
      </c>
      <c r="D209" t="s">
        <v>35</v>
      </c>
      <c r="E209" s="2">
        <v>208.697</v>
      </c>
      <c r="F209" s="2">
        <v>0</v>
      </c>
      <c r="G209" s="2">
        <v>102.3215</v>
      </c>
      <c r="H209" s="2">
        <v>-97.278000000000006</v>
      </c>
      <c r="I209" s="1">
        <v>0.99028735439416904</v>
      </c>
      <c r="J209" s="1">
        <v>0.96612073963688905</v>
      </c>
      <c r="K209" s="1">
        <v>0.86357361095326302</v>
      </c>
      <c r="L209" s="1">
        <v>0.59283448307779496</v>
      </c>
      <c r="M209" s="2"/>
      <c r="N209" s="2"/>
      <c r="P209" s="1">
        <f>I209-'Passo 1'!I209</f>
        <v>8.4749660991773057E-2</v>
      </c>
      <c r="Q209" s="1">
        <f>J209-'Passo 1'!J209</f>
        <v>1.9703206083460101E-2</v>
      </c>
      <c r="R209" s="1">
        <f t="shared" si="13"/>
        <v>206.6699999999999</v>
      </c>
      <c r="S209">
        <f t="shared" si="12"/>
        <v>201.62649999999982</v>
      </c>
      <c r="T209" s="1">
        <f t="shared" si="14"/>
        <v>180.22522188511314</v>
      </c>
      <c r="U209" s="1">
        <f t="shared" si="15"/>
        <v>123.72277811488658</v>
      </c>
    </row>
    <row r="210" spans="1:21" x14ac:dyDescent="0.3">
      <c r="A210" t="s">
        <v>57</v>
      </c>
      <c r="B210" t="s">
        <v>158</v>
      </c>
      <c r="C210" t="s">
        <v>580</v>
      </c>
      <c r="D210" t="s">
        <v>581</v>
      </c>
      <c r="E210" s="2">
        <v>401.07400000000001</v>
      </c>
      <c r="F210" s="2">
        <v>0</v>
      </c>
      <c r="G210" s="2">
        <v>180.48</v>
      </c>
      <c r="H210" s="2">
        <v>-197.92349999999999</v>
      </c>
      <c r="I210" s="1">
        <v>0.94999177209193297</v>
      </c>
      <c r="J210" s="1">
        <v>0.99348374614160895</v>
      </c>
      <c r="K210" s="1">
        <v>0.79120738678702696</v>
      </c>
      <c r="L210" s="1">
        <v>0.65226813144651496</v>
      </c>
      <c r="M210" s="2"/>
      <c r="N210" s="2"/>
      <c r="P210" s="1">
        <f>I210-'Passo 1'!I210</f>
        <v>0</v>
      </c>
      <c r="Q210" s="1">
        <f>J210-'Passo 1'!J210</f>
        <v>3.7953095937407921E-2</v>
      </c>
      <c r="R210" s="1">
        <f t="shared" si="13"/>
        <v>381.01699999999994</v>
      </c>
      <c r="S210">
        <f t="shared" si="12"/>
        <v>398.46049999999968</v>
      </c>
      <c r="T210" s="1">
        <f t="shared" si="14"/>
        <v>317.33271144822004</v>
      </c>
      <c r="U210" s="1">
        <f t="shared" si="15"/>
        <v>261.60778855177955</v>
      </c>
    </row>
    <row r="211" spans="1:21" x14ac:dyDescent="0.3">
      <c r="A211" t="s">
        <v>57</v>
      </c>
      <c r="B211" t="s">
        <v>159</v>
      </c>
      <c r="C211" t="s">
        <v>580</v>
      </c>
      <c r="D211" t="s">
        <v>581</v>
      </c>
      <c r="E211" s="2">
        <v>240.53100000000001</v>
      </c>
      <c r="F211" s="2">
        <v>0</v>
      </c>
      <c r="G211" s="2">
        <v>94.933499999999995</v>
      </c>
      <c r="H211" s="2">
        <v>-97.49</v>
      </c>
      <c r="I211" s="1">
        <v>0.89468301383189697</v>
      </c>
      <c r="J211" s="1">
        <v>0.90531158145935398</v>
      </c>
      <c r="K211" s="1">
        <v>0.62500285782309195</v>
      </c>
      <c r="L211" s="1">
        <v>0.67499173746815899</v>
      </c>
      <c r="M211" s="2"/>
      <c r="N211" s="2"/>
      <c r="P211" s="1">
        <f>I211-'Passo 1'!I211</f>
        <v>0.12700857685703792</v>
      </c>
      <c r="Q211" s="1">
        <f>J211-'Passo 1'!J211</f>
        <v>3.1742270227119729E-3</v>
      </c>
      <c r="R211" s="1">
        <f t="shared" si="13"/>
        <v>215.19900000000001</v>
      </c>
      <c r="S211">
        <f t="shared" si="12"/>
        <v>217.75549999999987</v>
      </c>
      <c r="T211" s="1">
        <f t="shared" si="14"/>
        <v>150.33256239504612</v>
      </c>
      <c r="U211" s="1">
        <f t="shared" si="15"/>
        <v>162.35643760495375</v>
      </c>
    </row>
    <row r="212" spans="1:21" x14ac:dyDescent="0.3">
      <c r="A212" t="s">
        <v>57</v>
      </c>
      <c r="B212" t="s">
        <v>651</v>
      </c>
      <c r="C212" t="s">
        <v>580</v>
      </c>
      <c r="D212" t="s">
        <v>581</v>
      </c>
      <c r="E212" s="2">
        <v>230.49199999999999</v>
      </c>
      <c r="F212" s="2">
        <v>0</v>
      </c>
      <c r="G212" s="2">
        <v>85.731499999999997</v>
      </c>
      <c r="H212" s="2">
        <v>-102.8325</v>
      </c>
      <c r="I212" s="1">
        <v>0.87195000260312705</v>
      </c>
      <c r="J212" s="1">
        <v>0.94614346701837804</v>
      </c>
      <c r="K212" s="1">
        <v>0.59271349286262698</v>
      </c>
      <c r="L212" s="1">
        <v>0.725379976758878</v>
      </c>
      <c r="M212" s="2"/>
      <c r="N212" s="2"/>
      <c r="P212" s="1">
        <f>I212-'Passo 1'!I212</f>
        <v>9.1165853912500094E-2</v>
      </c>
      <c r="Q212" s="1">
        <f>J212-'Passo 1'!J212</f>
        <v>6.7256130364612088E-2</v>
      </c>
      <c r="R212" s="1">
        <f t="shared" si="13"/>
        <v>200.97749999999996</v>
      </c>
      <c r="S212">
        <f t="shared" si="12"/>
        <v>218.07849999999999</v>
      </c>
      <c r="T212" s="1">
        <f t="shared" si="14"/>
        <v>136.61571839689262</v>
      </c>
      <c r="U212" s="1">
        <f t="shared" si="15"/>
        <v>167.1942816031073</v>
      </c>
    </row>
    <row r="213" spans="1:21" x14ac:dyDescent="0.3">
      <c r="A213" t="s">
        <v>57</v>
      </c>
      <c r="B213" t="s">
        <v>160</v>
      </c>
      <c r="C213" t="s">
        <v>580</v>
      </c>
      <c r="D213" t="s">
        <v>581</v>
      </c>
      <c r="E213" s="2">
        <v>536.93200000000002</v>
      </c>
      <c r="F213" s="2">
        <v>0</v>
      </c>
      <c r="G213" s="2">
        <v>254.67949999999999</v>
      </c>
      <c r="H213" s="2">
        <v>-264.45999999999998</v>
      </c>
      <c r="I213" s="1">
        <v>0.97432356425022104</v>
      </c>
      <c r="J213" s="1">
        <v>0.992539092473534</v>
      </c>
      <c r="K213" s="1">
        <v>0.77682609913335499</v>
      </c>
      <c r="L213" s="1">
        <v>0.69003655759040095</v>
      </c>
      <c r="M213" s="2"/>
      <c r="N213" s="2"/>
      <c r="P213" s="1">
        <f>I213-'Passo 1'!I213</f>
        <v>6.602046441635101E-2</v>
      </c>
      <c r="Q213" s="1">
        <f>J213-'Passo 1'!J213</f>
        <v>9.4501724613171967E-2</v>
      </c>
      <c r="R213" s="1">
        <f t="shared" si="13"/>
        <v>523.14549999999974</v>
      </c>
      <c r="S213">
        <f t="shared" si="12"/>
        <v>532.92599999999959</v>
      </c>
      <c r="T213" s="1">
        <f t="shared" si="14"/>
        <v>417.10279105987058</v>
      </c>
      <c r="U213" s="1">
        <f t="shared" si="15"/>
        <v>370.5027089401292</v>
      </c>
    </row>
    <row r="214" spans="1:21" x14ac:dyDescent="0.3">
      <c r="A214" t="s">
        <v>57</v>
      </c>
      <c r="B214" t="s">
        <v>652</v>
      </c>
      <c r="C214" t="s">
        <v>580</v>
      </c>
      <c r="D214" t="s">
        <v>581</v>
      </c>
      <c r="E214" s="2">
        <v>90.959000000000003</v>
      </c>
      <c r="F214" s="2">
        <v>0</v>
      </c>
      <c r="G214" s="2">
        <v>40.892000000000003</v>
      </c>
      <c r="H214" s="2">
        <v>-37.951999999999998</v>
      </c>
      <c r="I214" s="1">
        <v>0.94956518871139695</v>
      </c>
      <c r="J214" s="1">
        <v>0.91724293362943699</v>
      </c>
      <c r="K214" s="1">
        <v>0.79898084705541905</v>
      </c>
      <c r="L214" s="1">
        <v>0.56782727528541499</v>
      </c>
      <c r="M214" s="2"/>
      <c r="N214" s="2"/>
      <c r="P214" s="1">
        <f>I214-'Passo 1'!I214</f>
        <v>5.0781121164480969E-2</v>
      </c>
      <c r="Q214" s="1">
        <f>J214-'Passo 1'!J214</f>
        <v>5.1385789201727983E-2</v>
      </c>
      <c r="R214" s="1">
        <f t="shared" si="13"/>
        <v>86.371499999999955</v>
      </c>
      <c r="S214">
        <f t="shared" si="12"/>
        <v>83.431499999999957</v>
      </c>
      <c r="T214" s="1">
        <f t="shared" si="14"/>
        <v>72.674498867313858</v>
      </c>
      <c r="U214" s="1">
        <f t="shared" si="15"/>
        <v>51.649001132686067</v>
      </c>
    </row>
    <row r="215" spans="1:21" x14ac:dyDescent="0.3">
      <c r="A215" t="s">
        <v>57</v>
      </c>
      <c r="B215" t="s">
        <v>653</v>
      </c>
      <c r="C215" t="s">
        <v>580</v>
      </c>
      <c r="D215" t="s">
        <v>581</v>
      </c>
      <c r="E215" s="2">
        <v>510.298</v>
      </c>
      <c r="F215" s="2">
        <v>0</v>
      </c>
      <c r="G215" s="2">
        <v>206.96899999999999</v>
      </c>
      <c r="H215" s="2">
        <v>-220.78550000000001</v>
      </c>
      <c r="I215" s="1">
        <v>0.905584579990515</v>
      </c>
      <c r="J215" s="1">
        <v>0.932659935958988</v>
      </c>
      <c r="K215" s="1">
        <v>0.65167374685995405</v>
      </c>
      <c r="L215" s="1">
        <v>0.68657076908954895</v>
      </c>
      <c r="M215" s="2"/>
      <c r="N215" s="2"/>
      <c r="P215" s="1">
        <f>I215-'Passo 1'!I215</f>
        <v>7.9944463823100054E-2</v>
      </c>
      <c r="Q215" s="1">
        <f>J215-'Passo 1'!J215</f>
        <v>0.10126533907638302</v>
      </c>
      <c r="R215" s="1">
        <f t="shared" si="13"/>
        <v>462.11799999999982</v>
      </c>
      <c r="S215">
        <f t="shared" si="12"/>
        <v>475.93449999999967</v>
      </c>
      <c r="T215" s="1">
        <f t="shared" si="14"/>
        <v>332.54780967514085</v>
      </c>
      <c r="U215" s="1">
        <f t="shared" si="15"/>
        <v>350.35569032485864</v>
      </c>
    </row>
    <row r="216" spans="1:21" x14ac:dyDescent="0.3">
      <c r="A216" t="s">
        <v>57</v>
      </c>
      <c r="B216" t="s">
        <v>161</v>
      </c>
      <c r="C216" t="s">
        <v>580</v>
      </c>
      <c r="D216" t="s">
        <v>581</v>
      </c>
      <c r="E216" s="2">
        <v>82.251000000000005</v>
      </c>
      <c r="F216" s="2">
        <v>0</v>
      </c>
      <c r="G216" s="2">
        <v>38.469000000000001</v>
      </c>
      <c r="H216" s="2">
        <v>-37.843499999999999</v>
      </c>
      <c r="I216" s="1">
        <v>0.96770252033409898</v>
      </c>
      <c r="J216" s="1">
        <v>0.96009774957143301</v>
      </c>
      <c r="K216" s="1">
        <v>0.85333355888414597</v>
      </c>
      <c r="L216" s="1">
        <v>0.57446671102138602</v>
      </c>
      <c r="M216" s="2"/>
      <c r="N216" s="2"/>
      <c r="P216" s="1">
        <f>I216-'Passo 1'!I216</f>
        <v>5.1926420347472968E-2</v>
      </c>
      <c r="Q216" s="1">
        <f>J216-'Passo 1'!J216</f>
        <v>0.12382220276957101</v>
      </c>
      <c r="R216" s="1">
        <f t="shared" si="13"/>
        <v>79.594499999999982</v>
      </c>
      <c r="S216">
        <f t="shared" si="12"/>
        <v>78.968999999999937</v>
      </c>
      <c r="T216" s="1">
        <f t="shared" si="14"/>
        <v>70.187538551779895</v>
      </c>
      <c r="U216" s="1">
        <f t="shared" si="15"/>
        <v>47.250461448220022</v>
      </c>
    </row>
    <row r="217" spans="1:21" x14ac:dyDescent="0.3">
      <c r="A217" t="s">
        <v>57</v>
      </c>
      <c r="B217" t="s">
        <v>162</v>
      </c>
      <c r="C217" t="s">
        <v>580</v>
      </c>
      <c r="D217" t="s">
        <v>581</v>
      </c>
      <c r="E217" s="2">
        <v>241.01400000000001</v>
      </c>
      <c r="F217" s="2">
        <v>0</v>
      </c>
      <c r="G217" s="2">
        <v>96.634</v>
      </c>
      <c r="H217" s="2">
        <v>-110.768</v>
      </c>
      <c r="I217" s="1">
        <v>0.90094766279137295</v>
      </c>
      <c r="J217" s="1">
        <v>0.959591558996572</v>
      </c>
      <c r="K217" s="1">
        <v>0.70412114315264995</v>
      </c>
      <c r="L217" s="1">
        <v>0.656418078635295</v>
      </c>
      <c r="M217" s="2"/>
      <c r="N217" s="2"/>
      <c r="P217" s="1">
        <f>I217-'Passo 1'!I217</f>
        <v>0.10040080659214889</v>
      </c>
      <c r="Q217" s="1">
        <f>J217-'Passo 1'!J217</f>
        <v>6.028280514824802E-2</v>
      </c>
      <c r="R217" s="1">
        <f t="shared" si="13"/>
        <v>217.14099999999996</v>
      </c>
      <c r="S217">
        <f t="shared" si="12"/>
        <v>231.27499999999981</v>
      </c>
      <c r="T217" s="1">
        <f t="shared" si="14"/>
        <v>169.70305319579279</v>
      </c>
      <c r="U217" s="1">
        <f t="shared" si="15"/>
        <v>158.205946804207</v>
      </c>
    </row>
    <row r="218" spans="1:21" x14ac:dyDescent="0.3">
      <c r="A218" t="s">
        <v>57</v>
      </c>
      <c r="B218" t="s">
        <v>163</v>
      </c>
      <c r="C218" t="s">
        <v>580</v>
      </c>
      <c r="D218" t="s">
        <v>581</v>
      </c>
      <c r="E218" s="2">
        <v>224.31100000000001</v>
      </c>
      <c r="F218" s="2">
        <v>0</v>
      </c>
      <c r="G218" s="2">
        <v>80.828999999999994</v>
      </c>
      <c r="H218" s="2">
        <v>-96.9255</v>
      </c>
      <c r="I218" s="1">
        <v>0.86034345172550597</v>
      </c>
      <c r="J218" s="1">
        <v>0.93210319600911196</v>
      </c>
      <c r="K218" s="1">
        <v>0.68049038559631503</v>
      </c>
      <c r="L218" s="1">
        <v>0.61195626213830201</v>
      </c>
      <c r="M218" s="2"/>
      <c r="N218" s="2"/>
      <c r="P218" s="1">
        <f>I218-'Passo 1'!I218</f>
        <v>9.6439764434200992E-2</v>
      </c>
      <c r="Q218" s="1">
        <f>J218-'Passo 1'!J218</f>
        <v>6.3815416988020957E-2</v>
      </c>
      <c r="R218" s="1">
        <f t="shared" si="13"/>
        <v>192.98449999999997</v>
      </c>
      <c r="S218">
        <f t="shared" si="12"/>
        <v>209.08099999999993</v>
      </c>
      <c r="T218" s="1">
        <f t="shared" si="14"/>
        <v>152.64147888349501</v>
      </c>
      <c r="U218" s="1">
        <f t="shared" si="15"/>
        <v>137.26852111650467</v>
      </c>
    </row>
    <row r="219" spans="1:21" x14ac:dyDescent="0.3">
      <c r="A219" t="s">
        <v>57</v>
      </c>
      <c r="B219" t="s">
        <v>164</v>
      </c>
      <c r="C219" t="s">
        <v>580</v>
      </c>
      <c r="D219" t="s">
        <v>581</v>
      </c>
      <c r="E219" s="2">
        <v>67.177000000000007</v>
      </c>
      <c r="F219" s="2">
        <v>0</v>
      </c>
      <c r="G219" s="2">
        <v>24.016500000000001</v>
      </c>
      <c r="H219" s="2">
        <v>-28.811999999999902</v>
      </c>
      <c r="I219" s="1">
        <v>0.85751075516917896</v>
      </c>
      <c r="J219" s="1">
        <v>0.92889679503401401</v>
      </c>
      <c r="K219" s="1">
        <v>0.740644207788409</v>
      </c>
      <c r="L219" s="1">
        <v>0.54576334241478497</v>
      </c>
      <c r="M219" s="2"/>
      <c r="N219" s="2"/>
      <c r="P219" s="1">
        <f>I219-'Passo 1'!I219</f>
        <v>4.8766690980542982E-2</v>
      </c>
      <c r="Q219" s="1">
        <f>J219-'Passo 1'!J219</f>
        <v>0.11204727808625004</v>
      </c>
      <c r="R219" s="1">
        <f t="shared" si="13"/>
        <v>57.60499999999994</v>
      </c>
      <c r="S219">
        <f t="shared" si="12"/>
        <v>62.400499999999965</v>
      </c>
      <c r="T219" s="1">
        <f t="shared" si="14"/>
        <v>49.754255946601958</v>
      </c>
      <c r="U219" s="1">
        <f t="shared" si="15"/>
        <v>36.662744053398015</v>
      </c>
    </row>
    <row r="220" spans="1:21" x14ac:dyDescent="0.3">
      <c r="A220" t="s">
        <v>57</v>
      </c>
      <c r="B220" t="s">
        <v>165</v>
      </c>
      <c r="C220" t="s">
        <v>580</v>
      </c>
      <c r="D220" t="s">
        <v>581</v>
      </c>
      <c r="E220" s="2">
        <v>103.54300000000001</v>
      </c>
      <c r="F220" s="2">
        <v>0</v>
      </c>
      <c r="G220" s="2">
        <v>33.914999999999999</v>
      </c>
      <c r="H220" s="2">
        <v>-42.674500000000002</v>
      </c>
      <c r="I220" s="1">
        <v>0.82754507789034504</v>
      </c>
      <c r="J220" s="1">
        <v>0.91214278125995896</v>
      </c>
      <c r="K220" s="1">
        <v>0.73237244867421603</v>
      </c>
      <c r="L220" s="1">
        <v>0.50731541047608697</v>
      </c>
      <c r="M220" s="2"/>
      <c r="N220" s="2"/>
      <c r="P220" s="1">
        <f>I220-'Passo 1'!I220</f>
        <v>-2.7524796461297907E-4</v>
      </c>
      <c r="Q220" s="1">
        <f>J220-'Passo 1'!J220</f>
        <v>3.0736022715199929E-2</v>
      </c>
      <c r="R220" s="1">
        <f t="shared" si="13"/>
        <v>85.686499999999995</v>
      </c>
      <c r="S220">
        <f t="shared" si="12"/>
        <v>94.445999999999941</v>
      </c>
      <c r="T220" s="1">
        <f t="shared" si="14"/>
        <v>75.832040453074356</v>
      </c>
      <c r="U220" s="1">
        <f t="shared" si="15"/>
        <v>52.528959546925478</v>
      </c>
    </row>
    <row r="221" spans="1:21" x14ac:dyDescent="0.3">
      <c r="A221" t="s">
        <v>57</v>
      </c>
      <c r="B221" t="s">
        <v>166</v>
      </c>
      <c r="C221" t="s">
        <v>580</v>
      </c>
      <c r="D221" t="s">
        <v>581</v>
      </c>
      <c r="E221" s="2">
        <v>0</v>
      </c>
      <c r="F221" s="2">
        <v>0</v>
      </c>
      <c r="G221" s="2">
        <v>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M221" s="2"/>
      <c r="N221" s="2"/>
      <c r="P221" s="1">
        <f>I221-'Passo 1'!I221</f>
        <v>0</v>
      </c>
      <c r="Q221" s="1">
        <f>J221-'Passo 1'!J221</f>
        <v>0</v>
      </c>
      <c r="R221" s="1">
        <f t="shared" si="13"/>
        <v>0</v>
      </c>
      <c r="S221">
        <f t="shared" si="12"/>
        <v>0</v>
      </c>
      <c r="T221" s="1">
        <f t="shared" si="14"/>
        <v>0</v>
      </c>
      <c r="U221" s="1">
        <f t="shared" si="15"/>
        <v>0</v>
      </c>
    </row>
    <row r="222" spans="1:21" x14ac:dyDescent="0.3">
      <c r="A222" t="s">
        <v>57</v>
      </c>
      <c r="B222" t="s">
        <v>654</v>
      </c>
      <c r="C222" t="s">
        <v>580</v>
      </c>
      <c r="D222" t="s">
        <v>581</v>
      </c>
      <c r="E222" s="2">
        <v>103.39700000000001</v>
      </c>
      <c r="F222" s="2">
        <v>0</v>
      </c>
      <c r="G222" s="2">
        <v>50.9285</v>
      </c>
      <c r="H222" s="2">
        <v>-48.642000000000003</v>
      </c>
      <c r="I222" s="1">
        <v>0.99255297542481802</v>
      </c>
      <c r="J222" s="1">
        <v>0.97043918102072502</v>
      </c>
      <c r="K222" s="1">
        <v>0.79913512588935698</v>
      </c>
      <c r="L222" s="1">
        <v>0.66385703055618706</v>
      </c>
      <c r="M222" s="2"/>
      <c r="N222" s="2"/>
      <c r="P222" s="1">
        <f>I222-'Passo 1'!I222</f>
        <v>8.615820575065003E-2</v>
      </c>
      <c r="Q222" s="1">
        <f>J222-'Passo 1'!J222</f>
        <v>6.5625695136221962E-2</v>
      </c>
      <c r="R222" s="1">
        <f t="shared" si="13"/>
        <v>102.62699999999991</v>
      </c>
      <c r="S222">
        <f t="shared" si="12"/>
        <v>100.34049999999991</v>
      </c>
      <c r="T222" s="1">
        <f t="shared" si="14"/>
        <v>82.628174611581855</v>
      </c>
      <c r="U222" s="1">
        <f t="shared" si="15"/>
        <v>68.640825388418079</v>
      </c>
    </row>
    <row r="223" spans="1:21" x14ac:dyDescent="0.3">
      <c r="A223" t="s">
        <v>57</v>
      </c>
      <c r="B223" t="s">
        <v>167</v>
      </c>
      <c r="C223" t="s">
        <v>580</v>
      </c>
      <c r="D223" t="s">
        <v>581</v>
      </c>
      <c r="E223" s="2">
        <v>96.573999999999998</v>
      </c>
      <c r="F223" s="2">
        <v>0</v>
      </c>
      <c r="G223" s="2">
        <v>44.7425</v>
      </c>
      <c r="H223" s="2">
        <v>-44.646000000000001</v>
      </c>
      <c r="I223" s="1">
        <v>0.96329757491664403</v>
      </c>
      <c r="J223" s="1">
        <v>0.96229834116843005</v>
      </c>
      <c r="K223" s="1">
        <v>0.80372589889149104</v>
      </c>
      <c r="L223" s="1">
        <v>0.62187001719358204</v>
      </c>
      <c r="M223" s="2"/>
      <c r="N223" s="2"/>
      <c r="P223" s="1">
        <f>I223-'Passo 1'!I223</f>
        <v>6.8320666017768983E-2</v>
      </c>
      <c r="Q223" s="1">
        <f>J223-'Passo 1'!J223</f>
        <v>9.5626151966368034E-2</v>
      </c>
      <c r="R223" s="1">
        <f t="shared" si="13"/>
        <v>93.029499999999985</v>
      </c>
      <c r="S223">
        <f t="shared" si="12"/>
        <v>92.932999999999964</v>
      </c>
      <c r="T223" s="1">
        <f t="shared" si="14"/>
        <v>77.619024959546849</v>
      </c>
      <c r="U223" s="1">
        <f t="shared" si="15"/>
        <v>60.056475040452987</v>
      </c>
    </row>
    <row r="224" spans="1:21" x14ac:dyDescent="0.3">
      <c r="A224" t="s">
        <v>57</v>
      </c>
      <c r="B224" t="s">
        <v>168</v>
      </c>
      <c r="C224" t="s">
        <v>580</v>
      </c>
      <c r="D224" t="s">
        <v>581</v>
      </c>
      <c r="E224" s="2">
        <v>0</v>
      </c>
      <c r="F224" s="2">
        <v>0</v>
      </c>
      <c r="G224" s="2">
        <v>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M224" s="2"/>
      <c r="N224" s="2"/>
      <c r="P224" s="1">
        <f>I224-'Passo 1'!I224</f>
        <v>0</v>
      </c>
      <c r="Q224" s="1">
        <f>J224-'Passo 1'!J224</f>
        <v>0</v>
      </c>
      <c r="R224" s="1">
        <f t="shared" si="13"/>
        <v>0</v>
      </c>
      <c r="S224">
        <f t="shared" si="12"/>
        <v>0</v>
      </c>
      <c r="T224" s="1">
        <f t="shared" si="14"/>
        <v>0</v>
      </c>
      <c r="U224" s="1">
        <f t="shared" si="15"/>
        <v>0</v>
      </c>
    </row>
    <row r="225" spans="1:21" x14ac:dyDescent="0.3">
      <c r="A225" t="s">
        <v>57</v>
      </c>
      <c r="B225" t="s">
        <v>169</v>
      </c>
      <c r="C225" t="s">
        <v>580</v>
      </c>
      <c r="D225" t="s">
        <v>581</v>
      </c>
      <c r="E225" s="2">
        <v>88.206000000000003</v>
      </c>
      <c r="F225" s="2">
        <v>0</v>
      </c>
      <c r="G225" s="2">
        <v>42.484499999999997</v>
      </c>
      <c r="H225" s="2">
        <v>-43.335000000000001</v>
      </c>
      <c r="I225" s="1">
        <v>0.98165090810148903</v>
      </c>
      <c r="J225" s="1">
        <v>0.99129310931229098</v>
      </c>
      <c r="K225" s="1">
        <v>0.81866236653799995</v>
      </c>
      <c r="L225" s="1">
        <v>0.65428165087578005</v>
      </c>
      <c r="M225" s="2"/>
      <c r="N225" s="2"/>
      <c r="P225" s="1">
        <f>I225-'Passo 1'!I225</f>
        <v>0.10083781148674698</v>
      </c>
      <c r="Q225" s="1">
        <f>J225-'Passo 1'!J225</f>
        <v>5.9128630705393981E-2</v>
      </c>
      <c r="R225" s="1">
        <f t="shared" si="13"/>
        <v>86.587499999999949</v>
      </c>
      <c r="S225">
        <f t="shared" si="12"/>
        <v>87.437999999999946</v>
      </c>
      <c r="T225" s="1">
        <f t="shared" si="14"/>
        <v>72.210932702850826</v>
      </c>
      <c r="U225" s="1">
        <f t="shared" si="15"/>
        <v>57.71156729714906</v>
      </c>
    </row>
    <row r="226" spans="1:21" x14ac:dyDescent="0.3">
      <c r="A226" t="s">
        <v>57</v>
      </c>
      <c r="B226" t="s">
        <v>655</v>
      </c>
      <c r="C226" t="s">
        <v>580</v>
      </c>
      <c r="D226" t="s">
        <v>581</v>
      </c>
      <c r="E226" s="2">
        <v>141.893</v>
      </c>
      <c r="F226" s="2">
        <v>0</v>
      </c>
      <c r="G226" s="2">
        <v>57.7455</v>
      </c>
      <c r="H226" s="2">
        <v>-56.8005</v>
      </c>
      <c r="I226" s="1">
        <v>0.90696510751058901</v>
      </c>
      <c r="J226" s="1">
        <v>0.90030515952161105</v>
      </c>
      <c r="K226" s="1">
        <v>0.73720642419898996</v>
      </c>
      <c r="L226" s="1">
        <v>0.57006384283320999</v>
      </c>
      <c r="M226" s="2"/>
      <c r="N226" s="2"/>
      <c r="P226" s="1">
        <f>I226-'Passo 1'!I226</f>
        <v>0.10951914470763202</v>
      </c>
      <c r="Q226" s="1">
        <f>J226-'Passo 1'!J226</f>
        <v>3.3007266038494021E-2</v>
      </c>
      <c r="R226" s="1">
        <f t="shared" si="13"/>
        <v>128.69200000000001</v>
      </c>
      <c r="S226">
        <f t="shared" si="12"/>
        <v>127.74699999999996</v>
      </c>
      <c r="T226" s="1">
        <f t="shared" si="14"/>
        <v>104.60443114886728</v>
      </c>
      <c r="U226" s="1">
        <f t="shared" si="15"/>
        <v>80.888068851132658</v>
      </c>
    </row>
    <row r="227" spans="1:21" x14ac:dyDescent="0.3">
      <c r="A227" t="s">
        <v>57</v>
      </c>
      <c r="B227" t="s">
        <v>656</v>
      </c>
      <c r="C227" t="s">
        <v>580</v>
      </c>
      <c r="D227" t="s">
        <v>581</v>
      </c>
      <c r="E227" s="2">
        <v>62.942</v>
      </c>
      <c r="F227" s="2">
        <v>0</v>
      </c>
      <c r="G227" s="2">
        <v>25.803000000000001</v>
      </c>
      <c r="H227" s="2">
        <v>-21.464500000000001</v>
      </c>
      <c r="I227" s="1">
        <v>0.909948841790855</v>
      </c>
      <c r="J227" s="1">
        <v>0.84102030440723197</v>
      </c>
      <c r="K227" s="1">
        <v>0.73696320334568</v>
      </c>
      <c r="L227" s="1">
        <v>0.51400594285240597</v>
      </c>
      <c r="M227" s="2"/>
      <c r="N227" s="2"/>
      <c r="P227" s="1">
        <f>I227-'Passo 1'!I227</f>
        <v>0.14835880652028899</v>
      </c>
      <c r="Q227" s="1">
        <f>J227-'Passo 1'!J227</f>
        <v>6.9516380159512003E-2</v>
      </c>
      <c r="R227" s="1">
        <f t="shared" si="13"/>
        <v>57.273999999999994</v>
      </c>
      <c r="S227">
        <f t="shared" si="12"/>
        <v>52.935499999999998</v>
      </c>
      <c r="T227" s="1">
        <f t="shared" si="14"/>
        <v>46.385937944983787</v>
      </c>
      <c r="U227" s="1">
        <f t="shared" si="15"/>
        <v>32.352562055016136</v>
      </c>
    </row>
    <row r="228" spans="1:21" x14ac:dyDescent="0.3">
      <c r="A228" t="s">
        <v>57</v>
      </c>
      <c r="B228" t="s">
        <v>657</v>
      </c>
      <c r="C228" t="s">
        <v>580</v>
      </c>
      <c r="D228" t="s">
        <v>581</v>
      </c>
      <c r="E228" s="2">
        <v>121.328</v>
      </c>
      <c r="F228" s="2">
        <v>0</v>
      </c>
      <c r="G228" s="2">
        <v>50.590499999999999</v>
      </c>
      <c r="H228" s="2">
        <v>-47.19</v>
      </c>
      <c r="I228" s="1">
        <v>0.91697299881313399</v>
      </c>
      <c r="J228" s="1">
        <v>0.88894566794144703</v>
      </c>
      <c r="K228" s="1">
        <v>0.76834744076289196</v>
      </c>
      <c r="L228" s="1">
        <v>0.53757122599168905</v>
      </c>
      <c r="M228" s="2"/>
      <c r="N228" s="2"/>
      <c r="P228" s="1">
        <f>I228-'Passo 1'!I228</f>
        <v>0.11095542661215896</v>
      </c>
      <c r="Q228" s="1">
        <f>J228-'Passo 1'!J228</f>
        <v>8.3319596465778023E-2</v>
      </c>
      <c r="R228" s="1">
        <f t="shared" si="13"/>
        <v>111.25449999999992</v>
      </c>
      <c r="S228">
        <f t="shared" si="12"/>
        <v>107.85399999999989</v>
      </c>
      <c r="T228" s="1">
        <f t="shared" si="14"/>
        <v>93.222058292880163</v>
      </c>
      <c r="U228" s="1">
        <f t="shared" si="15"/>
        <v>65.222441707119657</v>
      </c>
    </row>
    <row r="229" spans="1:21" x14ac:dyDescent="0.3">
      <c r="A229" t="s">
        <v>57</v>
      </c>
      <c r="B229" t="s">
        <v>658</v>
      </c>
      <c r="C229" t="s">
        <v>34</v>
      </c>
      <c r="D229" t="s">
        <v>35</v>
      </c>
      <c r="E229" s="2">
        <v>220.27</v>
      </c>
      <c r="F229" s="2">
        <v>0</v>
      </c>
      <c r="G229" s="2">
        <v>107.6885</v>
      </c>
      <c r="H229" s="2">
        <v>-102.221</v>
      </c>
      <c r="I229" s="1">
        <v>0.98889317655604403</v>
      </c>
      <c r="J229" s="1">
        <v>0.96407136695873197</v>
      </c>
      <c r="K229" s="1">
        <v>0.89432878343601496</v>
      </c>
      <c r="L229" s="1">
        <v>0.55863576007876203</v>
      </c>
      <c r="M229" s="2"/>
      <c r="N229" s="2"/>
      <c r="P229" s="1">
        <f>I229-'Passo 1'!I229</f>
        <v>4.3560176147454999E-2</v>
      </c>
      <c r="Q229" s="1">
        <f>J229-'Passo 1'!J229</f>
        <v>7.7087211149951984E-2</v>
      </c>
      <c r="R229" s="1">
        <f t="shared" si="13"/>
        <v>217.82349999999983</v>
      </c>
      <c r="S229">
        <f t="shared" si="12"/>
        <v>212.35599999999991</v>
      </c>
      <c r="T229" s="1">
        <f t="shared" si="14"/>
        <v>196.99380112745104</v>
      </c>
      <c r="U229" s="1">
        <f t="shared" si="15"/>
        <v>123.05069887254892</v>
      </c>
    </row>
    <row r="230" spans="1:21" x14ac:dyDescent="0.3">
      <c r="A230" t="s">
        <v>57</v>
      </c>
      <c r="B230" t="s">
        <v>170</v>
      </c>
      <c r="C230" t="s">
        <v>34</v>
      </c>
      <c r="D230" t="s">
        <v>35</v>
      </c>
      <c r="E230" s="2">
        <v>262.267</v>
      </c>
      <c r="F230" s="2">
        <v>0</v>
      </c>
      <c r="G230" s="2">
        <v>94.49</v>
      </c>
      <c r="H230" s="2">
        <v>-102.93899999999999</v>
      </c>
      <c r="I230" s="1">
        <v>0.860281697659255</v>
      </c>
      <c r="J230" s="1">
        <v>0.89249695920569405</v>
      </c>
      <c r="K230" s="1">
        <v>0.76014573570699495</v>
      </c>
      <c r="L230" s="1">
        <v>0.49263292115795398</v>
      </c>
      <c r="M230" s="2"/>
      <c r="N230" s="2"/>
      <c r="P230" s="1">
        <f>I230-'Passo 1'!I230</f>
        <v>7.5665257161595001E-2</v>
      </c>
      <c r="Q230" s="1">
        <f>J230-'Passo 1'!J230</f>
        <v>0.13022225442011304</v>
      </c>
      <c r="R230" s="1">
        <f t="shared" si="13"/>
        <v>225.62349999999984</v>
      </c>
      <c r="S230">
        <f t="shared" si="12"/>
        <v>234.07249999999976</v>
      </c>
      <c r="T230" s="1">
        <f t="shared" si="14"/>
        <v>199.36114166666644</v>
      </c>
      <c r="U230" s="1">
        <f t="shared" si="15"/>
        <v>129.2013583333331</v>
      </c>
    </row>
    <row r="231" spans="1:21" x14ac:dyDescent="0.3">
      <c r="A231" t="s">
        <v>57</v>
      </c>
      <c r="B231" t="s">
        <v>171</v>
      </c>
      <c r="C231" t="s">
        <v>580</v>
      </c>
      <c r="D231" t="s">
        <v>581</v>
      </c>
      <c r="E231" s="2">
        <v>492.46</v>
      </c>
      <c r="F231" s="2">
        <v>0</v>
      </c>
      <c r="G231" s="2">
        <v>180.58799999999999</v>
      </c>
      <c r="H231" s="2">
        <v>-212.41149999999999</v>
      </c>
      <c r="I231" s="1">
        <v>0.86670592535434299</v>
      </c>
      <c r="J231" s="1">
        <v>0.93132741745522396</v>
      </c>
      <c r="K231" s="1">
        <v>0.62256537961389802</v>
      </c>
      <c r="L231" s="1">
        <v>0.67546796319567004</v>
      </c>
      <c r="M231" s="2"/>
      <c r="N231" s="2"/>
      <c r="P231" s="1">
        <f>I231-'Passo 1'!I231</f>
        <v>-1.1523778580999622E-3</v>
      </c>
      <c r="Q231" s="1">
        <f>J231-'Passo 1'!J231</f>
        <v>0.12142509036266891</v>
      </c>
      <c r="R231" s="1">
        <f t="shared" si="13"/>
        <v>426.81799999999976</v>
      </c>
      <c r="S231">
        <f t="shared" si="12"/>
        <v>458.64149999999955</v>
      </c>
      <c r="T231" s="1">
        <f t="shared" si="14"/>
        <v>306.58854684466019</v>
      </c>
      <c r="U231" s="1">
        <f t="shared" si="15"/>
        <v>332.64095315533967</v>
      </c>
    </row>
    <row r="232" spans="1:21" x14ac:dyDescent="0.3">
      <c r="A232" t="s">
        <v>57</v>
      </c>
      <c r="B232" t="s">
        <v>659</v>
      </c>
      <c r="C232" t="s">
        <v>580</v>
      </c>
      <c r="D232" t="s">
        <v>581</v>
      </c>
      <c r="E232" s="2">
        <v>518.95600000000002</v>
      </c>
      <c r="F232" s="2">
        <v>0</v>
      </c>
      <c r="G232" s="2">
        <v>163.63650000000001</v>
      </c>
      <c r="H232" s="2">
        <v>-179.99250000000001</v>
      </c>
      <c r="I232" s="1">
        <v>0.81531863973053598</v>
      </c>
      <c r="J232" s="1">
        <v>0.84683576256946602</v>
      </c>
      <c r="K232" s="1">
        <v>0.57594427694776096</v>
      </c>
      <c r="L232" s="1">
        <v>0.58621012535224104</v>
      </c>
      <c r="M232" s="2"/>
      <c r="N232" s="2"/>
      <c r="P232" s="1">
        <f>I232-'Passo 1'!I232</f>
        <v>0.11403760627105197</v>
      </c>
      <c r="Q232" s="1">
        <f>J232-'Passo 1'!J232</f>
        <v>0.15266901240182207</v>
      </c>
      <c r="R232" s="1">
        <f t="shared" si="13"/>
        <v>423.11450000000002</v>
      </c>
      <c r="S232">
        <f t="shared" si="12"/>
        <v>439.47049999999984</v>
      </c>
      <c r="T232" s="1">
        <f t="shared" si="14"/>
        <v>298.88973818770222</v>
      </c>
      <c r="U232" s="1">
        <f t="shared" si="15"/>
        <v>304.21726181229764</v>
      </c>
    </row>
    <row r="233" spans="1:21" x14ac:dyDescent="0.3">
      <c r="A233" t="s">
        <v>57</v>
      </c>
      <c r="B233" t="s">
        <v>172</v>
      </c>
      <c r="C233" t="s">
        <v>580</v>
      </c>
      <c r="D233" t="s">
        <v>581</v>
      </c>
      <c r="E233" s="2">
        <v>170.59299999999999</v>
      </c>
      <c r="F233" s="2">
        <v>0</v>
      </c>
      <c r="G233" s="2">
        <v>53.886499999999998</v>
      </c>
      <c r="H233" s="2">
        <v>-54.072000000000003</v>
      </c>
      <c r="I233" s="1">
        <v>0.81587755652342098</v>
      </c>
      <c r="J233" s="1">
        <v>0.81696493994478003</v>
      </c>
      <c r="K233" s="1">
        <v>0.70077168733728101</v>
      </c>
      <c r="L233" s="1">
        <v>0.432070809130921</v>
      </c>
      <c r="M233" s="2"/>
      <c r="N233" s="2"/>
      <c r="P233" s="1">
        <f>I233-'Passo 1'!I233</f>
        <v>4.3260860644926957E-2</v>
      </c>
      <c r="Q233" s="1">
        <f>J233-'Passo 1'!J233</f>
        <v>8.8687695274717981E-2</v>
      </c>
      <c r="R233" s="1">
        <f t="shared" si="13"/>
        <v>139.18299999999994</v>
      </c>
      <c r="S233">
        <f t="shared" si="12"/>
        <v>139.36849999999984</v>
      </c>
      <c r="T233" s="1">
        <f t="shared" si="14"/>
        <v>119.54674445792877</v>
      </c>
      <c r="U233" s="1">
        <f t="shared" si="15"/>
        <v>73.7082555420712</v>
      </c>
    </row>
    <row r="234" spans="1:21" x14ac:dyDescent="0.3">
      <c r="A234" t="s">
        <v>57</v>
      </c>
      <c r="B234" t="s">
        <v>660</v>
      </c>
      <c r="C234" t="s">
        <v>580</v>
      </c>
      <c r="D234" t="s">
        <v>581</v>
      </c>
      <c r="E234" s="2">
        <v>486.43</v>
      </c>
      <c r="F234" s="2">
        <v>0</v>
      </c>
      <c r="G234" s="2">
        <v>230.52</v>
      </c>
      <c r="H234" s="2">
        <v>-213.33099999999999</v>
      </c>
      <c r="I234" s="1">
        <v>0.97390169191867204</v>
      </c>
      <c r="J234" s="1">
        <v>0.93856464445038301</v>
      </c>
      <c r="K234" s="1">
        <v>0.80580923189006604</v>
      </c>
      <c r="L234" s="1">
        <v>0.60665710447899002</v>
      </c>
      <c r="M234" s="2"/>
      <c r="N234" s="2"/>
      <c r="P234" s="1">
        <f>I234-'Passo 1'!I234</f>
        <v>9.0931891536294995E-2</v>
      </c>
      <c r="Q234" s="1">
        <f>J234-'Passo 1'!J234</f>
        <v>7.1853092942458008E-2</v>
      </c>
      <c r="R234" s="1">
        <f t="shared" si="13"/>
        <v>473.73499999999967</v>
      </c>
      <c r="S234">
        <f t="shared" si="12"/>
        <v>456.54599999999982</v>
      </c>
      <c r="T234" s="1">
        <f t="shared" si="14"/>
        <v>391.96978466828483</v>
      </c>
      <c r="U234" s="1">
        <f t="shared" si="15"/>
        <v>295.09621533171514</v>
      </c>
    </row>
    <row r="235" spans="1:21" x14ac:dyDescent="0.3">
      <c r="A235" t="s">
        <v>57</v>
      </c>
      <c r="B235" t="s">
        <v>173</v>
      </c>
      <c r="C235" t="s">
        <v>34</v>
      </c>
      <c r="D235" t="s">
        <v>35</v>
      </c>
      <c r="E235" s="2">
        <v>236.86199999999999</v>
      </c>
      <c r="F235" s="2">
        <v>0</v>
      </c>
      <c r="G235" s="2">
        <v>103.61499999999999</v>
      </c>
      <c r="H235" s="2">
        <v>-100.6095</v>
      </c>
      <c r="I235" s="1">
        <v>0.93744880985552703</v>
      </c>
      <c r="J235" s="1">
        <v>0.92475998682777305</v>
      </c>
      <c r="K235" s="1">
        <v>0.81969900651226602</v>
      </c>
      <c r="L235" s="1">
        <v>0.54250979017103396</v>
      </c>
      <c r="M235" s="2"/>
      <c r="N235" s="2"/>
      <c r="P235" s="1">
        <f>I235-'Passo 1'!I235</f>
        <v>0.11982504580726305</v>
      </c>
      <c r="Q235" s="1">
        <f>J235-'Passo 1'!J235</f>
        <v>9.2116928844644064E-2</v>
      </c>
      <c r="R235" s="1">
        <f t="shared" si="13"/>
        <v>222.04599999999985</v>
      </c>
      <c r="S235">
        <f t="shared" si="12"/>
        <v>219.04049999999998</v>
      </c>
      <c r="T235" s="1">
        <f t="shared" si="14"/>
        <v>194.15554608050834</v>
      </c>
      <c r="U235" s="1">
        <f t="shared" si="15"/>
        <v>128.49995391949145</v>
      </c>
    </row>
    <row r="236" spans="1:21" x14ac:dyDescent="0.3">
      <c r="A236" t="s">
        <v>57</v>
      </c>
      <c r="B236" t="s">
        <v>174</v>
      </c>
      <c r="C236" t="s">
        <v>580</v>
      </c>
      <c r="D236" t="s">
        <v>581</v>
      </c>
      <c r="E236" s="2">
        <v>151.864</v>
      </c>
      <c r="F236" s="2">
        <v>0</v>
      </c>
      <c r="G236" s="2">
        <v>65.8245</v>
      </c>
      <c r="H236" s="2">
        <v>-61.638999999999903</v>
      </c>
      <c r="I236" s="1">
        <v>0.93344373913501499</v>
      </c>
      <c r="J236" s="1">
        <v>0.90588289522204002</v>
      </c>
      <c r="K236" s="1">
        <v>0.68514388411441796</v>
      </c>
      <c r="L236" s="1">
        <v>0.65418275024263695</v>
      </c>
      <c r="M236" s="2"/>
      <c r="N236" s="2"/>
      <c r="P236" s="1">
        <f>I236-'Passo 1'!I236</f>
        <v>6.0333587947110967E-2</v>
      </c>
      <c r="Q236" s="1">
        <f>J236-'Passo 1'!J236</f>
        <v>3.0879602802507011E-2</v>
      </c>
      <c r="R236" s="1">
        <f t="shared" si="13"/>
        <v>141.75649999999993</v>
      </c>
      <c r="S236">
        <f t="shared" si="12"/>
        <v>137.57099999999988</v>
      </c>
      <c r="T236" s="1">
        <f t="shared" si="14"/>
        <v>104.04869081715196</v>
      </c>
      <c r="U236" s="1">
        <f t="shared" si="15"/>
        <v>99.346809182847821</v>
      </c>
    </row>
    <row r="237" spans="1:21" x14ac:dyDescent="0.3">
      <c r="A237" t="s">
        <v>57</v>
      </c>
      <c r="B237" t="s">
        <v>661</v>
      </c>
      <c r="C237" t="s">
        <v>580</v>
      </c>
      <c r="D237" t="s">
        <v>581</v>
      </c>
      <c r="E237" s="2">
        <v>138.91800000000001</v>
      </c>
      <c r="F237" s="2">
        <v>0</v>
      </c>
      <c r="G237" s="2">
        <v>62.207500000000003</v>
      </c>
      <c r="H237" s="2">
        <v>-66.522000000000006</v>
      </c>
      <c r="I237" s="1">
        <v>0.94780014109042698</v>
      </c>
      <c r="J237" s="1">
        <v>0.97885803135662697</v>
      </c>
      <c r="K237" s="1">
        <v>0.72915990555952204</v>
      </c>
      <c r="L237" s="1">
        <v>0.69749826688753203</v>
      </c>
      <c r="M237" s="2"/>
      <c r="N237" s="2"/>
      <c r="P237" s="1">
        <f>I237-'Passo 1'!I237</f>
        <v>5.8135014900877025E-2</v>
      </c>
      <c r="Q237" s="1">
        <f>J237-'Passo 1'!J237</f>
        <v>5.1249658071667925E-2</v>
      </c>
      <c r="R237" s="1">
        <f t="shared" si="13"/>
        <v>131.66649999999993</v>
      </c>
      <c r="S237">
        <f t="shared" si="12"/>
        <v>135.98099999999991</v>
      </c>
      <c r="T237" s="1">
        <f t="shared" si="14"/>
        <v>101.29343576051768</v>
      </c>
      <c r="U237" s="1">
        <f t="shared" si="15"/>
        <v>96.895064239482181</v>
      </c>
    </row>
    <row r="238" spans="1:21" x14ac:dyDescent="0.3">
      <c r="A238" t="s">
        <v>57</v>
      </c>
      <c r="B238" t="s">
        <v>175</v>
      </c>
      <c r="C238" t="s">
        <v>580</v>
      </c>
      <c r="D238" t="s">
        <v>581</v>
      </c>
      <c r="E238" s="2">
        <v>337.05200000000002</v>
      </c>
      <c r="F238" s="2">
        <v>0</v>
      </c>
      <c r="G238" s="2">
        <v>119.6615</v>
      </c>
      <c r="H238" s="2">
        <v>-130.446</v>
      </c>
      <c r="I238" s="1">
        <v>0.85502385388604696</v>
      </c>
      <c r="J238" s="1">
        <v>0.88702040041299202</v>
      </c>
      <c r="K238" s="1">
        <v>0.68851213375716402</v>
      </c>
      <c r="L238" s="1">
        <v>0.55353212054187495</v>
      </c>
      <c r="M238" s="2"/>
      <c r="N238" s="2"/>
      <c r="P238" s="1">
        <f>I238-'Passo 1'!I238</f>
        <v>1.3690765816550932E-2</v>
      </c>
      <c r="Q238" s="1">
        <f>J238-'Passo 1'!J238</f>
        <v>3.9597747528571037E-2</v>
      </c>
      <c r="R238" s="1">
        <f t="shared" si="13"/>
        <v>288.18749999999994</v>
      </c>
      <c r="S238">
        <f t="shared" si="12"/>
        <v>298.97199999999981</v>
      </c>
      <c r="T238" s="1">
        <f t="shared" si="14"/>
        <v>232.06439170711965</v>
      </c>
      <c r="U238" s="1">
        <f t="shared" si="15"/>
        <v>186.56910829288006</v>
      </c>
    </row>
    <row r="239" spans="1:21" x14ac:dyDescent="0.3">
      <c r="A239" t="s">
        <v>57</v>
      </c>
      <c r="B239" t="s">
        <v>662</v>
      </c>
      <c r="C239" t="s">
        <v>580</v>
      </c>
      <c r="D239" t="s">
        <v>581</v>
      </c>
      <c r="E239" s="2">
        <v>166.38</v>
      </c>
      <c r="F239" s="2">
        <v>0</v>
      </c>
      <c r="G239" s="2">
        <v>81.377499999999998</v>
      </c>
      <c r="H239" s="2">
        <v>-81.377499999999998</v>
      </c>
      <c r="I239" s="1">
        <v>0.989106262771967</v>
      </c>
      <c r="J239" s="1">
        <v>0.989106262771967</v>
      </c>
      <c r="K239" s="1">
        <v>0.81466291001104396</v>
      </c>
      <c r="L239" s="1">
        <v>0.66354961553289105</v>
      </c>
      <c r="M239" s="2"/>
      <c r="N239" s="2"/>
      <c r="P239" s="1">
        <f>I239-'Passo 1'!I239</f>
        <v>9.5384060584200459E-3</v>
      </c>
      <c r="Q239" s="1">
        <f>J239-'Passo 1'!J239</f>
        <v>0</v>
      </c>
      <c r="R239" s="1">
        <f t="shared" si="13"/>
        <v>164.56749999999985</v>
      </c>
      <c r="S239">
        <f t="shared" si="12"/>
        <v>164.56749999999985</v>
      </c>
      <c r="T239" s="1">
        <f t="shared" si="14"/>
        <v>135.5436149676375</v>
      </c>
      <c r="U239" s="1">
        <f t="shared" si="15"/>
        <v>110.40138503236241</v>
      </c>
    </row>
    <row r="240" spans="1:21" x14ac:dyDescent="0.3">
      <c r="A240" t="s">
        <v>57</v>
      </c>
      <c r="B240" t="s">
        <v>176</v>
      </c>
      <c r="C240" t="s">
        <v>580</v>
      </c>
      <c r="D240" t="s">
        <v>581</v>
      </c>
      <c r="E240" s="2">
        <v>113.23</v>
      </c>
      <c r="F240" s="2">
        <v>0</v>
      </c>
      <c r="G240" s="2">
        <v>45.3215</v>
      </c>
      <c r="H240" s="2">
        <v>-53.628500000000003</v>
      </c>
      <c r="I240" s="1">
        <v>0.90026053166122</v>
      </c>
      <c r="J240" s="1">
        <v>0.97362448114457301</v>
      </c>
      <c r="K240" s="1">
        <v>0.673804063070641</v>
      </c>
      <c r="L240" s="1">
        <v>0.700080949735152</v>
      </c>
      <c r="M240" s="2"/>
      <c r="N240" s="2"/>
      <c r="P240" s="1">
        <f>I240-'Passo 1'!I240</f>
        <v>8.0283493773735004E-2</v>
      </c>
      <c r="Q240" s="1">
        <f>J240-'Passo 1'!J240</f>
        <v>6.864788483617501E-2</v>
      </c>
      <c r="R240" s="1">
        <f t="shared" si="13"/>
        <v>101.93649999999994</v>
      </c>
      <c r="S240">
        <f t="shared" si="12"/>
        <v>110.24350000000001</v>
      </c>
      <c r="T240" s="1">
        <f t="shared" si="14"/>
        <v>76.294834061488686</v>
      </c>
      <c r="U240" s="1">
        <f t="shared" si="15"/>
        <v>79.270165938511269</v>
      </c>
    </row>
    <row r="241" spans="1:21" x14ac:dyDescent="0.3">
      <c r="A241" t="s">
        <v>57</v>
      </c>
      <c r="B241" t="s">
        <v>663</v>
      </c>
      <c r="C241" t="s">
        <v>580</v>
      </c>
      <c r="D241" t="s">
        <v>581</v>
      </c>
      <c r="E241" s="2">
        <v>361.27100000000002</v>
      </c>
      <c r="F241" s="2">
        <v>0</v>
      </c>
      <c r="G241" s="2">
        <v>170.97900000000001</v>
      </c>
      <c r="H241" s="2">
        <v>-171.464</v>
      </c>
      <c r="I241" s="1">
        <v>0.973270757962858</v>
      </c>
      <c r="J241" s="1">
        <v>0.97461324047598596</v>
      </c>
      <c r="K241" s="1">
        <v>0.78176582286044205</v>
      </c>
      <c r="L241" s="1">
        <v>0.66611817557840203</v>
      </c>
      <c r="M241" s="2"/>
      <c r="N241" s="2"/>
      <c r="P241" s="1">
        <f>I241-'Passo 1'!I241</f>
        <v>0.145967985252068</v>
      </c>
      <c r="Q241" s="1">
        <f>J241-'Passo 1'!J241</f>
        <v>8.0893567432758995E-2</v>
      </c>
      <c r="R241" s="1">
        <f t="shared" si="13"/>
        <v>351.61449999999968</v>
      </c>
      <c r="S241">
        <f t="shared" si="12"/>
        <v>352.09949999999992</v>
      </c>
      <c r="T241" s="1">
        <f t="shared" si="14"/>
        <v>282.42932059061479</v>
      </c>
      <c r="U241" s="1">
        <f t="shared" si="15"/>
        <v>240.64917940938489</v>
      </c>
    </row>
    <row r="242" spans="1:21" x14ac:dyDescent="0.3">
      <c r="A242" t="s">
        <v>57</v>
      </c>
      <c r="B242" t="s">
        <v>177</v>
      </c>
      <c r="C242" t="s">
        <v>580</v>
      </c>
      <c r="D242" t="s">
        <v>581</v>
      </c>
      <c r="E242" s="2">
        <v>88.072999999999993</v>
      </c>
      <c r="F242" s="2">
        <v>0</v>
      </c>
      <c r="G242" s="2">
        <v>35.921999999999997</v>
      </c>
      <c r="H242" s="2">
        <v>-41.6265</v>
      </c>
      <c r="I242" s="1">
        <v>0.907866201900695</v>
      </c>
      <c r="J242" s="1">
        <v>0.97263633576691999</v>
      </c>
      <c r="K242" s="1">
        <v>0.69443460121360701</v>
      </c>
      <c r="L242" s="1">
        <v>0.68606793645400799</v>
      </c>
      <c r="M242" s="2"/>
      <c r="N242" s="2"/>
      <c r="P242" s="1">
        <f>I242-'Passo 1'!I242</f>
        <v>9.2292757144641024E-2</v>
      </c>
      <c r="Q242" s="1">
        <f>J242-'Passo 1'!J242</f>
        <v>9.1367388416426998E-2</v>
      </c>
      <c r="R242" s="1">
        <f t="shared" si="13"/>
        <v>79.958499999999901</v>
      </c>
      <c r="S242">
        <f t="shared" si="12"/>
        <v>85.66299999999994</v>
      </c>
      <c r="T242" s="1">
        <f t="shared" si="14"/>
        <v>61.160938632686005</v>
      </c>
      <c r="U242" s="1">
        <f t="shared" si="15"/>
        <v>60.42406136731384</v>
      </c>
    </row>
    <row r="243" spans="1:21" x14ac:dyDescent="0.3">
      <c r="A243" t="s">
        <v>57</v>
      </c>
      <c r="B243" t="s">
        <v>178</v>
      </c>
      <c r="C243" t="s">
        <v>580</v>
      </c>
      <c r="D243" t="s">
        <v>581</v>
      </c>
      <c r="E243" s="2">
        <v>101.38200000000001</v>
      </c>
      <c r="F243" s="2">
        <v>0</v>
      </c>
      <c r="G243" s="2">
        <v>40.277999999999999</v>
      </c>
      <c r="H243" s="2">
        <v>-42.64</v>
      </c>
      <c r="I243" s="1">
        <v>0.89728945966739604</v>
      </c>
      <c r="J243" s="1">
        <v>0.92058748101240795</v>
      </c>
      <c r="K243" s="1">
        <v>0.66725637331240795</v>
      </c>
      <c r="L243" s="1">
        <v>0.65062056736739604</v>
      </c>
      <c r="M243" s="2"/>
      <c r="N243" s="2"/>
      <c r="P243" s="1">
        <f>I243-'Passo 1'!I243</f>
        <v>8.5720344834389062E-2</v>
      </c>
      <c r="Q243" s="1">
        <f>J243-'Passo 1'!J243</f>
        <v>9.1534986486752956E-2</v>
      </c>
      <c r="R243" s="1">
        <f t="shared" si="13"/>
        <v>90.968999999999951</v>
      </c>
      <c r="S243">
        <f t="shared" si="12"/>
        <v>93.330999999999946</v>
      </c>
      <c r="T243" s="1">
        <f t="shared" si="14"/>
        <v>67.647785639158542</v>
      </c>
      <c r="U243" s="1">
        <f t="shared" si="15"/>
        <v>65.961214360841353</v>
      </c>
    </row>
    <row r="244" spans="1:21" x14ac:dyDescent="0.3">
      <c r="A244" t="s">
        <v>57</v>
      </c>
      <c r="B244" t="s">
        <v>664</v>
      </c>
      <c r="C244" t="s">
        <v>580</v>
      </c>
      <c r="D244" t="s">
        <v>581</v>
      </c>
      <c r="E244" s="2">
        <v>747.36099999999999</v>
      </c>
      <c r="F244" s="2">
        <v>0</v>
      </c>
      <c r="G244" s="2">
        <v>337.53449999999998</v>
      </c>
      <c r="H244" s="2">
        <v>-349.14499999999998</v>
      </c>
      <c r="I244" s="1">
        <v>0.95163515356032702</v>
      </c>
      <c r="J244" s="1">
        <v>0.96717048387593096</v>
      </c>
      <c r="K244" s="1">
        <v>0.76835809224075202</v>
      </c>
      <c r="L244" s="1">
        <v>0.65044754519550596</v>
      </c>
      <c r="M244" s="2"/>
      <c r="N244" s="2"/>
      <c r="P244" s="1">
        <f>I244-'Passo 1'!I244</f>
        <v>9.7184626974113009E-2</v>
      </c>
      <c r="Q244" s="1">
        <f>J244-'Passo 1'!J244</f>
        <v>0.12066993059579001</v>
      </c>
      <c r="R244" s="1">
        <f t="shared" si="13"/>
        <v>711.21499999999958</v>
      </c>
      <c r="S244">
        <f t="shared" si="12"/>
        <v>722.82549999999958</v>
      </c>
      <c r="T244" s="1">
        <f t="shared" si="14"/>
        <v>574.24087217514068</v>
      </c>
      <c r="U244" s="1">
        <f t="shared" si="15"/>
        <v>486.11912782485854</v>
      </c>
    </row>
    <row r="245" spans="1:21" x14ac:dyDescent="0.3">
      <c r="A245" t="s">
        <v>57</v>
      </c>
      <c r="B245" t="s">
        <v>179</v>
      </c>
      <c r="C245" t="s">
        <v>580</v>
      </c>
      <c r="D245" t="s">
        <v>581</v>
      </c>
      <c r="E245" s="2">
        <v>115.074</v>
      </c>
      <c r="F245" s="2">
        <v>0</v>
      </c>
      <c r="G245" s="2">
        <v>48.644500000000001</v>
      </c>
      <c r="H245" s="2">
        <v>-35.716499999999897</v>
      </c>
      <c r="I245" s="1">
        <v>0.92272363870205198</v>
      </c>
      <c r="J245" s="1">
        <v>0.81037853902706003</v>
      </c>
      <c r="K245" s="1">
        <v>0.80279771148246004</v>
      </c>
      <c r="L245" s="1">
        <v>0.43030446624665197</v>
      </c>
      <c r="M245" s="2"/>
      <c r="N245" s="2"/>
      <c r="P245" s="1">
        <f>I245-'Passo 1'!I245</f>
        <v>-7.2953056294211005E-2</v>
      </c>
      <c r="Q245" s="1">
        <f>J245-'Passo 1'!J245</f>
        <v>-0.16623216365121596</v>
      </c>
      <c r="R245" s="1">
        <f t="shared" si="13"/>
        <v>106.18149999999993</v>
      </c>
      <c r="S245">
        <f t="shared" si="12"/>
        <v>93.253499999999903</v>
      </c>
      <c r="T245" s="1">
        <f t="shared" si="14"/>
        <v>92.381143851132606</v>
      </c>
      <c r="U245" s="1">
        <f t="shared" si="15"/>
        <v>49.516856148867227</v>
      </c>
    </row>
    <row r="246" spans="1:21" x14ac:dyDescent="0.3">
      <c r="A246" t="s">
        <v>57</v>
      </c>
      <c r="B246" t="s">
        <v>180</v>
      </c>
      <c r="C246" t="s">
        <v>580</v>
      </c>
      <c r="D246" t="s">
        <v>581</v>
      </c>
      <c r="E246" s="2">
        <v>327.334</v>
      </c>
      <c r="F246" s="2">
        <v>0</v>
      </c>
      <c r="G246" s="2">
        <v>124.4145</v>
      </c>
      <c r="H246" s="2">
        <v>-123.681</v>
      </c>
      <c r="I246" s="1">
        <v>0.88008425644754196</v>
      </c>
      <c r="J246" s="1">
        <v>0.87784342598080201</v>
      </c>
      <c r="K246" s="1">
        <v>0.72870238516410502</v>
      </c>
      <c r="L246" s="1">
        <v>0.52922529726423895</v>
      </c>
      <c r="M246" s="2"/>
      <c r="N246" s="2"/>
      <c r="P246" s="1">
        <f>I246-'Passo 1'!I246</f>
        <v>5.6129213586122995E-2</v>
      </c>
      <c r="Q246" s="1">
        <f>J246-'Passo 1'!J246</f>
        <v>9.6563448954279041E-2</v>
      </c>
      <c r="R246" s="1">
        <f t="shared" si="13"/>
        <v>288.08149999999972</v>
      </c>
      <c r="S246">
        <f t="shared" si="12"/>
        <v>287.34799999999984</v>
      </c>
      <c r="T246" s="1">
        <f t="shared" si="14"/>
        <v>238.52906654530716</v>
      </c>
      <c r="U246" s="1">
        <f t="shared" si="15"/>
        <v>173.2334334546924</v>
      </c>
    </row>
    <row r="247" spans="1:21" x14ac:dyDescent="0.3">
      <c r="A247" t="s">
        <v>57</v>
      </c>
      <c r="B247" t="s">
        <v>181</v>
      </c>
      <c r="C247" t="s">
        <v>580</v>
      </c>
      <c r="D247" t="s">
        <v>581</v>
      </c>
      <c r="E247" s="2">
        <v>265.05799999999999</v>
      </c>
      <c r="F247" s="2">
        <v>0</v>
      </c>
      <c r="G247" s="2">
        <v>127.56249999999901</v>
      </c>
      <c r="H247" s="2">
        <v>-118.6275</v>
      </c>
      <c r="I247" s="1">
        <v>0.98126259158372797</v>
      </c>
      <c r="J247" s="1">
        <v>0.94755298840253799</v>
      </c>
      <c r="K247" s="1">
        <v>0.80513316316724304</v>
      </c>
      <c r="L247" s="1">
        <v>0.62368241681902303</v>
      </c>
      <c r="M247" s="2"/>
      <c r="N247" s="2"/>
      <c r="P247" s="1">
        <f>I247-'Passo 1'!I247</f>
        <v>5.4989851277832957E-2</v>
      </c>
      <c r="Q247" s="1">
        <f>J247-'Passo 1'!J247</f>
        <v>0.11107002995570803</v>
      </c>
      <c r="R247" s="1">
        <f t="shared" si="13"/>
        <v>260.09149999999977</v>
      </c>
      <c r="S247">
        <f t="shared" si="12"/>
        <v>251.15649999999991</v>
      </c>
      <c r="T247" s="1">
        <f t="shared" si="14"/>
        <v>213.4069859627831</v>
      </c>
      <c r="U247" s="1">
        <f t="shared" si="15"/>
        <v>165.31201403721661</v>
      </c>
    </row>
    <row r="248" spans="1:21" x14ac:dyDescent="0.3">
      <c r="A248" t="s">
        <v>57</v>
      </c>
      <c r="B248" t="s">
        <v>182</v>
      </c>
      <c r="C248" t="s">
        <v>34</v>
      </c>
      <c r="D248" t="s">
        <v>35</v>
      </c>
      <c r="E248" s="2">
        <v>428.94900000000001</v>
      </c>
      <c r="F248" s="2">
        <v>0</v>
      </c>
      <c r="G248" s="2">
        <v>207.84899999999999</v>
      </c>
      <c r="H248" s="2">
        <v>-204.97550000000001</v>
      </c>
      <c r="I248" s="1">
        <v>0.98455410783099995</v>
      </c>
      <c r="J248" s="1">
        <v>0.97785517625638396</v>
      </c>
      <c r="K248" s="1">
        <v>0.853705393126864</v>
      </c>
      <c r="L248" s="1">
        <v>0.60870389096052102</v>
      </c>
      <c r="M248" s="2"/>
      <c r="N248" s="2"/>
      <c r="P248" s="1">
        <f>I248-'Passo 1'!I248</f>
        <v>6.5846988802863993E-2</v>
      </c>
      <c r="Q248" s="1">
        <f>J248-'Passo 1'!J248</f>
        <v>8.5974090159901984E-2</v>
      </c>
      <c r="R248" s="1">
        <f t="shared" si="13"/>
        <v>422.32349999999963</v>
      </c>
      <c r="S248">
        <f t="shared" si="12"/>
        <v>419.44999999999965</v>
      </c>
      <c r="T248" s="1">
        <f t="shared" si="14"/>
        <v>366.19607467637519</v>
      </c>
      <c r="U248" s="1">
        <f t="shared" si="15"/>
        <v>261.10292532362456</v>
      </c>
    </row>
    <row r="249" spans="1:21" x14ac:dyDescent="0.3">
      <c r="A249" t="s">
        <v>57</v>
      </c>
      <c r="B249" t="s">
        <v>183</v>
      </c>
      <c r="C249" t="s">
        <v>580</v>
      </c>
      <c r="D249" t="s">
        <v>581</v>
      </c>
      <c r="E249" s="2">
        <v>208.72399999999999</v>
      </c>
      <c r="F249" s="2">
        <v>0</v>
      </c>
      <c r="G249" s="2">
        <v>97.354999999999905</v>
      </c>
      <c r="H249" s="2">
        <v>-88.297499999999999</v>
      </c>
      <c r="I249" s="1">
        <v>0.96642935167972999</v>
      </c>
      <c r="J249" s="1">
        <v>0.923034725283149</v>
      </c>
      <c r="K249" s="1">
        <v>0.81045054953727402</v>
      </c>
      <c r="L249" s="1">
        <v>0.57901352742560397</v>
      </c>
      <c r="M249" s="2"/>
      <c r="N249" s="2"/>
      <c r="P249" s="1">
        <f>I249-'Passo 1'!I249</f>
        <v>0.12598215825683701</v>
      </c>
      <c r="Q249" s="1">
        <f>J249-'Passo 1'!J249</f>
        <v>9.634493397980104E-2</v>
      </c>
      <c r="R249" s="1">
        <f t="shared" si="13"/>
        <v>201.71699999999996</v>
      </c>
      <c r="S249">
        <f t="shared" si="12"/>
        <v>192.65949999999998</v>
      </c>
      <c r="T249" s="1">
        <f t="shared" si="14"/>
        <v>169.16048050161797</v>
      </c>
      <c r="U249" s="1">
        <f t="shared" si="15"/>
        <v>120.85401949838176</v>
      </c>
    </row>
    <row r="250" spans="1:21" x14ac:dyDescent="0.3">
      <c r="A250" t="s">
        <v>57</v>
      </c>
      <c r="B250" t="s">
        <v>184</v>
      </c>
      <c r="C250" t="s">
        <v>580</v>
      </c>
      <c r="D250" t="s">
        <v>581</v>
      </c>
      <c r="E250" s="2">
        <v>202.363</v>
      </c>
      <c r="F250" s="2">
        <v>0</v>
      </c>
      <c r="G250" s="2">
        <v>96.498499999999893</v>
      </c>
      <c r="H250" s="2">
        <v>-94.203000000000003</v>
      </c>
      <c r="I250" s="1">
        <v>0.97685841779376603</v>
      </c>
      <c r="J250" s="1">
        <v>0.96551494097241097</v>
      </c>
      <c r="K250" s="1">
        <v>0.80443718129682895</v>
      </c>
      <c r="L250" s="1">
        <v>0.63793617746934805</v>
      </c>
      <c r="M250" s="2"/>
      <c r="N250" s="2"/>
      <c r="P250" s="1">
        <f>I250-'Passo 1'!I250</f>
        <v>4.5942192989825048E-2</v>
      </c>
      <c r="Q250" s="1">
        <f>J250-'Passo 1'!J250</f>
        <v>6.5002001354003025E-2</v>
      </c>
      <c r="R250" s="1">
        <f t="shared" si="13"/>
        <v>197.67999999999986</v>
      </c>
      <c r="S250">
        <f t="shared" si="12"/>
        <v>195.3845</v>
      </c>
      <c r="T250" s="1">
        <f t="shared" si="14"/>
        <v>162.78832131877019</v>
      </c>
      <c r="U250" s="1">
        <f t="shared" si="15"/>
        <v>129.09467868122968</v>
      </c>
    </row>
    <row r="251" spans="1:21" x14ac:dyDescent="0.3">
      <c r="A251" t="s">
        <v>57</v>
      </c>
      <c r="B251" t="s">
        <v>665</v>
      </c>
      <c r="C251" t="s">
        <v>580</v>
      </c>
      <c r="D251" t="s">
        <v>581</v>
      </c>
      <c r="E251" s="2">
        <v>458.762</v>
      </c>
      <c r="F251" s="2">
        <v>0</v>
      </c>
      <c r="G251" s="2">
        <v>208.92849999999899</v>
      </c>
      <c r="H251" s="2">
        <v>-173.79549999999901</v>
      </c>
      <c r="I251" s="1">
        <v>0.95541805990905904</v>
      </c>
      <c r="J251" s="1">
        <v>0.87883586696369698</v>
      </c>
      <c r="K251" s="1">
        <v>0.74690500172837404</v>
      </c>
      <c r="L251" s="1">
        <v>0.58734892514438197</v>
      </c>
      <c r="M251" s="2"/>
      <c r="N251" s="2"/>
      <c r="P251" s="1">
        <f>I251-'Passo 1'!I251</f>
        <v>5.5672658153900989E-2</v>
      </c>
      <c r="Q251" s="1">
        <f>J251-'Passo 1'!J251</f>
        <v>1.569986180198002E-2</v>
      </c>
      <c r="R251" s="1">
        <f t="shared" si="13"/>
        <v>438.30949999999973</v>
      </c>
      <c r="S251">
        <f t="shared" si="12"/>
        <v>403.17649999999958</v>
      </c>
      <c r="T251" s="1">
        <f t="shared" si="14"/>
        <v>342.65163240291236</v>
      </c>
      <c r="U251" s="1">
        <f t="shared" si="15"/>
        <v>269.45336759708698</v>
      </c>
    </row>
    <row r="252" spans="1:21" x14ac:dyDescent="0.3">
      <c r="A252" t="s">
        <v>57</v>
      </c>
      <c r="B252" t="s">
        <v>185</v>
      </c>
      <c r="C252" t="s">
        <v>580</v>
      </c>
      <c r="D252" t="s">
        <v>581</v>
      </c>
      <c r="E252" s="2">
        <v>0</v>
      </c>
      <c r="F252" s="2">
        <v>0</v>
      </c>
      <c r="G252" s="2">
        <v>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M252" s="2"/>
      <c r="N252" s="2"/>
      <c r="P252" s="1">
        <f>I252-'Passo 1'!I252</f>
        <v>0</v>
      </c>
      <c r="Q252" s="1">
        <f>J252-'Passo 1'!J252</f>
        <v>0</v>
      </c>
      <c r="R252" s="1">
        <f t="shared" si="13"/>
        <v>0</v>
      </c>
      <c r="S252">
        <f t="shared" si="12"/>
        <v>0</v>
      </c>
      <c r="T252" s="1">
        <f t="shared" si="14"/>
        <v>0</v>
      </c>
      <c r="U252" s="1">
        <f t="shared" si="15"/>
        <v>0</v>
      </c>
    </row>
    <row r="253" spans="1:21" x14ac:dyDescent="0.3">
      <c r="A253" t="s">
        <v>57</v>
      </c>
      <c r="B253" t="s">
        <v>186</v>
      </c>
      <c r="C253" t="s">
        <v>580</v>
      </c>
      <c r="D253" t="s">
        <v>581</v>
      </c>
      <c r="E253" s="2">
        <v>192.79599999999999</v>
      </c>
      <c r="F253" s="2">
        <v>0</v>
      </c>
      <c r="G253" s="2">
        <v>95.694000000000003</v>
      </c>
      <c r="H253" s="2">
        <v>-78.968999999999994</v>
      </c>
      <c r="I253" s="1">
        <v>0.99634847195999898</v>
      </c>
      <c r="J253" s="1">
        <v>0.90959874686196796</v>
      </c>
      <c r="K253" s="1">
        <v>0.85145966008741603</v>
      </c>
      <c r="L253" s="1">
        <v>0.55448755873455002</v>
      </c>
      <c r="M253" s="2"/>
      <c r="N253" s="2"/>
      <c r="P253" s="1">
        <f>I253-'Passo 1'!I253</f>
        <v>9.1762795908629013E-2</v>
      </c>
      <c r="Q253" s="1">
        <f>J253-'Passo 1'!J253</f>
        <v>7.781281769331394E-2</v>
      </c>
      <c r="R253" s="1">
        <f t="shared" si="13"/>
        <v>192.09199999999996</v>
      </c>
      <c r="S253">
        <f t="shared" si="12"/>
        <v>175.36699999999996</v>
      </c>
      <c r="T253" s="1">
        <f t="shared" si="14"/>
        <v>164.15801662621345</v>
      </c>
      <c r="U253" s="1">
        <f t="shared" si="15"/>
        <v>106.9029833737863</v>
      </c>
    </row>
    <row r="254" spans="1:21" x14ac:dyDescent="0.3">
      <c r="A254" t="s">
        <v>57</v>
      </c>
      <c r="B254" t="s">
        <v>666</v>
      </c>
      <c r="C254" t="s">
        <v>34</v>
      </c>
      <c r="D254" t="s">
        <v>35</v>
      </c>
      <c r="E254" s="2">
        <v>92.438000000000002</v>
      </c>
      <c r="F254" s="2">
        <v>0</v>
      </c>
      <c r="G254" s="2">
        <v>43.5015</v>
      </c>
      <c r="H254" s="2">
        <v>-40.82</v>
      </c>
      <c r="I254" s="1">
        <v>0.97060191696055698</v>
      </c>
      <c r="J254" s="1">
        <v>0.941593284147212</v>
      </c>
      <c r="K254" s="1">
        <v>0.86542905019657701</v>
      </c>
      <c r="L254" s="1">
        <v>0.54676615091119196</v>
      </c>
      <c r="M254" s="2"/>
      <c r="N254" s="2"/>
      <c r="P254" s="1">
        <f>I254-'Passo 1'!I254</f>
        <v>3.8934204547912965E-2</v>
      </c>
      <c r="Q254" s="1">
        <f>J254-'Passo 1'!J254</f>
        <v>6.2290400051926986E-2</v>
      </c>
      <c r="R254" s="1">
        <f t="shared" si="13"/>
        <v>89.720499999999973</v>
      </c>
      <c r="S254">
        <f t="shared" si="12"/>
        <v>87.038999999999987</v>
      </c>
      <c r="T254" s="1">
        <f t="shared" si="14"/>
        <v>79.998530542071194</v>
      </c>
      <c r="U254" s="1">
        <f t="shared" si="15"/>
        <v>50.541969457928765</v>
      </c>
    </row>
    <row r="255" spans="1:21" x14ac:dyDescent="0.3">
      <c r="A255" t="s">
        <v>57</v>
      </c>
      <c r="B255" t="s">
        <v>187</v>
      </c>
      <c r="C255" t="s">
        <v>34</v>
      </c>
      <c r="D255" t="s">
        <v>35</v>
      </c>
      <c r="E255" s="2">
        <v>120.995</v>
      </c>
      <c r="F255" s="2">
        <v>0</v>
      </c>
      <c r="G255" s="2">
        <v>51.006500000000003</v>
      </c>
      <c r="H255" s="2">
        <v>-57.861499999999999</v>
      </c>
      <c r="I255" s="1">
        <v>0.92155874209678001</v>
      </c>
      <c r="J255" s="1">
        <v>0.97821397578412295</v>
      </c>
      <c r="K255" s="1">
        <v>0.81399623017526701</v>
      </c>
      <c r="L255" s="1">
        <v>0.58577648770563595</v>
      </c>
      <c r="M255" s="2"/>
      <c r="N255" s="2"/>
      <c r="P255" s="1">
        <f>I255-'Passo 1'!I255</f>
        <v>0.14512996404810097</v>
      </c>
      <c r="Q255" s="1">
        <f>J255-'Passo 1'!J255</f>
        <v>0.16572585644034898</v>
      </c>
      <c r="R255" s="1">
        <f t="shared" si="13"/>
        <v>111.50399999999991</v>
      </c>
      <c r="S255">
        <f t="shared" si="12"/>
        <v>118.35899999999997</v>
      </c>
      <c r="T255" s="1">
        <f t="shared" si="14"/>
        <v>98.489473870056429</v>
      </c>
      <c r="U255" s="1">
        <f t="shared" si="15"/>
        <v>70.876026129943426</v>
      </c>
    </row>
    <row r="256" spans="1:21" x14ac:dyDescent="0.3">
      <c r="A256" t="s">
        <v>57</v>
      </c>
      <c r="B256" t="s">
        <v>188</v>
      </c>
      <c r="C256" t="s">
        <v>34</v>
      </c>
      <c r="D256" t="s">
        <v>35</v>
      </c>
      <c r="E256" s="2">
        <v>69.325999999999993</v>
      </c>
      <c r="F256" s="2">
        <v>0</v>
      </c>
      <c r="G256" s="2">
        <v>31.62</v>
      </c>
      <c r="H256" s="2">
        <v>-32.284999999999997</v>
      </c>
      <c r="I256" s="1">
        <v>0.95610593428151003</v>
      </c>
      <c r="J256" s="1">
        <v>0.96569829501197202</v>
      </c>
      <c r="K256" s="1">
        <v>0.84794042816515203</v>
      </c>
      <c r="L256" s="1">
        <v>0.57386380112833002</v>
      </c>
      <c r="M256" s="2"/>
      <c r="N256" s="2"/>
      <c r="P256" s="1">
        <f>I256-'Passo 1'!I256</f>
        <v>8.0734500764504058E-2</v>
      </c>
      <c r="Q256" s="1">
        <f>J256-'Passo 1'!J256</f>
        <v>4.936820240602402E-2</v>
      </c>
      <c r="R256" s="1">
        <f t="shared" si="13"/>
        <v>66.282999999999959</v>
      </c>
      <c r="S256">
        <f t="shared" si="12"/>
        <v>66.947999999999965</v>
      </c>
      <c r="T256" s="1">
        <f t="shared" si="14"/>
        <v>58.784318122977325</v>
      </c>
      <c r="U256" s="1">
        <f t="shared" si="15"/>
        <v>39.783681877022602</v>
      </c>
    </row>
    <row r="257" spans="1:21" x14ac:dyDescent="0.3">
      <c r="A257" t="s">
        <v>57</v>
      </c>
      <c r="B257" t="s">
        <v>667</v>
      </c>
      <c r="C257" t="s">
        <v>34</v>
      </c>
      <c r="D257" t="s">
        <v>35</v>
      </c>
      <c r="E257" s="2">
        <v>406.47500000000002</v>
      </c>
      <c r="F257" s="2">
        <v>0</v>
      </c>
      <c r="G257" s="2">
        <v>200.47499999999999</v>
      </c>
      <c r="H257" s="2">
        <v>-200.209</v>
      </c>
      <c r="I257" s="1">
        <v>0.99320376406913002</v>
      </c>
      <c r="J257" s="1">
        <v>0.99254935727904503</v>
      </c>
      <c r="K257" s="1">
        <v>0.87597341009639396</v>
      </c>
      <c r="L257" s="1">
        <v>0.60977971125178099</v>
      </c>
      <c r="M257" s="2"/>
      <c r="N257" s="2"/>
      <c r="P257" s="1">
        <f>I257-'Passo 1'!I257</f>
        <v>6.357832585029799E-2</v>
      </c>
      <c r="Q257" s="1">
        <f>J257-'Passo 1'!J257</f>
        <v>8.1423211759641068E-2</v>
      </c>
      <c r="R257" s="1">
        <f t="shared" si="13"/>
        <v>403.71249999999964</v>
      </c>
      <c r="S257">
        <f t="shared" si="12"/>
        <v>403.44649999999984</v>
      </c>
      <c r="T257" s="1">
        <f t="shared" si="14"/>
        <v>356.06129186893173</v>
      </c>
      <c r="U257" s="1">
        <f t="shared" si="15"/>
        <v>247.86020813106768</v>
      </c>
    </row>
    <row r="258" spans="1:21" x14ac:dyDescent="0.3">
      <c r="A258" t="s">
        <v>57</v>
      </c>
      <c r="B258" t="s">
        <v>668</v>
      </c>
      <c r="C258" t="s">
        <v>580</v>
      </c>
      <c r="D258" t="s">
        <v>581</v>
      </c>
      <c r="E258" s="2">
        <v>178.10599999999999</v>
      </c>
      <c r="F258" s="2">
        <v>0</v>
      </c>
      <c r="G258" s="2">
        <v>77.823499999999996</v>
      </c>
      <c r="H258" s="2">
        <v>-84.908500000000004</v>
      </c>
      <c r="I258" s="1">
        <v>0.93695046769901003</v>
      </c>
      <c r="J258" s="1">
        <v>0.97673014946155601</v>
      </c>
      <c r="K258" s="1">
        <v>0.71869191556666101</v>
      </c>
      <c r="L258" s="1">
        <v>0.69498870159390502</v>
      </c>
      <c r="M258" s="2"/>
      <c r="N258" s="2"/>
      <c r="P258" s="1">
        <f>I258-'Passo 1'!I258</f>
        <v>0.12754483285234608</v>
      </c>
      <c r="Q258" s="1">
        <f>J258-'Passo 1'!J258</f>
        <v>9.3326446048981992E-2</v>
      </c>
      <c r="R258" s="1">
        <f t="shared" si="13"/>
        <v>166.87649999999988</v>
      </c>
      <c r="S258">
        <f t="shared" ref="S258:S321" si="16">J258*E258</f>
        <v>173.96149999999989</v>
      </c>
      <c r="T258" s="1">
        <f t="shared" si="14"/>
        <v>128.00334231391571</v>
      </c>
      <c r="U258" s="1">
        <f t="shared" si="15"/>
        <v>123.78165768608405</v>
      </c>
    </row>
    <row r="259" spans="1:21" x14ac:dyDescent="0.3">
      <c r="A259" t="s">
        <v>57</v>
      </c>
      <c r="B259" t="s">
        <v>669</v>
      </c>
      <c r="C259" t="s">
        <v>34</v>
      </c>
      <c r="D259" t="s">
        <v>35</v>
      </c>
      <c r="E259" s="2">
        <v>201.982</v>
      </c>
      <c r="F259" s="2">
        <v>0</v>
      </c>
      <c r="G259" s="2">
        <v>97.807999999999893</v>
      </c>
      <c r="H259" s="2">
        <v>-86.902000000000001</v>
      </c>
      <c r="I259" s="1">
        <v>0.98424117000524702</v>
      </c>
      <c r="J259" s="1">
        <v>0.93024625956768403</v>
      </c>
      <c r="K259" s="1">
        <v>0.86252080715065105</v>
      </c>
      <c r="L259" s="1">
        <v>0.55196662242228001</v>
      </c>
      <c r="M259" s="2"/>
      <c r="N259" s="2"/>
      <c r="P259" s="1">
        <f>I259-'Passo 1'!I259</f>
        <v>0.12219405689615903</v>
      </c>
      <c r="Q259" s="1">
        <f>J259-'Passo 1'!J259</f>
        <v>0.11415868740778901</v>
      </c>
      <c r="R259" s="1">
        <f t="shared" ref="R259:R322" si="17">I259*E259</f>
        <v>198.79899999999981</v>
      </c>
      <c r="S259">
        <f t="shared" si="16"/>
        <v>187.89299999999994</v>
      </c>
      <c r="T259" s="1">
        <f t="shared" ref="T259:T322" si="18">K259*E259</f>
        <v>174.21367766990281</v>
      </c>
      <c r="U259" s="1">
        <f t="shared" ref="U259:U322" si="19">L259*E259</f>
        <v>111.48732233009696</v>
      </c>
    </row>
    <row r="260" spans="1:21" x14ac:dyDescent="0.3">
      <c r="A260" t="s">
        <v>57</v>
      </c>
      <c r="B260" t="s">
        <v>670</v>
      </c>
      <c r="C260" t="s">
        <v>580</v>
      </c>
      <c r="D260" t="s">
        <v>581</v>
      </c>
      <c r="E260" s="2">
        <v>224.316</v>
      </c>
      <c r="F260" s="2">
        <v>0</v>
      </c>
      <c r="G260" s="2">
        <v>99.969499999999996</v>
      </c>
      <c r="H260" s="2">
        <v>-93.32</v>
      </c>
      <c r="I260" s="1">
        <v>0.94566370655682097</v>
      </c>
      <c r="J260" s="1">
        <v>0.91602025713725199</v>
      </c>
      <c r="K260" s="1">
        <v>0.73152739812669498</v>
      </c>
      <c r="L260" s="1">
        <v>0.63015656556737898</v>
      </c>
      <c r="M260" s="2"/>
      <c r="N260" s="2"/>
      <c r="P260" s="1">
        <f>I260-'Passo 1'!I260</f>
        <v>7.9096007418105962E-2</v>
      </c>
      <c r="Q260" s="1">
        <f>J260-'Passo 1'!J260</f>
        <v>1.9356621908378946E-2</v>
      </c>
      <c r="R260" s="1">
        <f t="shared" si="17"/>
        <v>212.12749999999986</v>
      </c>
      <c r="S260">
        <f t="shared" si="16"/>
        <v>205.47799999999981</v>
      </c>
      <c r="T260" s="1">
        <f t="shared" si="18"/>
        <v>164.0932998381877</v>
      </c>
      <c r="U260" s="1">
        <f t="shared" si="19"/>
        <v>141.35420016181217</v>
      </c>
    </row>
    <row r="261" spans="1:21" x14ac:dyDescent="0.3">
      <c r="A261" t="s">
        <v>57</v>
      </c>
      <c r="B261" t="s">
        <v>671</v>
      </c>
      <c r="C261" t="s">
        <v>34</v>
      </c>
      <c r="D261" t="s">
        <v>35</v>
      </c>
      <c r="E261" s="2">
        <v>447.43400000000003</v>
      </c>
      <c r="F261" s="2">
        <v>0</v>
      </c>
      <c r="G261" s="2">
        <v>195.47549999999899</v>
      </c>
      <c r="H261" s="2">
        <v>-181.779</v>
      </c>
      <c r="I261" s="1">
        <v>0.93688119365090705</v>
      </c>
      <c r="J261" s="1">
        <v>0.90626997501307405</v>
      </c>
      <c r="K261" s="1">
        <v>0.82863377838966101</v>
      </c>
      <c r="L261" s="1">
        <v>0.51451739027431898</v>
      </c>
      <c r="M261" s="2"/>
      <c r="N261" s="2"/>
      <c r="P261" s="1">
        <f>I261-'Passo 1'!I261</f>
        <v>8.8093439479342006E-2</v>
      </c>
      <c r="Q261" s="1">
        <f>J261-'Passo 1'!J261</f>
        <v>8.3917404578105037E-2</v>
      </c>
      <c r="R261" s="1">
        <f t="shared" si="17"/>
        <v>419.1925</v>
      </c>
      <c r="S261">
        <f t="shared" si="16"/>
        <v>405.49599999999981</v>
      </c>
      <c r="T261" s="1">
        <f t="shared" si="18"/>
        <v>370.75892599999963</v>
      </c>
      <c r="U261" s="1">
        <f t="shared" si="19"/>
        <v>230.21257399999965</v>
      </c>
    </row>
    <row r="262" spans="1:21" x14ac:dyDescent="0.3">
      <c r="A262" t="s">
        <v>57</v>
      </c>
      <c r="B262" t="s">
        <v>672</v>
      </c>
      <c r="C262" t="s">
        <v>34</v>
      </c>
      <c r="D262" t="s">
        <v>35</v>
      </c>
      <c r="E262" s="2">
        <v>162.64500000000001</v>
      </c>
      <c r="F262" s="2">
        <v>0</v>
      </c>
      <c r="G262" s="2">
        <v>74.705500000000001</v>
      </c>
      <c r="H262" s="2">
        <v>-65.364500000000007</v>
      </c>
      <c r="I262" s="1">
        <v>0.95931630237634102</v>
      </c>
      <c r="J262" s="1">
        <v>0.90188447231700897</v>
      </c>
      <c r="K262" s="1">
        <v>0.94832740631436496</v>
      </c>
      <c r="L262" s="1">
        <v>0.41287336837898397</v>
      </c>
      <c r="M262" s="2"/>
      <c r="N262" s="2"/>
      <c r="P262" s="1">
        <f>I262-'Passo 1'!I262</f>
        <v>8.1250576408743003E-2</v>
      </c>
      <c r="Q262" s="1">
        <f>J262-'Passo 1'!J262</f>
        <v>9.1795013680101012E-2</v>
      </c>
      <c r="R262" s="1">
        <f t="shared" si="17"/>
        <v>156.02799999999999</v>
      </c>
      <c r="S262">
        <f t="shared" si="16"/>
        <v>146.68699999999993</v>
      </c>
      <c r="T262" s="1">
        <f t="shared" si="18"/>
        <v>154.24071099999989</v>
      </c>
      <c r="U262" s="1">
        <f t="shared" si="19"/>
        <v>67.151788999999852</v>
      </c>
    </row>
    <row r="263" spans="1:21" x14ac:dyDescent="0.3">
      <c r="A263" t="s">
        <v>57</v>
      </c>
      <c r="B263" t="s">
        <v>673</v>
      </c>
      <c r="C263" t="s">
        <v>580</v>
      </c>
      <c r="D263" t="s">
        <v>581</v>
      </c>
      <c r="E263" s="2">
        <v>57.652999999999999</v>
      </c>
      <c r="F263" s="2">
        <v>0</v>
      </c>
      <c r="G263" s="2">
        <v>22.538</v>
      </c>
      <c r="H263" s="2">
        <v>-24.631</v>
      </c>
      <c r="I263" s="1">
        <v>0.89092501691152204</v>
      </c>
      <c r="J263" s="1">
        <v>0.92722841829566505</v>
      </c>
      <c r="K263" s="1">
        <v>0.68989991075947699</v>
      </c>
      <c r="L263" s="1">
        <v>0.62825352444770899</v>
      </c>
      <c r="M263" s="2"/>
      <c r="N263" s="2"/>
      <c r="P263" s="1">
        <f>I263-'Passo 1'!I263</f>
        <v>0.12717464832706005</v>
      </c>
      <c r="Q263" s="1">
        <f>J263-'Passo 1'!J263</f>
        <v>0.13547430315855202</v>
      </c>
      <c r="R263" s="1">
        <f t="shared" si="17"/>
        <v>51.364499999999978</v>
      </c>
      <c r="S263">
        <f t="shared" si="16"/>
        <v>53.457499999999975</v>
      </c>
      <c r="T263" s="1">
        <f t="shared" si="18"/>
        <v>39.774799555016124</v>
      </c>
      <c r="U263" s="1">
        <f t="shared" si="19"/>
        <v>36.220700444983763</v>
      </c>
    </row>
    <row r="264" spans="1:21" x14ac:dyDescent="0.3">
      <c r="A264" t="s">
        <v>57</v>
      </c>
      <c r="B264" t="s">
        <v>674</v>
      </c>
      <c r="C264" t="s">
        <v>34</v>
      </c>
      <c r="D264" t="s">
        <v>35</v>
      </c>
      <c r="E264" s="2">
        <v>52.744</v>
      </c>
      <c r="F264" s="2">
        <v>0</v>
      </c>
      <c r="G264" s="2">
        <v>24.006</v>
      </c>
      <c r="H264" s="2">
        <v>-23.988</v>
      </c>
      <c r="I264" s="1">
        <v>0.95514181707871904</v>
      </c>
      <c r="J264" s="1">
        <v>0.95480054603367204</v>
      </c>
      <c r="K264" s="1">
        <v>0.85662989873048601</v>
      </c>
      <c r="L264" s="1">
        <v>0.55331246438190496</v>
      </c>
      <c r="M264" s="2"/>
      <c r="N264" s="2"/>
      <c r="P264" s="1">
        <f>I264-'Passo 1'!I264</f>
        <v>6.5988548460488072E-2</v>
      </c>
      <c r="Q264" s="1">
        <f>J264-'Passo 1'!J264</f>
        <v>6.7837099954498048E-2</v>
      </c>
      <c r="R264" s="1">
        <f t="shared" si="17"/>
        <v>50.377999999999957</v>
      </c>
      <c r="S264">
        <f t="shared" si="16"/>
        <v>50.36</v>
      </c>
      <c r="T264" s="1">
        <f t="shared" si="18"/>
        <v>45.182087378640752</v>
      </c>
      <c r="U264" s="1">
        <f t="shared" si="19"/>
        <v>29.183912621359195</v>
      </c>
    </row>
    <row r="265" spans="1:21" x14ac:dyDescent="0.3">
      <c r="A265" t="s">
        <v>57</v>
      </c>
      <c r="B265" t="s">
        <v>675</v>
      </c>
      <c r="C265" t="s">
        <v>580</v>
      </c>
      <c r="D265" t="s">
        <v>581</v>
      </c>
      <c r="E265" s="2">
        <v>744.97699999999998</v>
      </c>
      <c r="F265" s="2">
        <v>0</v>
      </c>
      <c r="G265" s="2">
        <v>347.48450000000003</v>
      </c>
      <c r="H265" s="2">
        <v>-372.43099999999998</v>
      </c>
      <c r="I265" s="1">
        <v>0.96643654770549903</v>
      </c>
      <c r="J265" s="1">
        <v>0.99992281640909697</v>
      </c>
      <c r="K265" s="1">
        <v>0.76735828719118604</v>
      </c>
      <c r="L265" s="1">
        <v>0.69900107692340996</v>
      </c>
      <c r="M265" s="2"/>
      <c r="N265" s="2"/>
      <c r="P265" s="1">
        <f>I265-'Passo 1'!I265</f>
        <v>5.744405531982899E-2</v>
      </c>
      <c r="Q265" s="1">
        <f>J265-'Passo 1'!J265</f>
        <v>8.9699413538941952E-2</v>
      </c>
      <c r="R265" s="1">
        <f t="shared" si="17"/>
        <v>719.9729999999995</v>
      </c>
      <c r="S265">
        <f t="shared" si="16"/>
        <v>744.91949999999986</v>
      </c>
      <c r="T265" s="1">
        <f t="shared" si="18"/>
        <v>571.66427471682823</v>
      </c>
      <c r="U265" s="1">
        <f t="shared" si="19"/>
        <v>520.7397252831712</v>
      </c>
    </row>
    <row r="266" spans="1:21" x14ac:dyDescent="0.3">
      <c r="A266" t="s">
        <v>57</v>
      </c>
      <c r="B266" t="s">
        <v>189</v>
      </c>
      <c r="C266" t="s">
        <v>580</v>
      </c>
      <c r="D266" t="s">
        <v>581</v>
      </c>
      <c r="E266" s="2">
        <v>0</v>
      </c>
      <c r="F266" s="2">
        <v>0</v>
      </c>
      <c r="G266" s="2">
        <v>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M266" s="2"/>
      <c r="N266" s="2"/>
      <c r="P266" s="1">
        <f>I266-'Passo 1'!I266</f>
        <v>0</v>
      </c>
      <c r="Q266" s="1">
        <f>J266-'Passo 1'!J266</f>
        <v>0</v>
      </c>
      <c r="R266" s="1">
        <f t="shared" si="17"/>
        <v>0</v>
      </c>
      <c r="S266">
        <f t="shared" si="16"/>
        <v>0</v>
      </c>
      <c r="T266" s="1">
        <f t="shared" si="18"/>
        <v>0</v>
      </c>
      <c r="U266" s="1">
        <f t="shared" si="19"/>
        <v>0</v>
      </c>
    </row>
    <row r="267" spans="1:21" x14ac:dyDescent="0.3">
      <c r="A267" t="s">
        <v>57</v>
      </c>
      <c r="B267" t="s">
        <v>676</v>
      </c>
      <c r="C267" t="s">
        <v>580</v>
      </c>
      <c r="D267" t="s">
        <v>581</v>
      </c>
      <c r="E267" s="2">
        <v>75.55</v>
      </c>
      <c r="F267" s="2">
        <v>0</v>
      </c>
      <c r="G267" s="2">
        <v>36.649500000000003</v>
      </c>
      <c r="H267" s="2">
        <v>-35.716500000000003</v>
      </c>
      <c r="I267" s="1">
        <v>0.985102581072137</v>
      </c>
      <c r="J267" s="1">
        <v>0.97275314361350096</v>
      </c>
      <c r="K267" s="1">
        <v>0.75564166661312104</v>
      </c>
      <c r="L267" s="1">
        <v>0.70221405807251602</v>
      </c>
      <c r="M267" s="2"/>
      <c r="N267" s="2"/>
      <c r="P267" s="1">
        <f>I267-'Passo 1'!I267</f>
        <v>0.115228325612177</v>
      </c>
      <c r="Q267" s="1">
        <f>J267-'Passo 1'!J267</f>
        <v>3.3507610853739989E-2</v>
      </c>
      <c r="R267" s="1">
        <f t="shared" si="17"/>
        <v>74.424499999999952</v>
      </c>
      <c r="S267">
        <f t="shared" si="16"/>
        <v>73.491499999999988</v>
      </c>
      <c r="T267" s="1">
        <f t="shared" si="18"/>
        <v>57.088727912621295</v>
      </c>
      <c r="U267" s="1">
        <f t="shared" si="19"/>
        <v>53.052272087378583</v>
      </c>
    </row>
    <row r="268" spans="1:21" x14ac:dyDescent="0.3">
      <c r="A268" t="s">
        <v>57</v>
      </c>
      <c r="B268" t="s">
        <v>190</v>
      </c>
      <c r="C268" t="s">
        <v>34</v>
      </c>
      <c r="D268" t="s">
        <v>35</v>
      </c>
      <c r="E268" s="2">
        <v>8.4489999999999998</v>
      </c>
      <c r="F268" s="2">
        <v>0</v>
      </c>
      <c r="G268" s="2">
        <v>3.7054999999999998</v>
      </c>
      <c r="H268" s="2">
        <v>-3.3414999999999999</v>
      </c>
      <c r="I268" s="1">
        <v>0.938572612143448</v>
      </c>
      <c r="J268" s="1">
        <v>0.89549059060243796</v>
      </c>
      <c r="K268" s="1">
        <v>0.86620025693854696</v>
      </c>
      <c r="L268" s="1">
        <v>0.467862945807339</v>
      </c>
      <c r="M268" s="2"/>
      <c r="N268" s="2"/>
      <c r="P268" s="1">
        <f>I268-'Passo 1'!I268</f>
        <v>3.8111019055508955E-2</v>
      </c>
      <c r="Q268" s="1">
        <f>J268-'Passo 1'!J268</f>
        <v>6.2906852881997932E-2</v>
      </c>
      <c r="R268" s="1">
        <f t="shared" si="17"/>
        <v>7.9299999999999917</v>
      </c>
      <c r="S268">
        <f t="shared" si="16"/>
        <v>7.5659999999999981</v>
      </c>
      <c r="T268" s="1">
        <f t="shared" si="18"/>
        <v>7.3185259708737833</v>
      </c>
      <c r="U268" s="1">
        <f t="shared" si="19"/>
        <v>3.952974029126207</v>
      </c>
    </row>
    <row r="269" spans="1:21" x14ac:dyDescent="0.3">
      <c r="A269" t="s">
        <v>57</v>
      </c>
      <c r="B269" t="s">
        <v>191</v>
      </c>
      <c r="C269" t="s">
        <v>580</v>
      </c>
      <c r="D269" t="s">
        <v>581</v>
      </c>
      <c r="E269" s="2">
        <v>92.025999999999996</v>
      </c>
      <c r="F269" s="2">
        <v>0</v>
      </c>
      <c r="G269" s="2">
        <v>38.133000000000003</v>
      </c>
      <c r="H269" s="2">
        <v>-36.707500000000003</v>
      </c>
      <c r="I269" s="1">
        <v>0.91437202529719797</v>
      </c>
      <c r="J269" s="1">
        <v>0.89888183774150698</v>
      </c>
      <c r="K269" s="1">
        <v>0.74506910800219095</v>
      </c>
      <c r="L269" s="1">
        <v>0.568184755036514</v>
      </c>
      <c r="M269" s="2"/>
      <c r="N269" s="2"/>
      <c r="P269" s="1">
        <f>I269-'Passo 1'!I269</f>
        <v>9.3158455219176983E-2</v>
      </c>
      <c r="Q269" s="1">
        <f>J269-'Passo 1'!J269</f>
        <v>2.3493360572012012E-2</v>
      </c>
      <c r="R269" s="1">
        <f t="shared" si="17"/>
        <v>84.14599999999993</v>
      </c>
      <c r="S269">
        <f t="shared" si="16"/>
        <v>82.720499999999916</v>
      </c>
      <c r="T269" s="1">
        <f t="shared" si="18"/>
        <v>68.565729733009618</v>
      </c>
      <c r="U269" s="1">
        <f t="shared" si="19"/>
        <v>52.287770266990236</v>
      </c>
    </row>
    <row r="270" spans="1:21" x14ac:dyDescent="0.3">
      <c r="A270" t="s">
        <v>57</v>
      </c>
      <c r="B270" t="s">
        <v>192</v>
      </c>
      <c r="C270" t="s">
        <v>580</v>
      </c>
      <c r="D270" t="s">
        <v>581</v>
      </c>
      <c r="E270" s="2">
        <v>44.215000000000003</v>
      </c>
      <c r="F270" s="2">
        <v>0</v>
      </c>
      <c r="G270" s="2">
        <v>19.003</v>
      </c>
      <c r="H270" s="2">
        <v>-17.378999999999898</v>
      </c>
      <c r="I270" s="1">
        <v>0.92978627162727501</v>
      </c>
      <c r="J270" s="1">
        <v>0.89305665498134101</v>
      </c>
      <c r="K270" s="1">
        <v>0.79893005308490594</v>
      </c>
      <c r="L270" s="1">
        <v>0.52391287352370997</v>
      </c>
      <c r="M270" s="2"/>
      <c r="N270" s="2"/>
      <c r="P270" s="1">
        <f>I270-'Passo 1'!I270</f>
        <v>7.3662784123034952E-2</v>
      </c>
      <c r="Q270" s="1">
        <f>J270-'Passo 1'!J270</f>
        <v>2.8282257152550061E-2</v>
      </c>
      <c r="R270" s="1">
        <f t="shared" si="17"/>
        <v>41.110499999999966</v>
      </c>
      <c r="S270">
        <f t="shared" si="16"/>
        <v>39.486499999999999</v>
      </c>
      <c r="T270" s="1">
        <f t="shared" si="18"/>
        <v>35.32469229714912</v>
      </c>
      <c r="U270" s="1">
        <f t="shared" si="19"/>
        <v>23.164807702850837</v>
      </c>
    </row>
    <row r="271" spans="1:21" x14ac:dyDescent="0.3">
      <c r="A271" t="s">
        <v>57</v>
      </c>
      <c r="B271" t="s">
        <v>193</v>
      </c>
      <c r="C271" t="s">
        <v>580</v>
      </c>
      <c r="D271" t="s">
        <v>581</v>
      </c>
      <c r="E271" s="2">
        <v>54.32</v>
      </c>
      <c r="F271" s="2">
        <v>0</v>
      </c>
      <c r="G271" s="2">
        <v>24.004999999999999</v>
      </c>
      <c r="H271" s="2">
        <v>-25.271000000000001</v>
      </c>
      <c r="I271" s="1">
        <v>0.94191826215022101</v>
      </c>
      <c r="J271" s="1">
        <v>0.96522459499263602</v>
      </c>
      <c r="K271" s="1">
        <v>0.78977013091544301</v>
      </c>
      <c r="L271" s="1">
        <v>0.61737272622741401</v>
      </c>
      <c r="M271" s="2"/>
      <c r="N271" s="2"/>
      <c r="P271" s="1">
        <f>I271-'Passo 1'!I271</f>
        <v>5.7658321060383044E-2</v>
      </c>
      <c r="Q271" s="1">
        <f>J271-'Passo 1'!J271</f>
        <v>6.3374447717230997E-2</v>
      </c>
      <c r="R271" s="1">
        <f t="shared" si="17"/>
        <v>51.165000000000006</v>
      </c>
      <c r="S271">
        <f t="shared" si="16"/>
        <v>52.43099999999999</v>
      </c>
      <c r="T271" s="1">
        <f t="shared" si="18"/>
        <v>42.900313511326864</v>
      </c>
      <c r="U271" s="1">
        <f t="shared" si="19"/>
        <v>33.535686488673129</v>
      </c>
    </row>
    <row r="272" spans="1:21" x14ac:dyDescent="0.3">
      <c r="A272" t="s">
        <v>57</v>
      </c>
      <c r="B272" t="s">
        <v>194</v>
      </c>
      <c r="C272" t="s">
        <v>580</v>
      </c>
      <c r="D272" t="s">
        <v>581</v>
      </c>
      <c r="E272" s="2">
        <v>176.02</v>
      </c>
      <c r="F272" s="2">
        <v>0</v>
      </c>
      <c r="G272" s="2">
        <v>83.224000000000004</v>
      </c>
      <c r="H272" s="2">
        <v>-86.979500000000002</v>
      </c>
      <c r="I272" s="1">
        <v>0.97280990796500399</v>
      </c>
      <c r="J272" s="1">
        <v>0.99414555164185803</v>
      </c>
      <c r="K272" s="1">
        <v>0.80828637540820703</v>
      </c>
      <c r="L272" s="1">
        <v>0.658669084198654</v>
      </c>
      <c r="M272" s="2"/>
      <c r="N272" s="2"/>
      <c r="P272" s="1">
        <f>I272-'Passo 1'!I272</f>
        <v>9.4943756391320022E-2</v>
      </c>
      <c r="Q272" s="1">
        <f>J272-'Passo 1'!J272</f>
        <v>5.1107828655834076E-2</v>
      </c>
      <c r="R272" s="1">
        <f t="shared" si="17"/>
        <v>171.23400000000001</v>
      </c>
      <c r="S272">
        <f t="shared" si="16"/>
        <v>174.98949999999985</v>
      </c>
      <c r="T272" s="1">
        <f t="shared" si="18"/>
        <v>142.27456779935261</v>
      </c>
      <c r="U272" s="1">
        <f t="shared" si="19"/>
        <v>115.93893220064709</v>
      </c>
    </row>
    <row r="273" spans="1:21" x14ac:dyDescent="0.3">
      <c r="A273" t="s">
        <v>57</v>
      </c>
      <c r="B273" t="s">
        <v>677</v>
      </c>
      <c r="C273" t="s">
        <v>580</v>
      </c>
      <c r="D273" t="s">
        <v>581</v>
      </c>
      <c r="E273" s="2">
        <v>54.759</v>
      </c>
      <c r="F273" s="2">
        <v>0</v>
      </c>
      <c r="G273" s="2">
        <v>23.917000000000002</v>
      </c>
      <c r="H273" s="2">
        <v>-21.106000000000002</v>
      </c>
      <c r="I273" s="1">
        <v>0.93676838510564397</v>
      </c>
      <c r="J273" s="1">
        <v>0.88543435782245805</v>
      </c>
      <c r="K273" s="1">
        <v>0.776986135216442</v>
      </c>
      <c r="L273" s="1">
        <v>0.54521660771166103</v>
      </c>
      <c r="M273" s="2"/>
      <c r="N273" s="2"/>
      <c r="P273" s="1">
        <f>I273-'Passo 1'!I273</f>
        <v>3.6980222429188969E-2</v>
      </c>
      <c r="Q273" s="1">
        <f>J273-'Passo 1'!J273</f>
        <v>9.9800945963221088E-2</v>
      </c>
      <c r="R273" s="1">
        <f t="shared" si="17"/>
        <v>51.296499999999959</v>
      </c>
      <c r="S273">
        <f t="shared" si="16"/>
        <v>48.485499999999981</v>
      </c>
      <c r="T273" s="1">
        <f t="shared" si="18"/>
        <v>42.546983778317149</v>
      </c>
      <c r="U273" s="1">
        <f t="shared" si="19"/>
        <v>29.855516221682848</v>
      </c>
    </row>
    <row r="274" spans="1:21" x14ac:dyDescent="0.3">
      <c r="A274" t="s">
        <v>57</v>
      </c>
      <c r="B274" t="s">
        <v>195</v>
      </c>
      <c r="C274" t="s">
        <v>580</v>
      </c>
      <c r="D274" t="s">
        <v>581</v>
      </c>
      <c r="E274" s="2">
        <v>91.158000000000001</v>
      </c>
      <c r="F274" s="2">
        <v>0</v>
      </c>
      <c r="G274" s="2">
        <v>28.024999999999999</v>
      </c>
      <c r="H274" s="2">
        <v>-34.534500000000001</v>
      </c>
      <c r="I274" s="1">
        <v>0.80743324776761205</v>
      </c>
      <c r="J274" s="1">
        <v>0.87884222997433004</v>
      </c>
      <c r="K274" s="1">
        <v>0.64406148885064596</v>
      </c>
      <c r="L274" s="1">
        <v>0.54221398889129502</v>
      </c>
      <c r="M274" s="2"/>
      <c r="N274" s="2"/>
      <c r="P274" s="1">
        <f>I274-'Passo 1'!I274</f>
        <v>3.4352443011036016E-2</v>
      </c>
      <c r="Q274" s="1">
        <f>J274-'Passo 1'!J274</f>
        <v>6.4097501042147065E-2</v>
      </c>
      <c r="R274" s="1">
        <f t="shared" si="17"/>
        <v>73.603999999999985</v>
      </c>
      <c r="S274">
        <f t="shared" si="16"/>
        <v>80.113499999999974</v>
      </c>
      <c r="T274" s="1">
        <f t="shared" si="18"/>
        <v>58.711357200647186</v>
      </c>
      <c r="U274" s="1">
        <f t="shared" si="19"/>
        <v>49.427142799352673</v>
      </c>
    </row>
    <row r="275" spans="1:21" x14ac:dyDescent="0.3">
      <c r="A275" t="s">
        <v>57</v>
      </c>
      <c r="B275" t="s">
        <v>678</v>
      </c>
      <c r="C275" t="s">
        <v>580</v>
      </c>
      <c r="D275" t="s">
        <v>581</v>
      </c>
      <c r="E275" s="2">
        <v>195.477</v>
      </c>
      <c r="F275" s="2">
        <v>0</v>
      </c>
      <c r="G275" s="2">
        <v>96.480999999999995</v>
      </c>
      <c r="H275" s="2">
        <v>-68.628500000000003</v>
      </c>
      <c r="I275" s="1">
        <v>0.99356701811466297</v>
      </c>
      <c r="J275" s="1">
        <v>0.85108222450723103</v>
      </c>
      <c r="K275" s="1">
        <v>0.83525223578476404</v>
      </c>
      <c r="L275" s="1">
        <v>0.50939700683712896</v>
      </c>
      <c r="M275" s="2"/>
      <c r="N275" s="2"/>
      <c r="P275" s="1">
        <f>I275-'Passo 1'!I275</f>
        <v>5.4523038516040012E-2</v>
      </c>
      <c r="Q275" s="1">
        <f>J275-'Passo 1'!J275</f>
        <v>9.9142098558910874E-3</v>
      </c>
      <c r="R275" s="1">
        <f t="shared" si="17"/>
        <v>194.21949999999998</v>
      </c>
      <c r="S275">
        <f t="shared" si="16"/>
        <v>166.36699999999999</v>
      </c>
      <c r="T275" s="1">
        <f t="shared" si="18"/>
        <v>163.27260129449832</v>
      </c>
      <c r="U275" s="1">
        <f t="shared" si="19"/>
        <v>99.575398705501456</v>
      </c>
    </row>
    <row r="276" spans="1:21" x14ac:dyDescent="0.3">
      <c r="A276" t="s">
        <v>57</v>
      </c>
      <c r="B276" t="s">
        <v>196</v>
      </c>
      <c r="C276" t="s">
        <v>580</v>
      </c>
      <c r="D276" t="s">
        <v>581</v>
      </c>
      <c r="E276" s="2">
        <v>305.57100000000003</v>
      </c>
      <c r="F276" s="2">
        <v>0</v>
      </c>
      <c r="G276" s="2">
        <v>134.29900000000001</v>
      </c>
      <c r="H276" s="2">
        <v>-132.703</v>
      </c>
      <c r="I276" s="1">
        <v>0.93950178518249405</v>
      </c>
      <c r="J276" s="1">
        <v>0.93427877645457202</v>
      </c>
      <c r="K276" s="1">
        <v>0.75380226584451804</v>
      </c>
      <c r="L276" s="1">
        <v>0.61997829579254704</v>
      </c>
      <c r="M276" s="2"/>
      <c r="N276" s="2"/>
      <c r="P276" s="1">
        <f>I276-'Passo 1'!I276</f>
        <v>7.5483275572617026E-2</v>
      </c>
      <c r="Q276" s="1">
        <f>J276-'Passo 1'!J276</f>
        <v>4.1823340565696032E-2</v>
      </c>
      <c r="R276" s="1">
        <f t="shared" si="17"/>
        <v>287.08449999999993</v>
      </c>
      <c r="S276">
        <f t="shared" si="16"/>
        <v>285.48850000000004</v>
      </c>
      <c r="T276" s="1">
        <f t="shared" si="18"/>
        <v>230.34011217637524</v>
      </c>
      <c r="U276" s="1">
        <f t="shared" si="19"/>
        <v>189.44738782362441</v>
      </c>
    </row>
    <row r="277" spans="1:21" x14ac:dyDescent="0.3">
      <c r="A277" t="s">
        <v>57</v>
      </c>
      <c r="B277" t="s">
        <v>197</v>
      </c>
      <c r="C277" t="s">
        <v>580</v>
      </c>
      <c r="D277" t="s">
        <v>581</v>
      </c>
      <c r="E277" s="2">
        <v>197.376</v>
      </c>
      <c r="F277" s="2">
        <v>0</v>
      </c>
      <c r="G277" s="2">
        <v>83.085999999999999</v>
      </c>
      <c r="H277" s="2">
        <v>-95.753500000000003</v>
      </c>
      <c r="I277" s="1">
        <v>0.92095290207522695</v>
      </c>
      <c r="J277" s="1">
        <v>0.98513243758106295</v>
      </c>
      <c r="K277" s="1">
        <v>0.66658720248645198</v>
      </c>
      <c r="L277" s="1">
        <v>0.73949813716983703</v>
      </c>
      <c r="M277" s="2"/>
      <c r="N277" s="2"/>
      <c r="P277" s="1">
        <f>I277-'Passo 1'!I277</f>
        <v>9.6779750324254898E-2</v>
      </c>
      <c r="Q277" s="1">
        <f>J277-'Passo 1'!J277</f>
        <v>0.136437560797665</v>
      </c>
      <c r="R277" s="1">
        <f t="shared" si="17"/>
        <v>181.774</v>
      </c>
      <c r="S277">
        <f t="shared" si="16"/>
        <v>194.44149999999988</v>
      </c>
      <c r="T277" s="1">
        <f t="shared" si="18"/>
        <v>131.56831567796596</v>
      </c>
      <c r="U277" s="1">
        <f t="shared" si="19"/>
        <v>145.95918432203376</v>
      </c>
    </row>
    <row r="278" spans="1:21" x14ac:dyDescent="0.3">
      <c r="A278" t="s">
        <v>57</v>
      </c>
      <c r="B278" t="s">
        <v>198</v>
      </c>
      <c r="C278" t="s">
        <v>580</v>
      </c>
      <c r="D278" t="s">
        <v>581</v>
      </c>
      <c r="E278" s="2">
        <v>340.28300000000002</v>
      </c>
      <c r="F278" s="2">
        <v>0</v>
      </c>
      <c r="G278" s="2">
        <v>145.17949999999999</v>
      </c>
      <c r="H278" s="2">
        <v>-162.56950000000001</v>
      </c>
      <c r="I278" s="1">
        <v>0.92664341151335805</v>
      </c>
      <c r="J278" s="1">
        <v>0.97774793333783905</v>
      </c>
      <c r="K278" s="1">
        <v>0.66798203514632104</v>
      </c>
      <c r="L278" s="1">
        <v>0.73640930970487495</v>
      </c>
      <c r="M278" s="2"/>
      <c r="N278" s="2"/>
      <c r="P278" s="1">
        <f>I278-'Passo 1'!I278</f>
        <v>8.7214171733528079E-2</v>
      </c>
      <c r="Q278" s="1">
        <f>J278-'Passo 1'!J278</f>
        <v>6.6031802940494044E-2</v>
      </c>
      <c r="R278" s="1">
        <f t="shared" si="17"/>
        <v>315.32100000000003</v>
      </c>
      <c r="S278">
        <f t="shared" si="16"/>
        <v>332.7109999999999</v>
      </c>
      <c r="T278" s="1">
        <f t="shared" si="18"/>
        <v>227.30293086569557</v>
      </c>
      <c r="U278" s="1">
        <f t="shared" si="19"/>
        <v>250.58756913430398</v>
      </c>
    </row>
    <row r="279" spans="1:21" x14ac:dyDescent="0.3">
      <c r="A279" t="s">
        <v>57</v>
      </c>
      <c r="B279" t="s">
        <v>679</v>
      </c>
      <c r="C279" t="s">
        <v>580</v>
      </c>
      <c r="D279" t="s">
        <v>581</v>
      </c>
      <c r="E279" s="2">
        <v>229.24299999999999</v>
      </c>
      <c r="F279" s="2">
        <v>0</v>
      </c>
      <c r="G279" s="2">
        <v>98.6965</v>
      </c>
      <c r="H279" s="2">
        <v>-110.8785</v>
      </c>
      <c r="I279" s="1">
        <v>0.930532229991755</v>
      </c>
      <c r="J279" s="1">
        <v>0.98367234768346201</v>
      </c>
      <c r="K279" s="1">
        <v>0.77484309992306599</v>
      </c>
      <c r="L279" s="1">
        <v>0.63936147775215102</v>
      </c>
      <c r="M279" s="2"/>
      <c r="N279" s="2"/>
      <c r="P279" s="1">
        <f>I279-'Passo 1'!I279</f>
        <v>0.13635967074239996</v>
      </c>
      <c r="Q279" s="1">
        <f>J279-'Passo 1'!J279</f>
        <v>0.167950602635631</v>
      </c>
      <c r="R279" s="1">
        <f t="shared" si="17"/>
        <v>213.3179999999999</v>
      </c>
      <c r="S279">
        <f t="shared" si="16"/>
        <v>225.49999999999989</v>
      </c>
      <c r="T279" s="1">
        <f t="shared" si="18"/>
        <v>177.62735675566341</v>
      </c>
      <c r="U279" s="1">
        <f t="shared" si="19"/>
        <v>146.56914324433635</v>
      </c>
    </row>
    <row r="280" spans="1:21" x14ac:dyDescent="0.3">
      <c r="A280" t="s">
        <v>57</v>
      </c>
      <c r="B280" t="s">
        <v>199</v>
      </c>
      <c r="C280" t="s">
        <v>580</v>
      </c>
      <c r="D280" t="s">
        <v>581</v>
      </c>
      <c r="E280" s="2">
        <v>279.64</v>
      </c>
      <c r="F280" s="2">
        <v>0</v>
      </c>
      <c r="G280" s="2">
        <v>127.9525</v>
      </c>
      <c r="H280" s="2">
        <v>-127.9525</v>
      </c>
      <c r="I280" s="1">
        <v>0.95756150765269599</v>
      </c>
      <c r="J280" s="1">
        <v>0.95756150765269599</v>
      </c>
      <c r="K280" s="1">
        <v>0.73850303486479196</v>
      </c>
      <c r="L280" s="1">
        <v>0.67661998044059901</v>
      </c>
      <c r="M280" s="2"/>
      <c r="N280" s="2"/>
      <c r="P280" s="1">
        <f>I280-'Passo 1'!I280</f>
        <v>8.9937061936795626E-4</v>
      </c>
      <c r="Q280" s="1">
        <f>J280-'Passo 1'!J280</f>
        <v>0</v>
      </c>
      <c r="R280" s="1">
        <f t="shared" si="17"/>
        <v>267.77249999999987</v>
      </c>
      <c r="S280">
        <f t="shared" si="16"/>
        <v>267.77249999999987</v>
      </c>
      <c r="T280" s="1">
        <f t="shared" si="18"/>
        <v>206.51498866959042</v>
      </c>
      <c r="U280" s="1">
        <f t="shared" si="19"/>
        <v>189.21001133040909</v>
      </c>
    </row>
    <row r="281" spans="1:21" x14ac:dyDescent="0.3">
      <c r="A281" t="s">
        <v>57</v>
      </c>
      <c r="B281" t="s">
        <v>200</v>
      </c>
      <c r="C281" t="s">
        <v>580</v>
      </c>
      <c r="D281" t="s">
        <v>581</v>
      </c>
      <c r="E281" s="2">
        <v>81.787000000000006</v>
      </c>
      <c r="F281" s="2">
        <v>0</v>
      </c>
      <c r="G281" s="2">
        <v>22.422000000000001</v>
      </c>
      <c r="H281" s="2">
        <v>-31.994499999999999</v>
      </c>
      <c r="I281" s="1">
        <v>0.77415114871556601</v>
      </c>
      <c r="J281" s="1">
        <v>0.89119297687896604</v>
      </c>
      <c r="K281" s="1">
        <v>0.68235774702037599</v>
      </c>
      <c r="L281" s="1">
        <v>0.482986378574155</v>
      </c>
      <c r="M281" s="2"/>
      <c r="N281" s="2"/>
      <c r="P281" s="1">
        <f>I281-'Passo 1'!I281</f>
        <v>0.13046083118343998</v>
      </c>
      <c r="Q281" s="1">
        <f>J281-'Passo 1'!J281</f>
        <v>0.11550735446953708</v>
      </c>
      <c r="R281" s="1">
        <f t="shared" si="17"/>
        <v>63.3155</v>
      </c>
      <c r="S281">
        <f t="shared" si="16"/>
        <v>72.888000000000005</v>
      </c>
      <c r="T281" s="1">
        <f t="shared" si="18"/>
        <v>55.807993055555492</v>
      </c>
      <c r="U281" s="1">
        <f t="shared" si="19"/>
        <v>39.502006944444418</v>
      </c>
    </row>
    <row r="282" spans="1:21" x14ac:dyDescent="0.3">
      <c r="A282" t="s">
        <v>57</v>
      </c>
      <c r="B282" t="s">
        <v>201</v>
      </c>
      <c r="C282" t="s">
        <v>580</v>
      </c>
      <c r="D282" t="s">
        <v>581</v>
      </c>
      <c r="E282" s="2">
        <v>134.25700000000001</v>
      </c>
      <c r="F282" s="2">
        <v>0</v>
      </c>
      <c r="G282" s="2">
        <v>32.1845</v>
      </c>
      <c r="H282" s="2">
        <v>-60.037999999999997</v>
      </c>
      <c r="I282" s="1">
        <v>0.739723068443358</v>
      </c>
      <c r="J282" s="1">
        <v>0.94718711128656197</v>
      </c>
      <c r="K282" s="1">
        <v>0.66357976989405898</v>
      </c>
      <c r="L282" s="1">
        <v>0.52333040983586199</v>
      </c>
      <c r="M282" s="2"/>
      <c r="N282" s="2"/>
      <c r="P282" s="1">
        <f>I282-'Passo 1'!I282</f>
        <v>5.5606039163693E-2</v>
      </c>
      <c r="Q282" s="1">
        <f>J282-'Passo 1'!J282</f>
        <v>0.20350894180564194</v>
      </c>
      <c r="R282" s="1">
        <f t="shared" si="17"/>
        <v>99.312999999999917</v>
      </c>
      <c r="S282">
        <f t="shared" si="16"/>
        <v>127.16649999999996</v>
      </c>
      <c r="T282" s="1">
        <f t="shared" si="18"/>
        <v>89.090229166666674</v>
      </c>
      <c r="U282" s="1">
        <f t="shared" si="19"/>
        <v>70.260770833333325</v>
      </c>
    </row>
    <row r="283" spans="1:21" x14ac:dyDescent="0.3">
      <c r="A283" t="s">
        <v>57</v>
      </c>
      <c r="B283" t="s">
        <v>680</v>
      </c>
      <c r="C283" t="s">
        <v>580</v>
      </c>
      <c r="D283" t="s">
        <v>581</v>
      </c>
      <c r="E283" s="2">
        <v>421.27499999999998</v>
      </c>
      <c r="F283" s="2">
        <v>0</v>
      </c>
      <c r="G283" s="2">
        <v>194.86099999999999</v>
      </c>
      <c r="H283" s="2">
        <v>-205.667</v>
      </c>
      <c r="I283" s="1">
        <v>0.96255059046940805</v>
      </c>
      <c r="J283" s="1">
        <v>0.98820129369176901</v>
      </c>
      <c r="K283" s="1">
        <v>0.808091443489376</v>
      </c>
      <c r="L283" s="1">
        <v>0.64266044067180095</v>
      </c>
      <c r="M283" s="2"/>
      <c r="N283" s="2"/>
      <c r="P283" s="1">
        <f>I283-'Passo 1'!I283</f>
        <v>0.14096611477063703</v>
      </c>
      <c r="Q283" s="1">
        <f>J283-'Passo 1'!J283</f>
        <v>0.10286867248234599</v>
      </c>
      <c r="R283" s="1">
        <f t="shared" si="17"/>
        <v>405.49849999999986</v>
      </c>
      <c r="S283">
        <f t="shared" si="16"/>
        <v>416.30449999999996</v>
      </c>
      <c r="T283" s="1">
        <f t="shared" si="18"/>
        <v>340.42872285598685</v>
      </c>
      <c r="U283" s="1">
        <f t="shared" si="19"/>
        <v>270.73677714401293</v>
      </c>
    </row>
    <row r="284" spans="1:21" x14ac:dyDescent="0.3">
      <c r="A284" t="s">
        <v>57</v>
      </c>
      <c r="B284" t="s">
        <v>681</v>
      </c>
      <c r="C284" t="s">
        <v>580</v>
      </c>
      <c r="D284" t="s">
        <v>581</v>
      </c>
      <c r="E284" s="2">
        <v>206.589</v>
      </c>
      <c r="F284" s="2">
        <v>0</v>
      </c>
      <c r="G284" s="2">
        <v>85.147999999999996</v>
      </c>
      <c r="H284" s="2">
        <v>-85.04</v>
      </c>
      <c r="I284" s="1">
        <v>0.91216134450527298</v>
      </c>
      <c r="J284" s="1">
        <v>0.91163856739710203</v>
      </c>
      <c r="K284" s="1">
        <v>0.64635914921790505</v>
      </c>
      <c r="L284" s="1">
        <v>0.67744076268447095</v>
      </c>
      <c r="M284" s="2"/>
      <c r="N284" s="2"/>
      <c r="P284" s="1">
        <f>I284-'Passo 1'!I284</f>
        <v>7.8084990004308019E-2</v>
      </c>
      <c r="Q284" s="1">
        <f>J284-'Passo 1'!J284</f>
        <v>0</v>
      </c>
      <c r="R284" s="1">
        <f t="shared" si="17"/>
        <v>188.44249999999982</v>
      </c>
      <c r="S284">
        <f t="shared" si="16"/>
        <v>188.33449999999991</v>
      </c>
      <c r="T284" s="1">
        <f t="shared" si="18"/>
        <v>133.53069027777778</v>
      </c>
      <c r="U284" s="1">
        <f t="shared" si="19"/>
        <v>139.95180972222218</v>
      </c>
    </row>
    <row r="285" spans="1:21" x14ac:dyDescent="0.3">
      <c r="A285" t="s">
        <v>57</v>
      </c>
      <c r="B285" t="s">
        <v>682</v>
      </c>
      <c r="C285" t="s">
        <v>580</v>
      </c>
      <c r="D285" t="s">
        <v>581</v>
      </c>
      <c r="E285" s="2">
        <v>201.52799999999999</v>
      </c>
      <c r="F285" s="2">
        <v>0</v>
      </c>
      <c r="G285" s="2">
        <v>86.835999999999999</v>
      </c>
      <c r="H285" s="2">
        <v>-91.986000000000004</v>
      </c>
      <c r="I285" s="1">
        <v>0.930888015561113</v>
      </c>
      <c r="J285" s="1">
        <v>0.95644277718232695</v>
      </c>
      <c r="K285" s="1">
        <v>0.68432591666335796</v>
      </c>
      <c r="L285" s="1">
        <v>0.703004876080081</v>
      </c>
      <c r="M285" s="2"/>
      <c r="N285" s="2"/>
      <c r="P285" s="1">
        <f>I285-'Passo 1'!I285</f>
        <v>5.484349569290603E-2</v>
      </c>
      <c r="Q285" s="1">
        <f>J285-'Passo 1'!J285</f>
        <v>5.4828609424000918E-2</v>
      </c>
      <c r="R285" s="1">
        <f t="shared" si="17"/>
        <v>187.59999999999997</v>
      </c>
      <c r="S285">
        <f t="shared" si="16"/>
        <v>192.74999999999997</v>
      </c>
      <c r="T285" s="1">
        <f t="shared" si="18"/>
        <v>137.91083333333319</v>
      </c>
      <c r="U285" s="1">
        <f t="shared" si="19"/>
        <v>141.67516666666657</v>
      </c>
    </row>
    <row r="286" spans="1:21" x14ac:dyDescent="0.3">
      <c r="A286" t="s">
        <v>57</v>
      </c>
      <c r="B286" t="s">
        <v>683</v>
      </c>
      <c r="C286" t="s">
        <v>580</v>
      </c>
      <c r="D286" t="s">
        <v>581</v>
      </c>
      <c r="E286" s="2">
        <v>126.01300000000001</v>
      </c>
      <c r="F286" s="2">
        <v>0</v>
      </c>
      <c r="G286" s="2">
        <v>42.57</v>
      </c>
      <c r="H286" s="2">
        <v>-53.648000000000003</v>
      </c>
      <c r="I286" s="1">
        <v>0.83782228817661597</v>
      </c>
      <c r="J286" s="1">
        <v>0.92573385285645104</v>
      </c>
      <c r="K286" s="1">
        <v>0.73939504451999405</v>
      </c>
      <c r="L286" s="1">
        <v>0.52416109651307297</v>
      </c>
      <c r="M286" s="2"/>
      <c r="N286" s="2"/>
      <c r="P286" s="1">
        <f>I286-'Passo 1'!I286</f>
        <v>0.12309047479228297</v>
      </c>
      <c r="Q286" s="1">
        <f>J286-'Passo 1'!J286</f>
        <v>7.0826025886220334E-3</v>
      </c>
      <c r="R286" s="1">
        <f t="shared" si="17"/>
        <v>105.57649999999991</v>
      </c>
      <c r="S286">
        <f t="shared" si="16"/>
        <v>116.65449999999997</v>
      </c>
      <c r="T286" s="1">
        <f t="shared" si="18"/>
        <v>93.173387745098012</v>
      </c>
      <c r="U286" s="1">
        <f t="shared" si="19"/>
        <v>66.051112254901867</v>
      </c>
    </row>
    <row r="287" spans="1:21" x14ac:dyDescent="0.3">
      <c r="A287" t="s">
        <v>57</v>
      </c>
      <c r="B287" t="s">
        <v>684</v>
      </c>
      <c r="C287" t="s">
        <v>580</v>
      </c>
      <c r="D287" t="s">
        <v>581</v>
      </c>
      <c r="E287" s="2">
        <v>928.697</v>
      </c>
      <c r="F287" s="2">
        <v>0</v>
      </c>
      <c r="G287" s="2">
        <v>301.09449999999998</v>
      </c>
      <c r="H287" s="2">
        <v>-440.15449999999998</v>
      </c>
      <c r="I287" s="1">
        <v>0.824211771977297</v>
      </c>
      <c r="J287" s="1">
        <v>0.97394844604860298</v>
      </c>
      <c r="K287" s="1">
        <v>0.63367430978119499</v>
      </c>
      <c r="L287" s="1">
        <v>0.66448590824470499</v>
      </c>
      <c r="M287" s="2"/>
      <c r="N287" s="2"/>
      <c r="P287" s="1">
        <f>I287-'Passo 1'!I287</f>
        <v>9.6646161234510419E-3</v>
      </c>
      <c r="Q287" s="1">
        <f>J287-'Passo 1'!J287</f>
        <v>6.244501705077099E-2</v>
      </c>
      <c r="R287" s="1">
        <f t="shared" si="17"/>
        <v>765.44299999999976</v>
      </c>
      <c r="S287">
        <f t="shared" si="16"/>
        <v>904.50299999999947</v>
      </c>
      <c r="T287" s="1">
        <f t="shared" si="18"/>
        <v>588.49143047086648</v>
      </c>
      <c r="U287" s="1">
        <f t="shared" si="19"/>
        <v>617.10606952913281</v>
      </c>
    </row>
    <row r="288" spans="1:21" x14ac:dyDescent="0.3">
      <c r="A288" t="s">
        <v>57</v>
      </c>
      <c r="B288" t="s">
        <v>685</v>
      </c>
      <c r="C288" t="s">
        <v>580</v>
      </c>
      <c r="D288" t="s">
        <v>581</v>
      </c>
      <c r="E288" s="2">
        <v>441.81099999999998</v>
      </c>
      <c r="F288" s="2">
        <v>0</v>
      </c>
      <c r="G288" s="2">
        <v>147.75449999999901</v>
      </c>
      <c r="H288" s="2">
        <v>-201.29300000000001</v>
      </c>
      <c r="I288" s="1">
        <v>0.83442920162694001</v>
      </c>
      <c r="J288" s="1">
        <v>0.95560884631663701</v>
      </c>
      <c r="K288" s="1">
        <v>0.65895413003283998</v>
      </c>
      <c r="L288" s="1">
        <v>0.63108391791073604</v>
      </c>
      <c r="M288" s="2"/>
      <c r="N288" s="2"/>
      <c r="P288" s="1">
        <f>I288-'Passo 1'!I288</f>
        <v>3.0095448053579998E-2</v>
      </c>
      <c r="Q288" s="1">
        <f>J288-'Passo 1'!J288</f>
        <v>6.6345111371151955E-2</v>
      </c>
      <c r="R288" s="1">
        <f t="shared" si="17"/>
        <v>368.65999999999997</v>
      </c>
      <c r="S288">
        <f t="shared" si="16"/>
        <v>422.19849999999968</v>
      </c>
      <c r="T288" s="1">
        <f t="shared" si="18"/>
        <v>291.13318314393905</v>
      </c>
      <c r="U288" s="1">
        <f t="shared" si="19"/>
        <v>278.81981685606019</v>
      </c>
    </row>
    <row r="289" spans="1:21" x14ac:dyDescent="0.3">
      <c r="A289" t="s">
        <v>57</v>
      </c>
      <c r="B289" t="s">
        <v>686</v>
      </c>
      <c r="C289" t="s">
        <v>580</v>
      </c>
      <c r="D289" t="s">
        <v>581</v>
      </c>
      <c r="E289" s="2">
        <v>93.929000000000002</v>
      </c>
      <c r="F289" s="2">
        <v>0</v>
      </c>
      <c r="G289" s="2">
        <v>36.131</v>
      </c>
      <c r="H289" s="2">
        <v>-39.592500000000001</v>
      </c>
      <c r="I289" s="1">
        <v>0.88466288366745005</v>
      </c>
      <c r="J289" s="1">
        <v>0.92151518700294899</v>
      </c>
      <c r="K289" s="1">
        <v>0.74480163782448106</v>
      </c>
      <c r="L289" s="1">
        <v>0.56137643284591898</v>
      </c>
      <c r="M289" s="2"/>
      <c r="N289" s="2"/>
      <c r="P289" s="1">
        <f>I289-'Passo 1'!I289</f>
        <v>9.1196542069009068E-2</v>
      </c>
      <c r="Q289" s="1">
        <f>J289-'Passo 1'!J289</f>
        <v>0.12507851675201498</v>
      </c>
      <c r="R289" s="1">
        <f t="shared" si="17"/>
        <v>83.095499999999916</v>
      </c>
      <c r="S289">
        <f t="shared" si="16"/>
        <v>86.557000000000002</v>
      </c>
      <c r="T289" s="1">
        <f t="shared" si="18"/>
        <v>69.958473039215676</v>
      </c>
      <c r="U289" s="1">
        <f t="shared" si="19"/>
        <v>52.729526960784327</v>
      </c>
    </row>
    <row r="290" spans="1:21" x14ac:dyDescent="0.3">
      <c r="A290" t="s">
        <v>57</v>
      </c>
      <c r="B290" t="s">
        <v>687</v>
      </c>
      <c r="C290" t="s">
        <v>580</v>
      </c>
      <c r="D290" t="s">
        <v>581</v>
      </c>
      <c r="E290" s="2">
        <v>521.41399999999999</v>
      </c>
      <c r="F290" s="2">
        <v>0</v>
      </c>
      <c r="G290" s="2">
        <v>187.58199999999999</v>
      </c>
      <c r="H290" s="2">
        <v>-243.976</v>
      </c>
      <c r="I290" s="1">
        <v>0.85975635483512103</v>
      </c>
      <c r="J290" s="1">
        <v>0.96791225398627501</v>
      </c>
      <c r="K290" s="1">
        <v>0.64574314088960305</v>
      </c>
      <c r="L290" s="1">
        <v>0.68192546793179298</v>
      </c>
      <c r="M290" s="2"/>
      <c r="N290" s="2"/>
      <c r="P290" s="1">
        <f>I290-'Passo 1'!I290</f>
        <v>2.8446685359426072E-2</v>
      </c>
      <c r="Q290" s="1">
        <f>J290-'Passo 1'!J290</f>
        <v>0.11581967496077905</v>
      </c>
      <c r="R290" s="1">
        <f t="shared" si="17"/>
        <v>448.28899999999976</v>
      </c>
      <c r="S290">
        <f t="shared" si="16"/>
        <v>504.68299999999959</v>
      </c>
      <c r="T290" s="1">
        <f t="shared" si="18"/>
        <v>336.69951406381148</v>
      </c>
      <c r="U290" s="1">
        <f t="shared" si="19"/>
        <v>355.56548593618788</v>
      </c>
    </row>
    <row r="291" spans="1:21" x14ac:dyDescent="0.3">
      <c r="A291" t="s">
        <v>57</v>
      </c>
      <c r="B291" t="s">
        <v>202</v>
      </c>
      <c r="C291" t="s">
        <v>34</v>
      </c>
      <c r="D291" t="s">
        <v>35</v>
      </c>
      <c r="E291" s="2">
        <v>235.80699999999999</v>
      </c>
      <c r="F291" s="2">
        <v>0</v>
      </c>
      <c r="G291" s="2">
        <v>101.166</v>
      </c>
      <c r="H291" s="2">
        <v>-88.650499999999994</v>
      </c>
      <c r="I291" s="1">
        <v>0.92902034290754698</v>
      </c>
      <c r="J291" s="1">
        <v>0.87594515854067001</v>
      </c>
      <c r="K291" s="1">
        <v>0.82504580605702404</v>
      </c>
      <c r="L291" s="1">
        <v>0.479919695391193</v>
      </c>
      <c r="M291" s="2"/>
      <c r="N291" s="2"/>
      <c r="P291" s="1">
        <f>I291-'Passo 1'!I291</f>
        <v>6.5152858057649032E-2</v>
      </c>
      <c r="Q291" s="1">
        <f>J291-'Passo 1'!J291</f>
        <v>4.4428282451326018E-2</v>
      </c>
      <c r="R291" s="1">
        <f t="shared" si="17"/>
        <v>219.06949999999992</v>
      </c>
      <c r="S291">
        <f t="shared" si="16"/>
        <v>206.55399999999977</v>
      </c>
      <c r="T291" s="1">
        <f t="shared" si="18"/>
        <v>194.55157638888866</v>
      </c>
      <c r="U291" s="1">
        <f t="shared" si="19"/>
        <v>113.16842361111104</v>
      </c>
    </row>
    <row r="292" spans="1:21" x14ac:dyDescent="0.3">
      <c r="A292" t="s">
        <v>57</v>
      </c>
      <c r="B292" t="s">
        <v>203</v>
      </c>
      <c r="C292" t="s">
        <v>576</v>
      </c>
      <c r="D292" t="s">
        <v>589</v>
      </c>
      <c r="E292" s="2">
        <v>0</v>
      </c>
      <c r="F292" s="2">
        <v>0</v>
      </c>
      <c r="G292" s="2">
        <v>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M292" s="2"/>
      <c r="N292" s="2"/>
      <c r="P292" s="1">
        <f>I292-'Passo 1'!I292</f>
        <v>0</v>
      </c>
      <c r="Q292" s="1">
        <f>J292-'Passo 1'!J292</f>
        <v>0</v>
      </c>
      <c r="R292" s="1">
        <f t="shared" si="17"/>
        <v>0</v>
      </c>
      <c r="S292">
        <f t="shared" si="16"/>
        <v>0</v>
      </c>
      <c r="T292" s="1">
        <f t="shared" si="18"/>
        <v>0</v>
      </c>
      <c r="U292" s="1">
        <f t="shared" si="19"/>
        <v>0</v>
      </c>
    </row>
    <row r="293" spans="1:21" x14ac:dyDescent="0.3">
      <c r="A293" t="s">
        <v>57</v>
      </c>
      <c r="B293" t="s">
        <v>204</v>
      </c>
      <c r="C293" t="s">
        <v>576</v>
      </c>
      <c r="D293" t="s">
        <v>583</v>
      </c>
      <c r="E293" s="2">
        <v>0</v>
      </c>
      <c r="F293" s="2">
        <v>0</v>
      </c>
      <c r="G293" s="2">
        <v>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M293" s="2"/>
      <c r="N293" s="2"/>
      <c r="P293" s="1">
        <f>I293-'Passo 1'!I293</f>
        <v>0</v>
      </c>
      <c r="Q293" s="1">
        <f>J293-'Passo 1'!J293</f>
        <v>0</v>
      </c>
      <c r="R293" s="1">
        <f t="shared" si="17"/>
        <v>0</v>
      </c>
      <c r="S293">
        <f t="shared" si="16"/>
        <v>0</v>
      </c>
      <c r="T293" s="1">
        <f t="shared" si="18"/>
        <v>0</v>
      </c>
      <c r="U293" s="1">
        <f t="shared" si="19"/>
        <v>0</v>
      </c>
    </row>
    <row r="294" spans="1:21" x14ac:dyDescent="0.3">
      <c r="A294" t="s">
        <v>57</v>
      </c>
      <c r="B294" t="s">
        <v>205</v>
      </c>
      <c r="C294" t="s">
        <v>576</v>
      </c>
      <c r="D294" t="s">
        <v>14</v>
      </c>
      <c r="E294" s="2">
        <v>12.102</v>
      </c>
      <c r="F294" s="2">
        <v>0</v>
      </c>
      <c r="G294" s="2">
        <v>4.3205</v>
      </c>
      <c r="H294" s="2">
        <v>-4.7249999999999996</v>
      </c>
      <c r="I294" s="1">
        <v>0.85700710626342702</v>
      </c>
      <c r="J294" s="1">
        <v>0.89043133366385696</v>
      </c>
      <c r="K294" s="1">
        <v>0.74723211988817795</v>
      </c>
      <c r="L294" s="1">
        <v>0.50020632003910603</v>
      </c>
      <c r="M294" s="2"/>
      <c r="N294" s="2"/>
      <c r="P294" s="1">
        <f>I294-'Passo 1'!I294</f>
        <v>0.11572467360766803</v>
      </c>
      <c r="Q294" s="1">
        <f>J294-'Passo 1'!J294</f>
        <v>1.2931746818708012E-2</v>
      </c>
      <c r="R294" s="1">
        <f t="shared" si="17"/>
        <v>10.371499999999994</v>
      </c>
      <c r="S294">
        <f t="shared" si="16"/>
        <v>10.775999999999998</v>
      </c>
      <c r="T294" s="1">
        <f t="shared" si="18"/>
        <v>9.04300311488673</v>
      </c>
      <c r="U294" s="1">
        <f t="shared" si="19"/>
        <v>6.0534968851132618</v>
      </c>
    </row>
    <row r="295" spans="1:21" x14ac:dyDescent="0.3">
      <c r="A295" t="s">
        <v>57</v>
      </c>
      <c r="B295" t="s">
        <v>206</v>
      </c>
      <c r="C295" t="s">
        <v>34</v>
      </c>
      <c r="D295" t="s">
        <v>35</v>
      </c>
      <c r="E295" s="2">
        <v>20.954000000000001</v>
      </c>
      <c r="F295" s="2">
        <v>0</v>
      </c>
      <c r="G295" s="2">
        <v>10.163500000000001</v>
      </c>
      <c r="H295" s="2">
        <v>-9.8815000000000008</v>
      </c>
      <c r="I295" s="1">
        <v>0.985038656103846</v>
      </c>
      <c r="J295" s="1">
        <v>0.97158060513505695</v>
      </c>
      <c r="K295" s="1">
        <v>0.98096299437541201</v>
      </c>
      <c r="L295" s="1">
        <v>0.475656266863491</v>
      </c>
      <c r="M295" s="2"/>
      <c r="N295" s="2"/>
      <c r="P295" s="1">
        <f>I295-'Passo 1'!I295</f>
        <v>6.1086188794500229E-3</v>
      </c>
      <c r="Q295" s="1">
        <f>J295-'Passo 1'!J295</f>
        <v>2.3861792497914536E-5</v>
      </c>
      <c r="R295" s="1">
        <f t="shared" si="17"/>
        <v>20.640499999999989</v>
      </c>
      <c r="S295">
        <f t="shared" si="16"/>
        <v>20.358499999999985</v>
      </c>
      <c r="T295" s="1">
        <f t="shared" si="18"/>
        <v>20.555098584142385</v>
      </c>
      <c r="U295" s="1">
        <f t="shared" si="19"/>
        <v>9.9669014158575902</v>
      </c>
    </row>
    <row r="296" spans="1:21" x14ac:dyDescent="0.3">
      <c r="A296" t="s">
        <v>57</v>
      </c>
      <c r="B296" t="s">
        <v>207</v>
      </c>
      <c r="C296" t="s">
        <v>576</v>
      </c>
      <c r="D296" t="s">
        <v>577</v>
      </c>
      <c r="E296" s="2">
        <v>0</v>
      </c>
      <c r="F296" s="2">
        <v>0</v>
      </c>
      <c r="G296" s="2">
        <v>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M296" s="2"/>
      <c r="N296" s="2"/>
      <c r="P296" s="1">
        <f>I296-'Passo 1'!I296</f>
        <v>0</v>
      </c>
      <c r="Q296" s="1">
        <f>J296-'Passo 1'!J296</f>
        <v>0</v>
      </c>
      <c r="R296" s="1">
        <f t="shared" si="17"/>
        <v>0</v>
      </c>
      <c r="S296">
        <f t="shared" si="16"/>
        <v>0</v>
      </c>
      <c r="T296" s="1">
        <f t="shared" si="18"/>
        <v>0</v>
      </c>
      <c r="U296" s="1">
        <f t="shared" si="19"/>
        <v>0</v>
      </c>
    </row>
    <row r="297" spans="1:21" x14ac:dyDescent="0.3">
      <c r="A297" t="s">
        <v>57</v>
      </c>
      <c r="B297" t="s">
        <v>208</v>
      </c>
      <c r="C297" t="s">
        <v>580</v>
      </c>
      <c r="D297" t="s">
        <v>581</v>
      </c>
      <c r="E297" s="2">
        <v>6.3579999999999997</v>
      </c>
      <c r="F297" s="2">
        <v>0.13</v>
      </c>
      <c r="G297" s="2">
        <v>1.758</v>
      </c>
      <c r="H297" s="2">
        <v>-2.351</v>
      </c>
      <c r="I297" s="1">
        <v>0.766278703994967</v>
      </c>
      <c r="J297" s="1">
        <v>0.85954702736709598</v>
      </c>
      <c r="K297" s="1">
        <v>0.55170978819335204</v>
      </c>
      <c r="L297" s="1">
        <v>0.58433928384187805</v>
      </c>
      <c r="M297" s="2"/>
      <c r="N297" s="2"/>
      <c r="P297" s="1">
        <f>I297-'Passo 1'!I297</f>
        <v>7.2428436615287972E-2</v>
      </c>
      <c r="Q297" s="1">
        <f>J297-'Passo 1'!J297</f>
        <v>0.13486945580371201</v>
      </c>
      <c r="R297" s="1">
        <f t="shared" si="17"/>
        <v>4.8719999999999999</v>
      </c>
      <c r="S297">
        <f t="shared" si="16"/>
        <v>5.4649999999999963</v>
      </c>
      <c r="T297" s="1">
        <f t="shared" si="18"/>
        <v>3.507770833333332</v>
      </c>
      <c r="U297" s="1">
        <f t="shared" si="19"/>
        <v>3.7152291666666604</v>
      </c>
    </row>
    <row r="298" spans="1:21" x14ac:dyDescent="0.3">
      <c r="A298" t="s">
        <v>57</v>
      </c>
      <c r="B298" t="s">
        <v>209</v>
      </c>
      <c r="C298" t="s">
        <v>576</v>
      </c>
      <c r="D298" t="s">
        <v>583</v>
      </c>
      <c r="E298" s="2">
        <v>141.65700000000001</v>
      </c>
      <c r="F298" s="2">
        <v>0</v>
      </c>
      <c r="G298" s="2">
        <v>61.453499999999998</v>
      </c>
      <c r="H298" s="2">
        <v>-69.338499999999996</v>
      </c>
      <c r="I298" s="1">
        <v>0.93381901353268804</v>
      </c>
      <c r="J298" s="1">
        <v>0.98948163521746102</v>
      </c>
      <c r="K298" s="1">
        <v>0.92367641025556602</v>
      </c>
      <c r="L298" s="1">
        <v>0.49962423849458298</v>
      </c>
      <c r="M298" s="2"/>
      <c r="N298" s="2"/>
      <c r="P298" s="1">
        <f>I298-'Passo 1'!I298</f>
        <v>0.12360490480526909</v>
      </c>
      <c r="Q298" s="1">
        <f>J298-'Passo 1'!J298</f>
        <v>0.13908949081231403</v>
      </c>
      <c r="R298" s="1">
        <f t="shared" si="17"/>
        <v>132.28200000000001</v>
      </c>
      <c r="S298">
        <f t="shared" si="16"/>
        <v>140.16699999999989</v>
      </c>
      <c r="T298" s="1">
        <f t="shared" si="18"/>
        <v>130.84522924757272</v>
      </c>
      <c r="U298" s="1">
        <f t="shared" si="19"/>
        <v>70.775270752427147</v>
      </c>
    </row>
    <row r="299" spans="1:21" x14ac:dyDescent="0.3">
      <c r="A299" t="s">
        <v>57</v>
      </c>
      <c r="B299" t="s">
        <v>210</v>
      </c>
      <c r="C299" t="s">
        <v>576</v>
      </c>
      <c r="D299" t="s">
        <v>583</v>
      </c>
      <c r="E299" s="2">
        <v>140.23400000000001</v>
      </c>
      <c r="F299" s="2">
        <v>0</v>
      </c>
      <c r="G299" s="2">
        <v>57.061999999999998</v>
      </c>
      <c r="H299" s="2">
        <v>-68.444000000000003</v>
      </c>
      <c r="I299" s="1">
        <v>0.906905600638932</v>
      </c>
      <c r="J299" s="1">
        <v>0.98806994024273698</v>
      </c>
      <c r="K299" s="1">
        <v>0.89683238067228599</v>
      </c>
      <c r="L299" s="1">
        <v>0.49814316020938199</v>
      </c>
      <c r="M299" s="2"/>
      <c r="N299" s="2"/>
      <c r="P299" s="1">
        <f>I299-'Passo 1'!I299</f>
        <v>0.13148737110829101</v>
      </c>
      <c r="Q299" s="1">
        <f>J299-'Passo 1'!J299</f>
        <v>0.12908781037408901</v>
      </c>
      <c r="R299" s="1">
        <f t="shared" si="17"/>
        <v>127.179</v>
      </c>
      <c r="S299">
        <f t="shared" si="16"/>
        <v>138.56099999999998</v>
      </c>
      <c r="T299" s="1">
        <f t="shared" si="18"/>
        <v>125.76639207119736</v>
      </c>
      <c r="U299" s="1">
        <f t="shared" si="19"/>
        <v>69.856607928802475</v>
      </c>
    </row>
    <row r="300" spans="1:21" x14ac:dyDescent="0.3">
      <c r="A300" t="s">
        <v>57</v>
      </c>
      <c r="B300" t="s">
        <v>211</v>
      </c>
      <c r="C300" t="s">
        <v>580</v>
      </c>
      <c r="D300" t="s">
        <v>581</v>
      </c>
      <c r="E300" s="2">
        <v>15.388999999999999</v>
      </c>
      <c r="F300" s="2">
        <v>8.9999999999999993E-3</v>
      </c>
      <c r="G300" s="2">
        <v>6.5875000000000004</v>
      </c>
      <c r="H300" s="2">
        <v>-4.8810000000000002</v>
      </c>
      <c r="I300" s="1">
        <v>0.92777308467086805</v>
      </c>
      <c r="J300" s="1">
        <v>0.81688218857625505</v>
      </c>
      <c r="K300" s="1">
        <v>0.70254185890354504</v>
      </c>
      <c r="L300" s="1">
        <v>0.54240583100482997</v>
      </c>
      <c r="M300" s="2"/>
      <c r="N300" s="2"/>
      <c r="P300" s="1">
        <f>I300-'Passo 1'!I300</f>
        <v>0.20462668139580209</v>
      </c>
      <c r="Q300" s="1">
        <f>J300-'Passo 1'!J300</f>
        <v>9.318344271882506E-2</v>
      </c>
      <c r="R300" s="1">
        <f t="shared" si="17"/>
        <v>14.277499999999987</v>
      </c>
      <c r="S300">
        <f t="shared" si="16"/>
        <v>12.570999999999989</v>
      </c>
      <c r="T300" s="1">
        <f t="shared" si="18"/>
        <v>10.811416666666654</v>
      </c>
      <c r="U300" s="1">
        <f t="shared" si="19"/>
        <v>8.3470833333333285</v>
      </c>
    </row>
    <row r="301" spans="1:21" x14ac:dyDescent="0.3">
      <c r="A301" t="s">
        <v>57</v>
      </c>
      <c r="B301" t="s">
        <v>212</v>
      </c>
      <c r="C301" t="s">
        <v>576</v>
      </c>
      <c r="D301" t="s">
        <v>583</v>
      </c>
      <c r="E301" s="2">
        <v>0</v>
      </c>
      <c r="F301" s="2">
        <v>0</v>
      </c>
      <c r="G301" s="2">
        <v>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M301" s="2"/>
      <c r="N301" s="2"/>
      <c r="P301" s="1">
        <f>I301-'Passo 1'!I301</f>
        <v>0</v>
      </c>
      <c r="Q301" s="1">
        <f>J301-'Passo 1'!J301</f>
        <v>0</v>
      </c>
      <c r="R301" s="1">
        <f t="shared" si="17"/>
        <v>0</v>
      </c>
      <c r="S301">
        <f t="shared" si="16"/>
        <v>0</v>
      </c>
      <c r="T301" s="1">
        <f t="shared" si="18"/>
        <v>0</v>
      </c>
      <c r="U301" s="1">
        <f t="shared" si="19"/>
        <v>0</v>
      </c>
    </row>
    <row r="302" spans="1:21" x14ac:dyDescent="0.3">
      <c r="A302" t="s">
        <v>57</v>
      </c>
      <c r="B302" t="s">
        <v>213</v>
      </c>
      <c r="C302" t="s">
        <v>580</v>
      </c>
      <c r="D302" t="s">
        <v>581</v>
      </c>
      <c r="E302" s="2">
        <v>72.585999999999999</v>
      </c>
      <c r="F302" s="2">
        <v>0</v>
      </c>
      <c r="G302" s="2">
        <v>27.757999999999999</v>
      </c>
      <c r="H302" s="2">
        <v>-28.852999999999899</v>
      </c>
      <c r="I302" s="1">
        <v>0.88241534180144898</v>
      </c>
      <c r="J302" s="1">
        <v>0.89750089548948797</v>
      </c>
      <c r="K302" s="1">
        <v>0.78377313303259799</v>
      </c>
      <c r="L302" s="1">
        <v>0.49614310425833802</v>
      </c>
      <c r="M302" s="2"/>
      <c r="N302" s="2"/>
      <c r="P302" s="1">
        <f>I302-'Passo 1'!I302</f>
        <v>7.1136307276885025E-2</v>
      </c>
      <c r="Q302" s="1">
        <f>J302-'Passo 1'!J302</f>
        <v>7.9622792273991938E-2</v>
      </c>
      <c r="R302" s="1">
        <f t="shared" si="17"/>
        <v>64.050999999999974</v>
      </c>
      <c r="S302">
        <f t="shared" si="16"/>
        <v>65.145999999999972</v>
      </c>
      <c r="T302" s="1">
        <f t="shared" si="18"/>
        <v>56.890956634304153</v>
      </c>
      <c r="U302" s="1">
        <f t="shared" si="19"/>
        <v>36.013043365695722</v>
      </c>
    </row>
    <row r="303" spans="1:21" x14ac:dyDescent="0.3">
      <c r="A303" t="s">
        <v>57</v>
      </c>
      <c r="B303" t="s">
        <v>214</v>
      </c>
      <c r="C303" t="s">
        <v>576</v>
      </c>
      <c r="D303" t="s">
        <v>589</v>
      </c>
      <c r="E303" s="2">
        <v>0</v>
      </c>
      <c r="F303" s="2">
        <v>0</v>
      </c>
      <c r="G303" s="2">
        <v>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M303" s="2"/>
      <c r="N303" s="2"/>
      <c r="P303" s="1">
        <f>I303-'Passo 1'!I303</f>
        <v>0</v>
      </c>
      <c r="Q303" s="1">
        <f>J303-'Passo 1'!J303</f>
        <v>0</v>
      </c>
      <c r="R303" s="1">
        <f t="shared" si="17"/>
        <v>0</v>
      </c>
      <c r="S303">
        <f t="shared" si="16"/>
        <v>0</v>
      </c>
      <c r="T303" s="1">
        <f t="shared" si="18"/>
        <v>0</v>
      </c>
      <c r="U303" s="1">
        <f t="shared" si="19"/>
        <v>0</v>
      </c>
    </row>
    <row r="304" spans="1:21" x14ac:dyDescent="0.3">
      <c r="A304" t="s">
        <v>57</v>
      </c>
      <c r="B304" t="s">
        <v>215</v>
      </c>
      <c r="C304" t="s">
        <v>574</v>
      </c>
      <c r="D304" t="s">
        <v>575</v>
      </c>
      <c r="E304" s="2">
        <v>447.077</v>
      </c>
      <c r="F304" s="2">
        <v>0</v>
      </c>
      <c r="G304" s="2">
        <v>170.89750000000001</v>
      </c>
      <c r="H304" s="2">
        <v>-149.50550000000001</v>
      </c>
      <c r="I304" s="1">
        <v>0.88225518199325803</v>
      </c>
      <c r="J304" s="1">
        <v>0.83440660110003395</v>
      </c>
      <c r="K304" s="1">
        <v>0.74037630211220296</v>
      </c>
      <c r="L304" s="1">
        <v>0.47628548098108903</v>
      </c>
      <c r="M304" s="2"/>
      <c r="N304" s="2"/>
      <c r="P304" s="1">
        <f>I304-'Passo 1'!I304</f>
        <v>0.15602234067062304</v>
      </c>
      <c r="Q304" s="1">
        <f>J304-'Passo 1'!J304</f>
        <v>0.12756303723967</v>
      </c>
      <c r="R304" s="1">
        <f t="shared" si="17"/>
        <v>394.43599999999981</v>
      </c>
      <c r="S304">
        <f t="shared" si="16"/>
        <v>373.04399999999987</v>
      </c>
      <c r="T304" s="1">
        <f t="shared" si="18"/>
        <v>331.00521601941733</v>
      </c>
      <c r="U304" s="1">
        <f t="shared" si="19"/>
        <v>212.93628398058235</v>
      </c>
    </row>
    <row r="305" spans="1:21" x14ac:dyDescent="0.3">
      <c r="A305" t="s">
        <v>57</v>
      </c>
      <c r="B305" t="s">
        <v>216</v>
      </c>
      <c r="C305" t="s">
        <v>576</v>
      </c>
      <c r="D305" t="s">
        <v>589</v>
      </c>
      <c r="E305" s="2">
        <v>0</v>
      </c>
      <c r="F305" s="2">
        <v>0</v>
      </c>
      <c r="G305" s="2">
        <v>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M305" s="2"/>
      <c r="N305" s="2"/>
      <c r="P305" s="1">
        <f>I305-'Passo 1'!I305</f>
        <v>0</v>
      </c>
      <c r="Q305" s="1">
        <f>J305-'Passo 1'!J305</f>
        <v>0</v>
      </c>
      <c r="R305" s="1">
        <f t="shared" si="17"/>
        <v>0</v>
      </c>
      <c r="S305">
        <f t="shared" si="16"/>
        <v>0</v>
      </c>
      <c r="T305" s="1">
        <f t="shared" si="18"/>
        <v>0</v>
      </c>
      <c r="U305" s="1">
        <f t="shared" si="19"/>
        <v>0</v>
      </c>
    </row>
    <row r="306" spans="1:21" x14ac:dyDescent="0.3">
      <c r="A306" t="s">
        <v>57</v>
      </c>
      <c r="B306" t="s">
        <v>217</v>
      </c>
      <c r="C306" t="s">
        <v>574</v>
      </c>
      <c r="D306" t="s">
        <v>575</v>
      </c>
      <c r="E306" s="2">
        <v>1471.1690000000001</v>
      </c>
      <c r="F306" s="2">
        <v>129.047</v>
      </c>
      <c r="G306" s="2">
        <v>552.73699999999997</v>
      </c>
      <c r="H306" s="2">
        <v>-596.27149999999995</v>
      </c>
      <c r="I306" s="1">
        <v>0.83185412416928295</v>
      </c>
      <c r="J306" s="1">
        <v>0.86144589778604597</v>
      </c>
      <c r="K306" s="1">
        <v>0.70134461887793398</v>
      </c>
      <c r="L306" s="1">
        <v>0.535814062415648</v>
      </c>
      <c r="M306" s="2"/>
      <c r="N306" s="2"/>
      <c r="P306" s="1">
        <f>I306-'Passo 1'!I306</f>
        <v>7.5238126958901974E-2</v>
      </c>
      <c r="Q306" s="1">
        <f>J306-'Passo 1'!J306</f>
        <v>0.13141556136650501</v>
      </c>
      <c r="R306" s="1">
        <f t="shared" si="17"/>
        <v>1223.798</v>
      </c>
      <c r="S306">
        <f t="shared" si="16"/>
        <v>1267.3324999999995</v>
      </c>
      <c r="T306" s="1">
        <f t="shared" si="18"/>
        <v>1031.7964616100314</v>
      </c>
      <c r="U306" s="1">
        <f t="shared" si="19"/>
        <v>788.27303838996647</v>
      </c>
    </row>
    <row r="307" spans="1:21" x14ac:dyDescent="0.3">
      <c r="A307" t="s">
        <v>57</v>
      </c>
      <c r="B307" t="s">
        <v>218</v>
      </c>
      <c r="C307" t="s">
        <v>580</v>
      </c>
      <c r="D307" t="s">
        <v>581</v>
      </c>
      <c r="E307" s="2">
        <v>23.498000000000001</v>
      </c>
      <c r="F307" s="2">
        <v>0</v>
      </c>
      <c r="G307" s="2">
        <v>10.5435</v>
      </c>
      <c r="H307" s="2">
        <v>-10.711</v>
      </c>
      <c r="I307" s="1">
        <v>0.948697761511618</v>
      </c>
      <c r="J307" s="1">
        <v>0.95582602774704195</v>
      </c>
      <c r="K307" s="1">
        <v>0.74397225605649497</v>
      </c>
      <c r="L307" s="1">
        <v>0.66055153320216398</v>
      </c>
      <c r="M307" s="2"/>
      <c r="N307" s="2"/>
      <c r="P307" s="1">
        <f>I307-'Passo 1'!I307</f>
        <v>0</v>
      </c>
      <c r="Q307" s="1">
        <f>J307-'Passo 1'!J307</f>
        <v>0</v>
      </c>
      <c r="R307" s="1">
        <f t="shared" si="17"/>
        <v>22.2925</v>
      </c>
      <c r="S307">
        <f t="shared" si="16"/>
        <v>22.459999999999994</v>
      </c>
      <c r="T307" s="1">
        <f t="shared" si="18"/>
        <v>17.481860072815518</v>
      </c>
      <c r="U307" s="1">
        <f t="shared" si="19"/>
        <v>15.521639927184451</v>
      </c>
    </row>
    <row r="308" spans="1:21" x14ac:dyDescent="0.3">
      <c r="A308" t="s">
        <v>57</v>
      </c>
      <c r="B308" t="s">
        <v>688</v>
      </c>
      <c r="C308" t="s">
        <v>576</v>
      </c>
      <c r="D308" t="s">
        <v>583</v>
      </c>
      <c r="E308" s="2">
        <v>142.18700000000001</v>
      </c>
      <c r="F308" s="2">
        <v>0</v>
      </c>
      <c r="G308" s="2">
        <v>62.393999999999998</v>
      </c>
      <c r="H308" s="2">
        <v>-70.266999999999996</v>
      </c>
      <c r="I308" s="1">
        <v>0.93881648814589203</v>
      </c>
      <c r="J308" s="1">
        <v>0.99418723230674999</v>
      </c>
      <c r="K308" s="1">
        <v>0.92203251362334904</v>
      </c>
      <c r="L308" s="1">
        <v>0.51097120682929398</v>
      </c>
      <c r="M308" s="2"/>
      <c r="N308" s="2"/>
      <c r="P308" s="1">
        <f>I308-'Passo 1'!I308</f>
        <v>7.9718961649095976E-2</v>
      </c>
      <c r="Q308" s="1">
        <f>J308-'Passo 1'!J308</f>
        <v>8.9213500530989975E-2</v>
      </c>
      <c r="R308" s="1">
        <f t="shared" si="17"/>
        <v>133.48749999999995</v>
      </c>
      <c r="S308">
        <f t="shared" si="16"/>
        <v>141.36049999999986</v>
      </c>
      <c r="T308" s="1">
        <f t="shared" si="18"/>
        <v>131.10103701456313</v>
      </c>
      <c r="U308" s="1">
        <f t="shared" si="19"/>
        <v>72.653462985436832</v>
      </c>
    </row>
    <row r="309" spans="1:21" x14ac:dyDescent="0.3">
      <c r="A309" t="s">
        <v>57</v>
      </c>
      <c r="B309" t="s">
        <v>219</v>
      </c>
      <c r="C309" t="s">
        <v>576</v>
      </c>
      <c r="D309" t="s">
        <v>589</v>
      </c>
      <c r="E309" s="2">
        <v>0</v>
      </c>
      <c r="F309" s="2">
        <v>0</v>
      </c>
      <c r="G309" s="2">
        <v>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M309" s="2"/>
      <c r="N309" s="2"/>
      <c r="P309" s="1">
        <f>I309-'Passo 1'!I309</f>
        <v>0</v>
      </c>
      <c r="Q309" s="1">
        <f>J309-'Passo 1'!J309</f>
        <v>0</v>
      </c>
      <c r="R309" s="1">
        <f t="shared" si="17"/>
        <v>0</v>
      </c>
      <c r="S309">
        <f t="shared" si="16"/>
        <v>0</v>
      </c>
      <c r="T309" s="1">
        <f t="shared" si="18"/>
        <v>0</v>
      </c>
      <c r="U309" s="1">
        <f t="shared" si="19"/>
        <v>0</v>
      </c>
    </row>
    <row r="310" spans="1:21" x14ac:dyDescent="0.3">
      <c r="A310" t="s">
        <v>57</v>
      </c>
      <c r="B310" t="s">
        <v>220</v>
      </c>
      <c r="C310" t="s">
        <v>580</v>
      </c>
      <c r="D310" t="s">
        <v>581</v>
      </c>
      <c r="E310" s="2">
        <v>92.676000000000002</v>
      </c>
      <c r="F310" s="2">
        <v>0</v>
      </c>
      <c r="G310" s="2">
        <v>42.497999999999998</v>
      </c>
      <c r="H310" s="2">
        <v>-30.801500000000001</v>
      </c>
      <c r="I310" s="1">
        <v>0.95856532435581998</v>
      </c>
      <c r="J310" s="1">
        <v>0.83235681298286501</v>
      </c>
      <c r="K310" s="1">
        <v>0.88277147401931</v>
      </c>
      <c r="L310" s="1">
        <v>0.408150663319375</v>
      </c>
      <c r="M310" s="2"/>
      <c r="N310" s="2"/>
      <c r="P310" s="1">
        <f>I310-'Passo 1'!I310</f>
        <v>1.0542103673011005E-2</v>
      </c>
      <c r="Q310" s="1">
        <f>J310-'Passo 1'!J310</f>
        <v>-8.3932193879753036E-2</v>
      </c>
      <c r="R310" s="1">
        <f t="shared" si="17"/>
        <v>88.83599999999997</v>
      </c>
      <c r="S310">
        <f t="shared" si="16"/>
        <v>77.139499999999998</v>
      </c>
      <c r="T310" s="1">
        <f t="shared" si="18"/>
        <v>81.811729126213578</v>
      </c>
      <c r="U310" s="1">
        <f t="shared" si="19"/>
        <v>37.825770873786396</v>
      </c>
    </row>
    <row r="311" spans="1:21" x14ac:dyDescent="0.3">
      <c r="A311" t="s">
        <v>57</v>
      </c>
      <c r="B311" t="s">
        <v>221</v>
      </c>
      <c r="C311" t="s">
        <v>580</v>
      </c>
      <c r="D311" t="s">
        <v>581</v>
      </c>
      <c r="E311" s="2">
        <v>55.051000000000002</v>
      </c>
      <c r="F311" s="2">
        <v>7.6989999999999998</v>
      </c>
      <c r="G311" s="2">
        <v>15.765499999999999</v>
      </c>
      <c r="H311" s="2">
        <v>-10.494999999999999</v>
      </c>
      <c r="I311" s="1">
        <v>0.71645383371782501</v>
      </c>
      <c r="J311" s="1">
        <v>0.62071533668779799</v>
      </c>
      <c r="K311" s="1">
        <v>0.48723948399362998</v>
      </c>
      <c r="L311" s="1">
        <v>0.41985575496660599</v>
      </c>
      <c r="M311" s="2"/>
      <c r="N311" s="2"/>
      <c r="P311" s="1">
        <f>I311-'Passo 1'!I311</f>
        <v>0.11801783800475896</v>
      </c>
      <c r="Q311" s="1">
        <f>J311-'Passo 1'!J311</f>
        <v>5.9317723565420977E-2</v>
      </c>
      <c r="R311" s="1">
        <f t="shared" si="17"/>
        <v>39.441499999999984</v>
      </c>
      <c r="S311">
        <f t="shared" si="16"/>
        <v>34.170999999999971</v>
      </c>
      <c r="T311" s="1">
        <f t="shared" si="18"/>
        <v>26.823020833333324</v>
      </c>
      <c r="U311" s="1">
        <f t="shared" si="19"/>
        <v>23.113479166666625</v>
      </c>
    </row>
    <row r="312" spans="1:21" x14ac:dyDescent="0.3">
      <c r="A312" t="s">
        <v>57</v>
      </c>
      <c r="B312" t="s">
        <v>689</v>
      </c>
      <c r="C312" t="s">
        <v>576</v>
      </c>
      <c r="D312" t="s">
        <v>589</v>
      </c>
      <c r="E312" s="2">
        <v>0</v>
      </c>
      <c r="F312" s="2">
        <v>0</v>
      </c>
      <c r="G312" s="2">
        <v>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M312" s="2"/>
      <c r="N312" s="2"/>
      <c r="P312" s="1">
        <f>I312-'Passo 1'!I312</f>
        <v>0</v>
      </c>
      <c r="Q312" s="1">
        <f>J312-'Passo 1'!J312</f>
        <v>0</v>
      </c>
      <c r="R312" s="1">
        <f t="shared" si="17"/>
        <v>0</v>
      </c>
      <c r="S312">
        <f t="shared" si="16"/>
        <v>0</v>
      </c>
      <c r="T312" s="1">
        <f t="shared" si="18"/>
        <v>0</v>
      </c>
      <c r="U312" s="1">
        <f t="shared" si="19"/>
        <v>0</v>
      </c>
    </row>
    <row r="313" spans="1:21" x14ac:dyDescent="0.3">
      <c r="A313" t="s">
        <v>57</v>
      </c>
      <c r="B313" t="s">
        <v>690</v>
      </c>
      <c r="C313" t="s">
        <v>576</v>
      </c>
      <c r="D313" t="s">
        <v>583</v>
      </c>
      <c r="E313" s="2">
        <v>144.58699999999999</v>
      </c>
      <c r="F313" s="2">
        <v>0</v>
      </c>
      <c r="G313" s="2">
        <v>71.689499999999995</v>
      </c>
      <c r="H313" s="2">
        <v>-72.246499999999997</v>
      </c>
      <c r="I313" s="1">
        <v>0.99582258432639104</v>
      </c>
      <c r="J313" s="1">
        <v>0.99967493619758296</v>
      </c>
      <c r="K313" s="1">
        <v>0.99455299785956797</v>
      </c>
      <c r="L313" s="1">
        <v>0.50094452266440603</v>
      </c>
      <c r="M313" s="2"/>
      <c r="N313" s="2"/>
      <c r="P313" s="1">
        <f>I313-'Passo 1'!I313</f>
        <v>6.3715963399199049E-2</v>
      </c>
      <c r="Q313" s="1">
        <f>J313-'Passo 1'!J313</f>
        <v>0.19913616023570602</v>
      </c>
      <c r="R313" s="1">
        <f t="shared" si="17"/>
        <v>143.98299999999989</v>
      </c>
      <c r="S313">
        <f t="shared" si="16"/>
        <v>144.53999999999991</v>
      </c>
      <c r="T313" s="1">
        <f t="shared" si="18"/>
        <v>143.79943430152133</v>
      </c>
      <c r="U313" s="1">
        <f t="shared" si="19"/>
        <v>72.430065698478472</v>
      </c>
    </row>
    <row r="314" spans="1:21" x14ac:dyDescent="0.3">
      <c r="A314" t="s">
        <v>57</v>
      </c>
      <c r="B314" t="s">
        <v>222</v>
      </c>
      <c r="C314" t="s">
        <v>34</v>
      </c>
      <c r="D314" t="s">
        <v>35</v>
      </c>
      <c r="E314" s="2">
        <v>867.17499999999995</v>
      </c>
      <c r="F314" s="2">
        <v>0</v>
      </c>
      <c r="G314" s="2">
        <v>205.816499999999</v>
      </c>
      <c r="H314" s="2">
        <v>-205.97749999999999</v>
      </c>
      <c r="I314" s="1">
        <v>0.73734136708276798</v>
      </c>
      <c r="J314" s="1">
        <v>0.73752702741661103</v>
      </c>
      <c r="K314" s="1">
        <v>0.67617769128693395</v>
      </c>
      <c r="L314" s="1">
        <v>0.29869070321244501</v>
      </c>
      <c r="M314" s="2"/>
      <c r="N314" s="2"/>
      <c r="P314" s="1">
        <f>I314-'Passo 1'!I314</f>
        <v>0.10961397641767801</v>
      </c>
      <c r="Q314" s="1">
        <f>J314-'Passo 1'!J314</f>
        <v>0.109740825092974</v>
      </c>
      <c r="R314" s="1">
        <f t="shared" si="17"/>
        <v>639.40399999999931</v>
      </c>
      <c r="S314">
        <f t="shared" si="16"/>
        <v>639.5649999999996</v>
      </c>
      <c r="T314" s="1">
        <f t="shared" si="18"/>
        <v>586.36438944174688</v>
      </c>
      <c r="U314" s="1">
        <f t="shared" si="19"/>
        <v>259.017110558252</v>
      </c>
    </row>
    <row r="315" spans="1:21" x14ac:dyDescent="0.3">
      <c r="A315" t="s">
        <v>57</v>
      </c>
      <c r="B315" t="s">
        <v>223</v>
      </c>
      <c r="C315" t="s">
        <v>574</v>
      </c>
      <c r="D315" t="s">
        <v>575</v>
      </c>
      <c r="E315" s="2">
        <v>153.07499999999999</v>
      </c>
      <c r="F315" s="2">
        <v>0</v>
      </c>
      <c r="G315" s="2">
        <v>76.037499999999994</v>
      </c>
      <c r="H315" s="2">
        <v>-76.037499999999994</v>
      </c>
      <c r="I315" s="1">
        <v>0.99673362730687498</v>
      </c>
      <c r="J315" s="1">
        <v>0.99673362730687498</v>
      </c>
      <c r="K315" s="1">
        <v>0.99363685731606599</v>
      </c>
      <c r="L315" s="1">
        <v>0.49983039729768403</v>
      </c>
      <c r="M315" s="2"/>
      <c r="N315" s="2"/>
      <c r="P315" s="1">
        <f>I315-'Passo 1'!I315</f>
        <v>0</v>
      </c>
      <c r="Q315" s="1">
        <f>J315-'Passo 1'!J315</f>
        <v>0</v>
      </c>
      <c r="R315" s="1">
        <f t="shared" si="17"/>
        <v>152.57499999999987</v>
      </c>
      <c r="S315">
        <f t="shared" si="16"/>
        <v>152.57499999999987</v>
      </c>
      <c r="T315" s="1">
        <f t="shared" si="18"/>
        <v>152.10096193365678</v>
      </c>
      <c r="U315" s="1">
        <f t="shared" si="19"/>
        <v>76.511538066342979</v>
      </c>
    </row>
    <row r="316" spans="1:21" x14ac:dyDescent="0.3">
      <c r="A316" t="s">
        <v>57</v>
      </c>
      <c r="B316" t="s">
        <v>224</v>
      </c>
      <c r="C316" t="s">
        <v>576</v>
      </c>
      <c r="D316" t="s">
        <v>591</v>
      </c>
      <c r="E316" s="2">
        <v>73</v>
      </c>
      <c r="F316" s="2">
        <v>0</v>
      </c>
      <c r="G316" s="2">
        <v>14</v>
      </c>
      <c r="H316" s="2">
        <v>-21.5</v>
      </c>
      <c r="I316" s="1">
        <v>0.69178082191780799</v>
      </c>
      <c r="J316" s="1">
        <v>0.79452054794520499</v>
      </c>
      <c r="K316" s="1">
        <v>0.477036723633461</v>
      </c>
      <c r="L316" s="1">
        <v>0.50926464622955103</v>
      </c>
      <c r="M316" s="2"/>
      <c r="N316" s="2"/>
      <c r="P316" s="1">
        <f>I316-'Passo 1'!I316</f>
        <v>0</v>
      </c>
      <c r="Q316" s="1">
        <f>J316-'Passo 1'!J316</f>
        <v>2.4657534246597113E-4</v>
      </c>
      <c r="R316" s="1">
        <f t="shared" si="17"/>
        <v>50.499999999999986</v>
      </c>
      <c r="S316">
        <f t="shared" si="16"/>
        <v>57.999999999999964</v>
      </c>
      <c r="T316" s="1">
        <f t="shared" si="18"/>
        <v>34.823680825242654</v>
      </c>
      <c r="U316" s="1">
        <f t="shared" si="19"/>
        <v>37.176319174757225</v>
      </c>
    </row>
    <row r="317" spans="1:21" x14ac:dyDescent="0.3">
      <c r="A317" t="s">
        <v>57</v>
      </c>
      <c r="B317" t="s">
        <v>225</v>
      </c>
      <c r="C317" t="s">
        <v>576</v>
      </c>
      <c r="D317" t="s">
        <v>591</v>
      </c>
      <c r="E317" s="2">
        <v>10</v>
      </c>
      <c r="F317" s="2">
        <v>0</v>
      </c>
      <c r="G317" s="2">
        <v>4.9965000000000002</v>
      </c>
      <c r="H317" s="2">
        <v>-3.9965000000000002</v>
      </c>
      <c r="I317" s="1">
        <v>0.99965000000000004</v>
      </c>
      <c r="J317" s="1">
        <v>0.89964999999999995</v>
      </c>
      <c r="K317" s="1">
        <v>0.84836332928802605</v>
      </c>
      <c r="L317" s="1">
        <v>0.55093667071197405</v>
      </c>
      <c r="M317" s="2"/>
      <c r="N317" s="2"/>
      <c r="P317" s="1">
        <f>I317-'Passo 1'!I317</f>
        <v>0.14095000000000002</v>
      </c>
      <c r="Q317" s="1">
        <f>J317-'Passo 1'!J317</f>
        <v>0</v>
      </c>
      <c r="R317" s="1">
        <f t="shared" si="17"/>
        <v>9.9965000000000011</v>
      </c>
      <c r="S317">
        <f t="shared" si="16"/>
        <v>8.9964999999999993</v>
      </c>
      <c r="T317" s="1">
        <f t="shared" si="18"/>
        <v>8.4836332928802598</v>
      </c>
      <c r="U317" s="1">
        <f t="shared" si="19"/>
        <v>5.5093667071197405</v>
      </c>
    </row>
    <row r="318" spans="1:21" x14ac:dyDescent="0.3">
      <c r="A318" t="s">
        <v>57</v>
      </c>
      <c r="B318" t="s">
        <v>226</v>
      </c>
      <c r="C318" t="s">
        <v>580</v>
      </c>
      <c r="D318" t="s">
        <v>581</v>
      </c>
      <c r="E318" s="2">
        <v>141</v>
      </c>
      <c r="F318" s="2">
        <v>7.9000000000000001E-2</v>
      </c>
      <c r="G318" s="2">
        <v>52.55</v>
      </c>
      <c r="H318" s="2">
        <v>-47.460500000000003</v>
      </c>
      <c r="I318" s="1">
        <v>0.87241489361702096</v>
      </c>
      <c r="J318" s="1">
        <v>0.83631914893616999</v>
      </c>
      <c r="K318" s="1">
        <v>0.61696067215221795</v>
      </c>
      <c r="L318" s="1">
        <v>0.59205351224494396</v>
      </c>
      <c r="M318" s="2"/>
      <c r="N318" s="2"/>
      <c r="P318" s="1">
        <f>I318-'Passo 1'!I318</f>
        <v>5.3191489361699151E-3</v>
      </c>
      <c r="Q318" s="1">
        <f>J318-'Passo 1'!J318</f>
        <v>-1.4819148936169979E-2</v>
      </c>
      <c r="R318" s="1">
        <f t="shared" si="17"/>
        <v>123.01049999999995</v>
      </c>
      <c r="S318">
        <f t="shared" si="16"/>
        <v>117.92099999999996</v>
      </c>
      <c r="T318" s="1">
        <f t="shared" si="18"/>
        <v>86.991454773462735</v>
      </c>
      <c r="U318" s="1">
        <f t="shared" si="19"/>
        <v>83.479545226537098</v>
      </c>
    </row>
    <row r="319" spans="1:21" x14ac:dyDescent="0.3">
      <c r="A319" t="s">
        <v>57</v>
      </c>
      <c r="B319" t="s">
        <v>227</v>
      </c>
      <c r="C319" t="s">
        <v>34</v>
      </c>
      <c r="D319" t="s">
        <v>35</v>
      </c>
      <c r="E319" s="2">
        <v>25</v>
      </c>
      <c r="F319" s="2">
        <v>0</v>
      </c>
      <c r="G319" s="2">
        <v>10.884499999999999</v>
      </c>
      <c r="H319" s="2">
        <v>-11.25</v>
      </c>
      <c r="I319" s="1">
        <v>0.93537999999999999</v>
      </c>
      <c r="J319" s="1">
        <v>0.95</v>
      </c>
      <c r="K319" s="1">
        <v>0.79933774110032296</v>
      </c>
      <c r="L319" s="1">
        <v>0.58604225889967598</v>
      </c>
      <c r="M319" s="2"/>
      <c r="N319" s="2"/>
      <c r="P319" s="1">
        <f>I319-'Passo 1'!I319</f>
        <v>0</v>
      </c>
      <c r="Q319" s="1">
        <f>J319-'Passo 1'!J319</f>
        <v>4.4619999999999993E-2</v>
      </c>
      <c r="R319" s="1">
        <f t="shared" si="17"/>
        <v>23.384499999999999</v>
      </c>
      <c r="S319">
        <f t="shared" si="16"/>
        <v>23.75</v>
      </c>
      <c r="T319" s="1">
        <f t="shared" si="18"/>
        <v>19.983443527508076</v>
      </c>
      <c r="U319" s="1">
        <f t="shared" si="19"/>
        <v>14.6510564724919</v>
      </c>
    </row>
    <row r="320" spans="1:21" x14ac:dyDescent="0.3">
      <c r="A320" t="s">
        <v>57</v>
      </c>
      <c r="B320" t="s">
        <v>228</v>
      </c>
      <c r="C320" t="s">
        <v>574</v>
      </c>
      <c r="D320" t="s">
        <v>575</v>
      </c>
      <c r="E320" s="2">
        <v>16</v>
      </c>
      <c r="F320" s="2">
        <v>0.01</v>
      </c>
      <c r="G320" s="2">
        <v>5.9950000000000001</v>
      </c>
      <c r="H320" s="2">
        <v>-5.9950000000000001</v>
      </c>
      <c r="I320" s="1">
        <v>0.87437500000000001</v>
      </c>
      <c r="J320" s="1">
        <v>0.87437500000000001</v>
      </c>
      <c r="K320" s="1">
        <v>0.67566926324838195</v>
      </c>
      <c r="L320" s="1">
        <v>0.57339323675161802</v>
      </c>
      <c r="M320" s="2"/>
      <c r="N320" s="2"/>
      <c r="P320" s="1">
        <f>I320-'Passo 1'!I320</f>
        <v>0.10571874999999997</v>
      </c>
      <c r="Q320" s="1">
        <f>J320-'Passo 1'!J320</f>
        <v>0</v>
      </c>
      <c r="R320" s="1">
        <f t="shared" si="17"/>
        <v>13.99</v>
      </c>
      <c r="S320">
        <f t="shared" si="16"/>
        <v>13.99</v>
      </c>
      <c r="T320" s="1">
        <f t="shared" si="18"/>
        <v>10.810708211974111</v>
      </c>
      <c r="U320" s="1">
        <f t="shared" si="19"/>
        <v>9.1742917880258883</v>
      </c>
    </row>
    <row r="321" spans="1:21" x14ac:dyDescent="0.3">
      <c r="A321" t="s">
        <v>57</v>
      </c>
      <c r="B321" t="s">
        <v>229</v>
      </c>
      <c r="C321" t="s">
        <v>576</v>
      </c>
      <c r="D321" t="s">
        <v>591</v>
      </c>
      <c r="E321" s="2">
        <v>46.5</v>
      </c>
      <c r="F321" s="2">
        <v>1.6E-2</v>
      </c>
      <c r="G321" s="2">
        <v>15.2035</v>
      </c>
      <c r="H321" s="2">
        <v>-14.7035</v>
      </c>
      <c r="I321" s="1">
        <v>0.82678494623655896</v>
      </c>
      <c r="J321" s="1">
        <v>0.81603225806451596</v>
      </c>
      <c r="K321" s="1">
        <v>0.54496730521627101</v>
      </c>
      <c r="L321" s="1">
        <v>0.59802194209555604</v>
      </c>
      <c r="M321" s="2"/>
      <c r="N321" s="2"/>
      <c r="P321" s="1">
        <f>I321-'Passo 1'!I321</f>
        <v>1.0752688172043001E-2</v>
      </c>
      <c r="Q321" s="1">
        <f>J321-'Passo 1'!J321</f>
        <v>0</v>
      </c>
      <c r="R321" s="1">
        <f t="shared" si="17"/>
        <v>38.445499999999988</v>
      </c>
      <c r="S321">
        <f t="shared" si="16"/>
        <v>37.945499999999996</v>
      </c>
      <c r="T321" s="1">
        <f t="shared" si="18"/>
        <v>25.340979692556601</v>
      </c>
      <c r="U321" s="1">
        <f t="shared" si="19"/>
        <v>27.808020307443357</v>
      </c>
    </row>
    <row r="322" spans="1:21" x14ac:dyDescent="0.3">
      <c r="A322" t="s">
        <v>57</v>
      </c>
      <c r="B322" t="s">
        <v>230</v>
      </c>
      <c r="C322" t="s">
        <v>34</v>
      </c>
      <c r="D322" t="s">
        <v>35</v>
      </c>
      <c r="E322" s="2">
        <v>829.83</v>
      </c>
      <c r="F322" s="2">
        <v>0</v>
      </c>
      <c r="G322" s="2">
        <v>191.94049999999999</v>
      </c>
      <c r="H322" s="2">
        <v>-357.65449999999998</v>
      </c>
      <c r="I322" s="1">
        <v>0.73130098935926602</v>
      </c>
      <c r="J322" s="1">
        <v>0.930997312702601</v>
      </c>
      <c r="K322" s="1">
        <v>0.64201328126160795</v>
      </c>
      <c r="L322" s="1">
        <v>0.52028502080025896</v>
      </c>
      <c r="M322" s="2"/>
      <c r="N322" s="2"/>
      <c r="P322" s="1">
        <f>I322-'Passo 1'!I322</f>
        <v>3.7064217972356039E-2</v>
      </c>
      <c r="Q322" s="1">
        <f>J322-'Passo 1'!J322</f>
        <v>0.11509706807418396</v>
      </c>
      <c r="R322" s="1">
        <f t="shared" si="17"/>
        <v>606.85549999999978</v>
      </c>
      <c r="S322">
        <f t="shared" ref="S322:S385" si="20">J322*E322</f>
        <v>772.56949999999938</v>
      </c>
      <c r="T322" s="1">
        <f t="shared" si="18"/>
        <v>532.76188118932021</v>
      </c>
      <c r="U322" s="1">
        <f t="shared" si="19"/>
        <v>431.74811881067893</v>
      </c>
    </row>
    <row r="323" spans="1:21" x14ac:dyDescent="0.3">
      <c r="A323" t="s">
        <v>57</v>
      </c>
      <c r="B323" t="s">
        <v>231</v>
      </c>
      <c r="C323" t="s">
        <v>580</v>
      </c>
      <c r="D323" t="s">
        <v>581</v>
      </c>
      <c r="E323" s="2">
        <v>134</v>
      </c>
      <c r="F323" s="2">
        <v>0.11</v>
      </c>
      <c r="G323" s="2">
        <v>45.195500000000003</v>
      </c>
      <c r="H323" s="2">
        <v>-66.444999999999993</v>
      </c>
      <c r="I323" s="1">
        <v>0.83686940298507395</v>
      </c>
      <c r="J323" s="1">
        <v>0.995447761194029</v>
      </c>
      <c r="K323" s="1">
        <v>0.58005624788677901</v>
      </c>
      <c r="L323" s="1">
        <v>0.75267136405351798</v>
      </c>
      <c r="M323" s="2"/>
      <c r="N323" s="2"/>
      <c r="P323" s="1">
        <f>I323-'Passo 1'!I323</f>
        <v>8.7701492537312964E-2</v>
      </c>
      <c r="Q323" s="1">
        <f>J323-'Passo 1'!J323</f>
        <v>3.7313432835820448E-3</v>
      </c>
      <c r="R323" s="1">
        <f t="shared" ref="R323:R386" si="21">I323*E323</f>
        <v>112.1404999999999</v>
      </c>
      <c r="S323">
        <f t="shared" si="20"/>
        <v>133.38999999999987</v>
      </c>
      <c r="T323" s="1">
        <f t="shared" ref="T323:T386" si="22">K323*E323</f>
        <v>77.727537216828381</v>
      </c>
      <c r="U323" s="1">
        <f t="shared" ref="U323:U386" si="23">L323*E323</f>
        <v>100.8579627831714</v>
      </c>
    </row>
    <row r="324" spans="1:21" x14ac:dyDescent="0.3">
      <c r="A324" t="s">
        <v>57</v>
      </c>
      <c r="B324" t="s">
        <v>232</v>
      </c>
      <c r="C324" t="s">
        <v>34</v>
      </c>
      <c r="D324" t="s">
        <v>35</v>
      </c>
      <c r="E324" s="2">
        <v>70</v>
      </c>
      <c r="F324" s="2">
        <v>0</v>
      </c>
      <c r="G324" s="2">
        <v>26.25</v>
      </c>
      <c r="H324" s="2">
        <v>-30.5</v>
      </c>
      <c r="I324" s="1">
        <v>0.875</v>
      </c>
      <c r="J324" s="1">
        <v>0.93571428571428505</v>
      </c>
      <c r="K324" s="1">
        <v>0.73607756183541295</v>
      </c>
      <c r="L324" s="1">
        <v>0.57463672387887199</v>
      </c>
      <c r="M324" s="2"/>
      <c r="N324" s="2"/>
      <c r="P324" s="1">
        <f>I324-'Passo 1'!I324</f>
        <v>1.6878571428571965E-2</v>
      </c>
      <c r="Q324" s="1">
        <f>J324-'Passo 1'!J324</f>
        <v>0.10259285714285704</v>
      </c>
      <c r="R324" s="1">
        <f t="shared" si="21"/>
        <v>61.25</v>
      </c>
      <c r="S324">
        <f t="shared" si="20"/>
        <v>65.499999999999957</v>
      </c>
      <c r="T324" s="1">
        <f t="shared" si="22"/>
        <v>51.525429328478907</v>
      </c>
      <c r="U324" s="1">
        <f t="shared" si="23"/>
        <v>40.224570671521036</v>
      </c>
    </row>
    <row r="325" spans="1:21" x14ac:dyDescent="0.3">
      <c r="A325" t="s">
        <v>57</v>
      </c>
      <c r="B325" t="s">
        <v>233</v>
      </c>
      <c r="C325" t="s">
        <v>574</v>
      </c>
      <c r="D325" t="s">
        <v>575</v>
      </c>
      <c r="E325" s="2">
        <v>39</v>
      </c>
      <c r="F325" s="2">
        <v>1.7999999999999999E-2</v>
      </c>
      <c r="G325" s="2">
        <v>16.361000000000001</v>
      </c>
      <c r="H325" s="2">
        <v>-16.611000000000001</v>
      </c>
      <c r="I325" s="1">
        <v>0.91928205128205098</v>
      </c>
      <c r="J325" s="1">
        <v>0.92569230769230704</v>
      </c>
      <c r="K325" s="1">
        <v>0.56787760766741302</v>
      </c>
      <c r="L325" s="1">
        <v>0.77732752053771403</v>
      </c>
      <c r="M325" s="2"/>
      <c r="N325" s="2"/>
      <c r="P325" s="1">
        <f>I325-'Passo 1'!I325</f>
        <v>0</v>
      </c>
      <c r="Q325" s="1">
        <f>J325-'Passo 1'!J325</f>
        <v>6.4102564102560544E-3</v>
      </c>
      <c r="R325" s="1">
        <f t="shared" si="21"/>
        <v>35.85199999999999</v>
      </c>
      <c r="S325">
        <f t="shared" si="20"/>
        <v>36.101999999999975</v>
      </c>
      <c r="T325" s="1">
        <f t="shared" si="22"/>
        <v>22.147226699029108</v>
      </c>
      <c r="U325" s="1">
        <f t="shared" si="23"/>
        <v>30.315773300970847</v>
      </c>
    </row>
    <row r="326" spans="1:21" x14ac:dyDescent="0.3">
      <c r="A326" t="s">
        <v>57</v>
      </c>
      <c r="B326" t="s">
        <v>234</v>
      </c>
      <c r="C326" t="s">
        <v>576</v>
      </c>
      <c r="D326" t="s">
        <v>591</v>
      </c>
      <c r="E326" s="2">
        <v>2</v>
      </c>
      <c r="F326" s="2">
        <v>0</v>
      </c>
      <c r="G326" s="2">
        <v>0.5</v>
      </c>
      <c r="H326" s="2">
        <v>-0.5</v>
      </c>
      <c r="I326" s="1">
        <v>0.75</v>
      </c>
      <c r="J326" s="1">
        <v>0.75</v>
      </c>
      <c r="K326" s="1">
        <v>0.62890153721682795</v>
      </c>
      <c r="L326" s="1">
        <v>0.37109846278317099</v>
      </c>
      <c r="M326" s="2"/>
      <c r="N326" s="2"/>
      <c r="P326" s="1">
        <f>I326-'Passo 1'!I326</f>
        <v>2.4999999999997247E-4</v>
      </c>
      <c r="Q326" s="1">
        <f>J326-'Passo 1'!J326</f>
        <v>0</v>
      </c>
      <c r="R326" s="1">
        <f t="shared" si="21"/>
        <v>1.5</v>
      </c>
      <c r="S326">
        <f t="shared" si="20"/>
        <v>1.5</v>
      </c>
      <c r="T326" s="1">
        <f t="shared" si="22"/>
        <v>1.2578030744336559</v>
      </c>
      <c r="U326" s="1">
        <f t="shared" si="23"/>
        <v>0.74219692556634198</v>
      </c>
    </row>
    <row r="327" spans="1:21" x14ac:dyDescent="0.3">
      <c r="A327" t="s">
        <v>57</v>
      </c>
      <c r="B327" t="s">
        <v>235</v>
      </c>
      <c r="C327" t="s">
        <v>574</v>
      </c>
      <c r="D327" t="s">
        <v>575</v>
      </c>
      <c r="E327" s="2">
        <v>85</v>
      </c>
      <c r="F327" s="2">
        <v>0</v>
      </c>
      <c r="G327" s="2">
        <v>29</v>
      </c>
      <c r="H327" s="2">
        <v>-29</v>
      </c>
      <c r="I327" s="1">
        <v>0.84117647058823497</v>
      </c>
      <c r="J327" s="1">
        <v>0.84117647058823497</v>
      </c>
      <c r="K327" s="1">
        <v>0.52865952788882498</v>
      </c>
      <c r="L327" s="1">
        <v>0.65369341328764496</v>
      </c>
      <c r="M327" s="2"/>
      <c r="N327" s="2"/>
      <c r="P327" s="1">
        <f>I327-'Passo 1'!I327</f>
        <v>2.9411764705880028E-3</v>
      </c>
      <c r="Q327" s="1">
        <f>J327-'Passo 1'!J327</f>
        <v>5.8823529411770048E-3</v>
      </c>
      <c r="R327" s="1">
        <f t="shared" si="21"/>
        <v>71.499999999999972</v>
      </c>
      <c r="S327">
        <f t="shared" si="20"/>
        <v>71.499999999999972</v>
      </c>
      <c r="T327" s="1">
        <f t="shared" si="22"/>
        <v>44.936059870550125</v>
      </c>
      <c r="U327" s="1">
        <f t="shared" si="23"/>
        <v>55.563940129449819</v>
      </c>
    </row>
    <row r="328" spans="1:21" x14ac:dyDescent="0.3">
      <c r="A328" t="s">
        <v>57</v>
      </c>
      <c r="B328" t="s">
        <v>236</v>
      </c>
      <c r="C328" t="s">
        <v>574</v>
      </c>
      <c r="D328" t="s">
        <v>575</v>
      </c>
      <c r="E328" s="2">
        <v>43</v>
      </c>
      <c r="F328" s="2">
        <v>1.6E-2</v>
      </c>
      <c r="G328" s="2">
        <v>14.734999999999999</v>
      </c>
      <c r="H328" s="2">
        <v>-14.734999999999999</v>
      </c>
      <c r="I328" s="1">
        <v>0.84248837209302296</v>
      </c>
      <c r="J328" s="1">
        <v>0.84248837209302296</v>
      </c>
      <c r="K328" s="1">
        <v>0.63603156939113403</v>
      </c>
      <c r="L328" s="1">
        <v>0.54913122130654002</v>
      </c>
      <c r="M328" s="2"/>
      <c r="N328" s="2"/>
      <c r="P328" s="1">
        <f>I328-'Passo 1'!I328</f>
        <v>0</v>
      </c>
      <c r="Q328" s="1">
        <f>J328-'Passo 1'!J328</f>
        <v>0</v>
      </c>
      <c r="R328" s="1">
        <f t="shared" si="21"/>
        <v>36.22699999999999</v>
      </c>
      <c r="S328">
        <f t="shared" si="20"/>
        <v>36.22699999999999</v>
      </c>
      <c r="T328" s="1">
        <f t="shared" si="22"/>
        <v>27.349357483818764</v>
      </c>
      <c r="U328" s="1">
        <f t="shared" si="23"/>
        <v>23.612642516181221</v>
      </c>
    </row>
    <row r="329" spans="1:21" x14ac:dyDescent="0.3">
      <c r="A329" t="s">
        <v>57</v>
      </c>
      <c r="B329" t="s">
        <v>237</v>
      </c>
      <c r="C329" t="s">
        <v>576</v>
      </c>
      <c r="D329" t="s">
        <v>591</v>
      </c>
      <c r="E329" s="2">
        <v>39.5</v>
      </c>
      <c r="F329" s="2">
        <v>8.0000000000000002E-3</v>
      </c>
      <c r="G329" s="2">
        <v>10</v>
      </c>
      <c r="H329" s="2">
        <v>-9.6165000000000003</v>
      </c>
      <c r="I329" s="1">
        <v>0.75306329113923998</v>
      </c>
      <c r="J329" s="1">
        <v>0.74335443037974602</v>
      </c>
      <c r="K329" s="1">
        <v>0.57245888636270503</v>
      </c>
      <c r="L329" s="1">
        <v>0.42406010097906599</v>
      </c>
      <c r="M329" s="2"/>
      <c r="N329" s="2"/>
      <c r="P329" s="1">
        <f>I329-'Passo 1'!I329</f>
        <v>0</v>
      </c>
      <c r="Q329" s="1">
        <f>J329-'Passo 1'!J329</f>
        <v>0</v>
      </c>
      <c r="R329" s="1">
        <f t="shared" si="21"/>
        <v>29.745999999999977</v>
      </c>
      <c r="S329">
        <f t="shared" si="20"/>
        <v>29.362499999999969</v>
      </c>
      <c r="T329" s="1">
        <f t="shared" si="22"/>
        <v>22.612126011326851</v>
      </c>
      <c r="U329" s="1">
        <f t="shared" si="23"/>
        <v>16.750373988673108</v>
      </c>
    </row>
    <row r="330" spans="1:21" x14ac:dyDescent="0.3">
      <c r="A330" t="s">
        <v>57</v>
      </c>
      <c r="B330" t="s">
        <v>238</v>
      </c>
      <c r="C330" t="s">
        <v>580</v>
      </c>
      <c r="D330" t="s">
        <v>581</v>
      </c>
      <c r="E330" s="2">
        <v>20</v>
      </c>
      <c r="F330" s="2">
        <v>0</v>
      </c>
      <c r="G330" s="2">
        <v>3.1509999999999998</v>
      </c>
      <c r="H330" s="2">
        <v>-4.4965000000000002</v>
      </c>
      <c r="I330" s="1">
        <v>0.65754999999999997</v>
      </c>
      <c r="J330" s="1">
        <v>0.72482500000000005</v>
      </c>
      <c r="K330" s="1">
        <v>0.47147478762135903</v>
      </c>
      <c r="L330" s="1">
        <v>0.41090021237864</v>
      </c>
      <c r="M330" s="2"/>
      <c r="N330" s="2"/>
      <c r="P330" s="1">
        <f>I330-'Passo 1'!I330</f>
        <v>0</v>
      </c>
      <c r="Q330" s="1">
        <f>J330-'Passo 1'!J330</f>
        <v>2.4825000000000097E-2</v>
      </c>
      <c r="R330" s="1">
        <f t="shared" si="21"/>
        <v>13.151</v>
      </c>
      <c r="S330">
        <f t="shared" si="20"/>
        <v>14.496500000000001</v>
      </c>
      <c r="T330" s="1">
        <f t="shared" si="22"/>
        <v>9.4294957524271812</v>
      </c>
      <c r="U330" s="1">
        <f t="shared" si="23"/>
        <v>8.2180042475728001</v>
      </c>
    </row>
    <row r="331" spans="1:21" x14ac:dyDescent="0.3">
      <c r="A331" t="s">
        <v>57</v>
      </c>
      <c r="B331" t="s">
        <v>239</v>
      </c>
      <c r="C331" t="s">
        <v>576</v>
      </c>
      <c r="D331" t="s">
        <v>591</v>
      </c>
      <c r="E331" s="2">
        <v>13</v>
      </c>
      <c r="F331" s="2">
        <v>0</v>
      </c>
      <c r="G331" s="2">
        <v>4.5</v>
      </c>
      <c r="H331" s="2">
        <v>-4.5</v>
      </c>
      <c r="I331" s="1">
        <v>0.84615384615384603</v>
      </c>
      <c r="J331" s="1">
        <v>0.84615384615384603</v>
      </c>
      <c r="K331" s="1">
        <v>0.67069138971869502</v>
      </c>
      <c r="L331" s="1">
        <v>0.52161630258899605</v>
      </c>
      <c r="M331" s="2"/>
      <c r="N331" s="2"/>
      <c r="P331" s="1">
        <f>I331-'Passo 1'!I331</f>
        <v>0</v>
      </c>
      <c r="Q331" s="1">
        <f>J331-'Passo 1'!J331</f>
        <v>0</v>
      </c>
      <c r="R331" s="1">
        <f t="shared" si="21"/>
        <v>10.999999999999998</v>
      </c>
      <c r="S331">
        <f t="shared" si="20"/>
        <v>10.999999999999998</v>
      </c>
      <c r="T331" s="1">
        <f t="shared" si="22"/>
        <v>8.7189880663430355</v>
      </c>
      <c r="U331" s="1">
        <f t="shared" si="23"/>
        <v>6.7810119336569485</v>
      </c>
    </row>
    <row r="332" spans="1:21" x14ac:dyDescent="0.3">
      <c r="A332" t="s">
        <v>57</v>
      </c>
      <c r="B332" t="s">
        <v>240</v>
      </c>
      <c r="C332" t="s">
        <v>34</v>
      </c>
      <c r="D332" t="s">
        <v>35</v>
      </c>
      <c r="E332" s="2">
        <v>271.053</v>
      </c>
      <c r="F332" s="2">
        <v>0</v>
      </c>
      <c r="G332" s="2">
        <v>64.471499999999907</v>
      </c>
      <c r="H332" s="2">
        <v>-79.412000000000006</v>
      </c>
      <c r="I332" s="1">
        <v>0.73785569611847102</v>
      </c>
      <c r="J332" s="1">
        <v>0.79297591245992405</v>
      </c>
      <c r="K332" s="1">
        <v>0.63690393349312902</v>
      </c>
      <c r="L332" s="1">
        <v>0.39392767508526599</v>
      </c>
      <c r="M332" s="2"/>
      <c r="N332" s="2"/>
      <c r="P332" s="1">
        <f>I332-'Passo 1'!I332</f>
        <v>5.4127790505915985E-2</v>
      </c>
      <c r="Q332" s="1">
        <f>J332-'Passo 1'!J332</f>
        <v>7.4867276879429068E-2</v>
      </c>
      <c r="R332" s="1">
        <f t="shared" si="21"/>
        <v>199.99799999999993</v>
      </c>
      <c r="S332">
        <f t="shared" si="20"/>
        <v>214.93849999999978</v>
      </c>
      <c r="T332" s="1">
        <f t="shared" si="22"/>
        <v>172.63472188511309</v>
      </c>
      <c r="U332" s="1">
        <f t="shared" si="23"/>
        <v>106.7752781148866</v>
      </c>
    </row>
    <row r="333" spans="1:21" x14ac:dyDescent="0.3">
      <c r="A333" t="s">
        <v>57</v>
      </c>
      <c r="B333" t="s">
        <v>241</v>
      </c>
      <c r="C333" t="s">
        <v>34</v>
      </c>
      <c r="D333" t="s">
        <v>35</v>
      </c>
      <c r="E333" s="2">
        <v>285.31400000000002</v>
      </c>
      <c r="F333" s="2">
        <v>0</v>
      </c>
      <c r="G333" s="2">
        <v>132.6815</v>
      </c>
      <c r="H333" s="2">
        <v>-128.6105</v>
      </c>
      <c r="I333" s="1">
        <v>0.96503676650988002</v>
      </c>
      <c r="J333" s="1">
        <v>0.95076827635517303</v>
      </c>
      <c r="K333" s="1">
        <v>0.95563326805806303</v>
      </c>
      <c r="L333" s="1">
        <v>0.46017177480698901</v>
      </c>
      <c r="M333" s="2"/>
      <c r="N333" s="2"/>
      <c r="P333" s="1">
        <f>I333-'Passo 1'!I333</f>
        <v>9.9504405672350416E-3</v>
      </c>
      <c r="Q333" s="1">
        <f>J333-'Passo 1'!J333</f>
        <v>2.9739164569559939E-3</v>
      </c>
      <c r="R333" s="1">
        <f t="shared" si="21"/>
        <v>275.33849999999995</v>
      </c>
      <c r="S333">
        <f t="shared" si="20"/>
        <v>271.26749999999987</v>
      </c>
      <c r="T333" s="1">
        <f t="shared" si="22"/>
        <v>272.65555024271822</v>
      </c>
      <c r="U333" s="1">
        <f t="shared" si="23"/>
        <v>131.29344975728128</v>
      </c>
    </row>
    <row r="334" spans="1:21" x14ac:dyDescent="0.3">
      <c r="A334" t="s">
        <v>57</v>
      </c>
      <c r="B334" t="s">
        <v>242</v>
      </c>
      <c r="C334" t="s">
        <v>34</v>
      </c>
      <c r="D334" t="s">
        <v>35</v>
      </c>
      <c r="E334" s="2">
        <v>962.08399999999995</v>
      </c>
      <c r="F334" s="2">
        <v>0</v>
      </c>
      <c r="G334" s="2">
        <v>229.9845</v>
      </c>
      <c r="H334" s="2">
        <v>-265.86399999999998</v>
      </c>
      <c r="I334" s="1">
        <v>0.73904825358284698</v>
      </c>
      <c r="J334" s="1">
        <v>0.77634177473068799</v>
      </c>
      <c r="K334" s="1">
        <v>0.64281178921912596</v>
      </c>
      <c r="L334" s="1">
        <v>0.37257823909440901</v>
      </c>
      <c r="M334" s="2"/>
      <c r="N334" s="2"/>
      <c r="P334" s="1">
        <f>I334-'Passo 1'!I334</f>
        <v>7.9793448389121946E-2</v>
      </c>
      <c r="Q334" s="1">
        <f>J334-'Passo 1'!J334</f>
        <v>7.039665975112297E-2</v>
      </c>
      <c r="R334" s="1">
        <f t="shared" si="21"/>
        <v>711.02649999999971</v>
      </c>
      <c r="S334">
        <f t="shared" si="20"/>
        <v>746.90599999999915</v>
      </c>
      <c r="T334" s="1">
        <f t="shared" si="22"/>
        <v>618.43893741909358</v>
      </c>
      <c r="U334" s="1">
        <f t="shared" si="23"/>
        <v>358.45156258090537</v>
      </c>
    </row>
    <row r="335" spans="1:21" x14ac:dyDescent="0.3">
      <c r="A335" t="s">
        <v>57</v>
      </c>
      <c r="B335" t="s">
        <v>243</v>
      </c>
      <c r="C335" t="s">
        <v>34</v>
      </c>
      <c r="D335" t="s">
        <v>35</v>
      </c>
      <c r="E335" s="2">
        <v>303.78399999999999</v>
      </c>
      <c r="F335" s="2">
        <v>0</v>
      </c>
      <c r="G335" s="2">
        <v>115.459</v>
      </c>
      <c r="H335" s="2">
        <v>-100.76249999999899</v>
      </c>
      <c r="I335" s="1">
        <v>0.88006939140968499</v>
      </c>
      <c r="J335" s="1">
        <v>0.83169126747952404</v>
      </c>
      <c r="K335" s="1">
        <v>0.80578682225839704</v>
      </c>
      <c r="L335" s="1">
        <v>0.40597383663081299</v>
      </c>
      <c r="M335" s="2"/>
      <c r="N335" s="2"/>
      <c r="P335" s="1">
        <f>I335-'Passo 1'!I335</f>
        <v>3.0001580070049938E-2</v>
      </c>
      <c r="Q335" s="1">
        <f>J335-'Passo 1'!J335</f>
        <v>1.1740249651067014E-2</v>
      </c>
      <c r="R335" s="1">
        <f t="shared" si="21"/>
        <v>267.35099999999971</v>
      </c>
      <c r="S335">
        <f t="shared" si="20"/>
        <v>252.65449999999973</v>
      </c>
      <c r="T335" s="1">
        <f t="shared" si="22"/>
        <v>244.78514401294487</v>
      </c>
      <c r="U335" s="1">
        <f t="shared" si="23"/>
        <v>123.32835598705489</v>
      </c>
    </row>
    <row r="336" spans="1:21" x14ac:dyDescent="0.3">
      <c r="A336" t="s">
        <v>57</v>
      </c>
      <c r="B336" t="s">
        <v>244</v>
      </c>
      <c r="C336" t="s">
        <v>580</v>
      </c>
      <c r="D336" t="s">
        <v>581</v>
      </c>
      <c r="E336" s="2">
        <v>143.5</v>
      </c>
      <c r="F336" s="2">
        <v>6.9000000000000006E-2</v>
      </c>
      <c r="G336" s="2">
        <v>43.465499999999999</v>
      </c>
      <c r="H336" s="2">
        <v>-41.715499999999999</v>
      </c>
      <c r="I336" s="1">
        <v>0.80265505226480804</v>
      </c>
      <c r="J336" s="1">
        <v>0.79045993031358897</v>
      </c>
      <c r="K336" s="1">
        <v>0.606138565452228</v>
      </c>
      <c r="L336" s="1">
        <v>0.48721683524463499</v>
      </c>
      <c r="M336" s="2"/>
      <c r="N336" s="2"/>
      <c r="P336" s="1">
        <f>I336-'Passo 1'!I336</f>
        <v>7.7202090592335071E-2</v>
      </c>
      <c r="Q336" s="1">
        <f>J336-'Passo 1'!J336</f>
        <v>1.7421602787459634E-3</v>
      </c>
      <c r="R336" s="1">
        <f t="shared" si="21"/>
        <v>115.18099999999995</v>
      </c>
      <c r="S336">
        <f t="shared" si="20"/>
        <v>113.43100000000001</v>
      </c>
      <c r="T336" s="1">
        <f t="shared" si="22"/>
        <v>86.980884142394714</v>
      </c>
      <c r="U336" s="1">
        <f t="shared" si="23"/>
        <v>69.915615857605118</v>
      </c>
    </row>
    <row r="337" spans="1:21" x14ac:dyDescent="0.3">
      <c r="A337" t="s">
        <v>57</v>
      </c>
      <c r="B337" t="s">
        <v>245</v>
      </c>
      <c r="C337" t="s">
        <v>34</v>
      </c>
      <c r="D337" t="s">
        <v>35</v>
      </c>
      <c r="E337" s="2">
        <v>509.72800000000001</v>
      </c>
      <c r="F337" s="2">
        <v>0</v>
      </c>
      <c r="G337" s="2">
        <v>254.864</v>
      </c>
      <c r="H337" s="2">
        <v>-254.864</v>
      </c>
      <c r="I337" s="1">
        <v>1</v>
      </c>
      <c r="J337" s="1">
        <v>1</v>
      </c>
      <c r="K337" s="1">
        <v>0.99995954692556599</v>
      </c>
      <c r="L337" s="1">
        <v>0.50004045307443301</v>
      </c>
      <c r="M337" s="2"/>
      <c r="N337" s="2"/>
      <c r="P337" s="1">
        <f>I337-'Passo 1'!I337</f>
        <v>0</v>
      </c>
      <c r="Q337" s="1">
        <f>J337-'Passo 1'!J337</f>
        <v>0</v>
      </c>
      <c r="R337" s="1">
        <f t="shared" si="21"/>
        <v>509.72800000000001</v>
      </c>
      <c r="S337">
        <f t="shared" si="20"/>
        <v>509.72800000000001</v>
      </c>
      <c r="T337" s="1">
        <f t="shared" si="22"/>
        <v>509.7073799352749</v>
      </c>
      <c r="U337" s="1">
        <f t="shared" si="23"/>
        <v>254.8846200647246</v>
      </c>
    </row>
    <row r="338" spans="1:21" x14ac:dyDescent="0.3">
      <c r="A338" t="s">
        <v>57</v>
      </c>
      <c r="B338" t="s">
        <v>246</v>
      </c>
      <c r="C338" t="s">
        <v>34</v>
      </c>
      <c r="D338" t="s">
        <v>35</v>
      </c>
      <c r="E338" s="2">
        <v>978.87699999999995</v>
      </c>
      <c r="F338" s="2">
        <v>0</v>
      </c>
      <c r="G338" s="2">
        <v>234.131</v>
      </c>
      <c r="H338" s="2">
        <v>-340.68049999999999</v>
      </c>
      <c r="I338" s="1">
        <v>0.739183268173631</v>
      </c>
      <c r="J338" s="1">
        <v>0.84803197950304199</v>
      </c>
      <c r="K338" s="1">
        <v>0.63661469686981198</v>
      </c>
      <c r="L338" s="1">
        <v>0.45060055080686101</v>
      </c>
      <c r="M338" s="2"/>
      <c r="N338" s="2"/>
      <c r="P338" s="1">
        <f>I338-'Passo 1'!I338</f>
        <v>3.7881163823441977E-2</v>
      </c>
      <c r="Q338" s="1">
        <f>J338-'Passo 1'!J338</f>
        <v>9.0194171484262009E-2</v>
      </c>
      <c r="R338" s="1">
        <f t="shared" si="21"/>
        <v>723.56949999999938</v>
      </c>
      <c r="S338">
        <f t="shared" si="20"/>
        <v>830.11899999999923</v>
      </c>
      <c r="T338" s="1">
        <f t="shared" si="22"/>
        <v>623.16748462783096</v>
      </c>
      <c r="U338" s="1">
        <f t="shared" si="23"/>
        <v>441.08251537216768</v>
      </c>
    </row>
    <row r="339" spans="1:21" x14ac:dyDescent="0.3">
      <c r="A339" t="s">
        <v>57</v>
      </c>
      <c r="B339" t="s">
        <v>247</v>
      </c>
      <c r="C339" t="s">
        <v>580</v>
      </c>
      <c r="D339" t="s">
        <v>581</v>
      </c>
      <c r="E339" s="2">
        <v>47</v>
      </c>
      <c r="F339" s="2">
        <v>3.2000000000000001E-2</v>
      </c>
      <c r="G339" s="2">
        <v>17.984000000000002</v>
      </c>
      <c r="H339" s="2">
        <v>-19.484000000000002</v>
      </c>
      <c r="I339" s="1">
        <v>0.882297872340425</v>
      </c>
      <c r="J339" s="1">
        <v>0.91421276595744605</v>
      </c>
      <c r="K339" s="1">
        <v>0.64563148712387197</v>
      </c>
      <c r="L339" s="1">
        <v>0.65121957670591402</v>
      </c>
      <c r="M339" s="2"/>
      <c r="N339" s="2"/>
      <c r="P339" s="1">
        <f>I339-'Passo 1'!I339</f>
        <v>9.8021276595744999E-2</v>
      </c>
      <c r="Q339" s="1">
        <f>J339-'Passo 1'!J339</f>
        <v>0</v>
      </c>
      <c r="R339" s="1">
        <f t="shared" si="21"/>
        <v>41.467999999999975</v>
      </c>
      <c r="S339">
        <f t="shared" si="20"/>
        <v>42.967999999999961</v>
      </c>
      <c r="T339" s="1">
        <f t="shared" si="22"/>
        <v>30.344679894821983</v>
      </c>
      <c r="U339" s="1">
        <f t="shared" si="23"/>
        <v>30.607320105177958</v>
      </c>
    </row>
    <row r="340" spans="1:21" x14ac:dyDescent="0.3">
      <c r="A340" t="s">
        <v>57</v>
      </c>
      <c r="B340" t="s">
        <v>248</v>
      </c>
      <c r="C340" t="s">
        <v>34</v>
      </c>
      <c r="D340" t="s">
        <v>35</v>
      </c>
      <c r="E340" s="2">
        <v>109</v>
      </c>
      <c r="F340" s="2">
        <v>0</v>
      </c>
      <c r="G340" s="2">
        <v>43.984499999999997</v>
      </c>
      <c r="H340" s="2">
        <v>-47</v>
      </c>
      <c r="I340" s="1">
        <v>0.90352752293577898</v>
      </c>
      <c r="J340" s="1">
        <v>0.93119266055045802</v>
      </c>
      <c r="K340" s="1">
        <v>0.75787892728838202</v>
      </c>
      <c r="L340" s="1">
        <v>0.57684125619785598</v>
      </c>
      <c r="M340" s="2"/>
      <c r="N340" s="2"/>
      <c r="P340" s="1">
        <f>I340-'Passo 1'!I340</f>
        <v>4.1142201834861947E-2</v>
      </c>
      <c r="Q340" s="1">
        <f>J340-'Passo 1'!J340</f>
        <v>0.11467889908256901</v>
      </c>
      <c r="R340" s="1">
        <f t="shared" si="21"/>
        <v>98.484499999999912</v>
      </c>
      <c r="S340">
        <f t="shared" si="20"/>
        <v>101.49999999999993</v>
      </c>
      <c r="T340" s="1">
        <f t="shared" si="22"/>
        <v>82.608803074433638</v>
      </c>
      <c r="U340" s="1">
        <f t="shared" si="23"/>
        <v>62.875696925566302</v>
      </c>
    </row>
    <row r="341" spans="1:21" x14ac:dyDescent="0.3">
      <c r="A341" t="s">
        <v>57</v>
      </c>
      <c r="B341" t="s">
        <v>249</v>
      </c>
      <c r="C341" t="s">
        <v>34</v>
      </c>
      <c r="D341" t="s">
        <v>35</v>
      </c>
      <c r="E341" s="2">
        <v>0</v>
      </c>
      <c r="F341" s="2">
        <v>0</v>
      </c>
      <c r="G341" s="2">
        <v>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M341" s="2"/>
      <c r="N341" s="2"/>
      <c r="P341" s="1">
        <f>I341-'Passo 1'!I341</f>
        <v>0</v>
      </c>
      <c r="Q341" s="1">
        <f>J341-'Passo 1'!J341</f>
        <v>0</v>
      </c>
      <c r="R341" s="1">
        <f t="shared" si="21"/>
        <v>0</v>
      </c>
      <c r="S341">
        <f t="shared" si="20"/>
        <v>0</v>
      </c>
      <c r="T341" s="1">
        <f t="shared" si="22"/>
        <v>0</v>
      </c>
      <c r="U341" s="1">
        <f t="shared" si="23"/>
        <v>0</v>
      </c>
    </row>
    <row r="342" spans="1:21" x14ac:dyDescent="0.3">
      <c r="A342" t="s">
        <v>57</v>
      </c>
      <c r="B342" t="s">
        <v>250</v>
      </c>
      <c r="C342" t="s">
        <v>574</v>
      </c>
      <c r="D342" t="s">
        <v>575</v>
      </c>
      <c r="E342" s="2">
        <v>0</v>
      </c>
      <c r="F342" s="2">
        <v>0</v>
      </c>
      <c r="G342" s="2">
        <v>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M342" s="2"/>
      <c r="N342" s="2"/>
      <c r="P342" s="1">
        <f>I342-'Passo 1'!I342</f>
        <v>0</v>
      </c>
      <c r="Q342" s="1">
        <f>J342-'Passo 1'!J342</f>
        <v>0</v>
      </c>
      <c r="R342" s="1">
        <f t="shared" si="21"/>
        <v>0</v>
      </c>
      <c r="S342">
        <f t="shared" si="20"/>
        <v>0</v>
      </c>
      <c r="T342" s="1">
        <f t="shared" si="22"/>
        <v>0</v>
      </c>
      <c r="U342" s="1">
        <f t="shared" si="23"/>
        <v>0</v>
      </c>
    </row>
    <row r="343" spans="1:21" x14ac:dyDescent="0.3">
      <c r="A343" t="s">
        <v>57</v>
      </c>
      <c r="B343" t="s">
        <v>251</v>
      </c>
      <c r="C343" t="s">
        <v>34</v>
      </c>
      <c r="D343" t="s">
        <v>35</v>
      </c>
      <c r="E343" s="2">
        <v>0</v>
      </c>
      <c r="F343" s="2">
        <v>0</v>
      </c>
      <c r="G343" s="2">
        <v>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M343" s="2"/>
      <c r="N343" s="2"/>
      <c r="P343" s="1">
        <f>I343-'Passo 1'!I343</f>
        <v>0</v>
      </c>
      <c r="Q343" s="1">
        <f>J343-'Passo 1'!J343</f>
        <v>0</v>
      </c>
      <c r="R343" s="1">
        <f t="shared" si="21"/>
        <v>0</v>
      </c>
      <c r="S343">
        <f t="shared" si="20"/>
        <v>0</v>
      </c>
      <c r="T343" s="1">
        <f t="shared" si="22"/>
        <v>0</v>
      </c>
      <c r="U343" s="1">
        <f t="shared" si="23"/>
        <v>0</v>
      </c>
    </row>
    <row r="344" spans="1:21" x14ac:dyDescent="0.3">
      <c r="A344" t="s">
        <v>57</v>
      </c>
      <c r="B344" t="s">
        <v>252</v>
      </c>
      <c r="C344" t="s">
        <v>580</v>
      </c>
      <c r="D344" t="s">
        <v>581</v>
      </c>
      <c r="E344" s="2">
        <v>15</v>
      </c>
      <c r="F344" s="2">
        <v>0</v>
      </c>
      <c r="G344" s="2">
        <v>6.2450000000000001</v>
      </c>
      <c r="H344" s="2">
        <v>-5.9950000000000001</v>
      </c>
      <c r="I344" s="1">
        <v>0.916333333333333</v>
      </c>
      <c r="J344" s="1">
        <v>0.89966666666666595</v>
      </c>
      <c r="K344" s="1">
        <v>0.68794051240560905</v>
      </c>
      <c r="L344" s="1">
        <v>0.62805948759439001</v>
      </c>
      <c r="M344" s="2"/>
      <c r="N344" s="2"/>
      <c r="P344" s="1">
        <f>I344-'Passo 1'!I344</f>
        <v>0.10550000000000004</v>
      </c>
      <c r="Q344" s="1">
        <f>J344-'Passo 1'!J344</f>
        <v>0</v>
      </c>
      <c r="R344" s="1">
        <f t="shared" si="21"/>
        <v>13.744999999999996</v>
      </c>
      <c r="S344">
        <f t="shared" si="20"/>
        <v>13.494999999999989</v>
      </c>
      <c r="T344" s="1">
        <f t="shared" si="22"/>
        <v>10.319107686084136</v>
      </c>
      <c r="U344" s="1">
        <f t="shared" si="23"/>
        <v>9.42089231391585</v>
      </c>
    </row>
    <row r="345" spans="1:21" x14ac:dyDescent="0.3">
      <c r="A345" t="s">
        <v>57</v>
      </c>
      <c r="B345" t="s">
        <v>253</v>
      </c>
      <c r="C345" t="s">
        <v>34</v>
      </c>
      <c r="D345" t="s">
        <v>35</v>
      </c>
      <c r="E345" s="2">
        <v>265.71600000000001</v>
      </c>
      <c r="F345" s="2">
        <v>0</v>
      </c>
      <c r="G345" s="2">
        <v>132.858</v>
      </c>
      <c r="H345" s="2">
        <v>-132.858</v>
      </c>
      <c r="I345" s="1">
        <v>1</v>
      </c>
      <c r="J345" s="1">
        <v>1</v>
      </c>
      <c r="K345" s="1">
        <v>0.99995954692556599</v>
      </c>
      <c r="L345" s="1">
        <v>0.50004045307443301</v>
      </c>
      <c r="M345" s="2"/>
      <c r="N345" s="2"/>
      <c r="P345" s="1">
        <f>I345-'Passo 1'!I345</f>
        <v>0</v>
      </c>
      <c r="Q345" s="1">
        <f>J345-'Passo 1'!J345</f>
        <v>0</v>
      </c>
      <c r="R345" s="1">
        <f t="shared" si="21"/>
        <v>265.71600000000001</v>
      </c>
      <c r="S345">
        <f t="shared" si="20"/>
        <v>265.71600000000001</v>
      </c>
      <c r="T345" s="1">
        <f t="shared" si="22"/>
        <v>265.70525097087369</v>
      </c>
      <c r="U345" s="1">
        <f t="shared" si="23"/>
        <v>132.86874902912604</v>
      </c>
    </row>
    <row r="346" spans="1:21" x14ac:dyDescent="0.3">
      <c r="A346" t="s">
        <v>57</v>
      </c>
      <c r="B346" t="s">
        <v>254</v>
      </c>
      <c r="C346" t="s">
        <v>580</v>
      </c>
      <c r="D346" t="s">
        <v>581</v>
      </c>
      <c r="E346" s="2">
        <v>90</v>
      </c>
      <c r="F346" s="2">
        <v>6.2E-2</v>
      </c>
      <c r="G346" s="2">
        <v>28.219000000000001</v>
      </c>
      <c r="H346" s="2">
        <v>-37.969000000000001</v>
      </c>
      <c r="I346" s="1">
        <v>0.81320000000000003</v>
      </c>
      <c r="J346" s="1">
        <v>0.92153333333333298</v>
      </c>
      <c r="K346" s="1">
        <v>0.57040537846098505</v>
      </c>
      <c r="L346" s="1">
        <v>0.66467239931679201</v>
      </c>
      <c r="M346" s="2"/>
      <c r="N346" s="2"/>
      <c r="P346" s="1">
        <f>I346-'Passo 1'!I346</f>
        <v>8.6505555555556057E-2</v>
      </c>
      <c r="Q346" s="1">
        <f>J346-'Passo 1'!J346</f>
        <v>5.5555555555559799E-3</v>
      </c>
      <c r="R346" s="1">
        <f t="shared" si="21"/>
        <v>73.188000000000002</v>
      </c>
      <c r="S346">
        <f t="shared" si="20"/>
        <v>82.937999999999974</v>
      </c>
      <c r="T346" s="1">
        <f t="shared" si="22"/>
        <v>51.336484061488655</v>
      </c>
      <c r="U346" s="1">
        <f t="shared" si="23"/>
        <v>59.820515938511278</v>
      </c>
    </row>
    <row r="347" spans="1:21" x14ac:dyDescent="0.3">
      <c r="A347" t="s">
        <v>57</v>
      </c>
      <c r="B347" t="s">
        <v>255</v>
      </c>
      <c r="C347" t="s">
        <v>580</v>
      </c>
      <c r="D347" t="s">
        <v>581</v>
      </c>
      <c r="E347" s="2">
        <v>102</v>
      </c>
      <c r="F347" s="2">
        <v>0</v>
      </c>
      <c r="G347" s="2">
        <v>36.966500000000003</v>
      </c>
      <c r="H347" s="2">
        <v>-40.966500000000003</v>
      </c>
      <c r="I347" s="1">
        <v>0.86241666666666605</v>
      </c>
      <c r="J347" s="1">
        <v>0.90163235294117605</v>
      </c>
      <c r="K347" s="1">
        <v>0.62544803009391403</v>
      </c>
      <c r="L347" s="1">
        <v>0.63860098951392796</v>
      </c>
      <c r="M347" s="2"/>
      <c r="N347" s="2"/>
      <c r="P347" s="1">
        <f>I347-'Passo 1'!I347</f>
        <v>0.10013725490196101</v>
      </c>
      <c r="Q347" s="1">
        <f>J347-'Passo 1'!J347</f>
        <v>7.3529411764710062E-3</v>
      </c>
      <c r="R347" s="1">
        <f t="shared" si="21"/>
        <v>87.96649999999994</v>
      </c>
      <c r="S347">
        <f t="shared" si="20"/>
        <v>91.966499999999954</v>
      </c>
      <c r="T347" s="1">
        <f t="shared" si="22"/>
        <v>63.795699069579229</v>
      </c>
      <c r="U347" s="1">
        <f t="shared" si="23"/>
        <v>65.137300930420651</v>
      </c>
    </row>
    <row r="348" spans="1:21" x14ac:dyDescent="0.3">
      <c r="A348" t="s">
        <v>57</v>
      </c>
      <c r="B348" t="s">
        <v>256</v>
      </c>
      <c r="C348" t="s">
        <v>34</v>
      </c>
      <c r="D348" t="s">
        <v>35</v>
      </c>
      <c r="E348" s="2">
        <v>6.774</v>
      </c>
      <c r="F348" s="2">
        <v>0</v>
      </c>
      <c r="G348" s="2">
        <v>3.387</v>
      </c>
      <c r="H348" s="2">
        <v>-3.387</v>
      </c>
      <c r="I348" s="1">
        <v>1</v>
      </c>
      <c r="J348" s="1">
        <v>1</v>
      </c>
      <c r="K348" s="1">
        <v>0.99995954692556599</v>
      </c>
      <c r="L348" s="1">
        <v>0.50004045307443301</v>
      </c>
      <c r="M348" s="2"/>
      <c r="N348" s="2"/>
      <c r="P348" s="1">
        <f>I348-'Passo 1'!I348</f>
        <v>0</v>
      </c>
      <c r="Q348" s="1">
        <f>J348-'Passo 1'!J348</f>
        <v>0</v>
      </c>
      <c r="R348" s="1">
        <f t="shared" si="21"/>
        <v>6.774</v>
      </c>
      <c r="S348">
        <f t="shared" si="20"/>
        <v>6.774</v>
      </c>
      <c r="T348" s="1">
        <f t="shared" si="22"/>
        <v>6.7737259708737838</v>
      </c>
      <c r="U348" s="1">
        <f t="shared" si="23"/>
        <v>3.3872740291262091</v>
      </c>
    </row>
    <row r="349" spans="1:21" x14ac:dyDescent="0.3">
      <c r="A349" t="s">
        <v>57</v>
      </c>
      <c r="B349" t="s">
        <v>257</v>
      </c>
      <c r="C349" t="s">
        <v>576</v>
      </c>
      <c r="D349" t="s">
        <v>591</v>
      </c>
      <c r="E349" s="2">
        <v>27</v>
      </c>
      <c r="F349" s="2">
        <v>0</v>
      </c>
      <c r="G349" s="2">
        <v>8.5</v>
      </c>
      <c r="H349" s="2">
        <v>-8.5</v>
      </c>
      <c r="I349" s="1">
        <v>0.81481481481481399</v>
      </c>
      <c r="J349" s="1">
        <v>0.81481481481481399</v>
      </c>
      <c r="K349" s="1">
        <v>0.64636591154261003</v>
      </c>
      <c r="L349" s="1">
        <v>0.48326371808701901</v>
      </c>
      <c r="M349" s="2"/>
      <c r="N349" s="2"/>
      <c r="P349" s="1">
        <f>I349-'Passo 1'!I349</f>
        <v>2.5925925925895932E-4</v>
      </c>
      <c r="Q349" s="1">
        <f>J349-'Passo 1'!J349</f>
        <v>2.5925925925895932E-4</v>
      </c>
      <c r="R349" s="1">
        <f t="shared" si="21"/>
        <v>21.999999999999979</v>
      </c>
      <c r="S349">
        <f t="shared" si="20"/>
        <v>21.999999999999979</v>
      </c>
      <c r="T349" s="1">
        <f t="shared" si="22"/>
        <v>17.451879611650472</v>
      </c>
      <c r="U349" s="1">
        <f t="shared" si="23"/>
        <v>13.048120388349513</v>
      </c>
    </row>
    <row r="350" spans="1:21" x14ac:dyDescent="0.3">
      <c r="A350" t="s">
        <v>57</v>
      </c>
      <c r="B350" t="s">
        <v>258</v>
      </c>
      <c r="C350" t="s">
        <v>34</v>
      </c>
      <c r="D350" t="s">
        <v>35</v>
      </c>
      <c r="E350" s="2">
        <v>505.19400000000002</v>
      </c>
      <c r="F350" s="2">
        <v>0</v>
      </c>
      <c r="G350" s="2">
        <v>120.01649999999999</v>
      </c>
      <c r="H350" s="2">
        <v>-156.74600000000001</v>
      </c>
      <c r="I350" s="1">
        <v>0.73756517298305202</v>
      </c>
      <c r="J350" s="1">
        <v>0.81026892639263304</v>
      </c>
      <c r="K350" s="1">
        <v>0.66399000772211203</v>
      </c>
      <c r="L350" s="1">
        <v>0.38384409165357197</v>
      </c>
      <c r="M350" s="2"/>
      <c r="N350" s="2"/>
      <c r="P350" s="1">
        <f>I350-'Passo 1'!I350</f>
        <v>0</v>
      </c>
      <c r="Q350" s="1">
        <f>J350-'Passo 1'!J350</f>
        <v>8.3848976828704069E-2</v>
      </c>
      <c r="R350" s="1">
        <f t="shared" si="21"/>
        <v>372.61349999999999</v>
      </c>
      <c r="S350">
        <f t="shared" si="20"/>
        <v>409.34299999999985</v>
      </c>
      <c r="T350" s="1">
        <f t="shared" si="22"/>
        <v>335.44376796116467</v>
      </c>
      <c r="U350" s="1">
        <f t="shared" si="23"/>
        <v>193.91573203883465</v>
      </c>
    </row>
    <row r="351" spans="1:21" x14ac:dyDescent="0.3">
      <c r="A351" t="s">
        <v>57</v>
      </c>
      <c r="B351" t="s">
        <v>259</v>
      </c>
      <c r="C351" t="s">
        <v>34</v>
      </c>
      <c r="D351" t="s">
        <v>35</v>
      </c>
      <c r="E351" s="2">
        <v>805.36599999999999</v>
      </c>
      <c r="F351" s="2">
        <v>0</v>
      </c>
      <c r="G351" s="2">
        <v>189.51649999999901</v>
      </c>
      <c r="H351" s="2">
        <v>-235.77449999999999</v>
      </c>
      <c r="I351" s="1">
        <v>0.735317234648594</v>
      </c>
      <c r="J351" s="1">
        <v>0.79275447436320801</v>
      </c>
      <c r="K351" s="1">
        <v>0.64832640740831105</v>
      </c>
      <c r="L351" s="1">
        <v>0.37974530160349101</v>
      </c>
      <c r="M351" s="2"/>
      <c r="N351" s="2"/>
      <c r="P351" s="1">
        <f>I351-'Passo 1'!I351</f>
        <v>0.105748814824564</v>
      </c>
      <c r="Q351" s="1">
        <f>J351-'Passo 1'!J351</f>
        <v>7.8957889953139015E-2</v>
      </c>
      <c r="R351" s="1">
        <f t="shared" si="21"/>
        <v>592.19949999999949</v>
      </c>
      <c r="S351">
        <f t="shared" si="20"/>
        <v>638.45749999999941</v>
      </c>
      <c r="T351" s="1">
        <f t="shared" si="22"/>
        <v>522.14004542880184</v>
      </c>
      <c r="U351" s="1">
        <f t="shared" si="23"/>
        <v>305.83395457119713</v>
      </c>
    </row>
    <row r="352" spans="1:21" x14ac:dyDescent="0.3">
      <c r="A352" t="s">
        <v>57</v>
      </c>
      <c r="B352" t="s">
        <v>260</v>
      </c>
      <c r="C352" t="s">
        <v>580</v>
      </c>
      <c r="D352" t="s">
        <v>581</v>
      </c>
      <c r="E352" s="2">
        <v>165</v>
      </c>
      <c r="F352" s="2">
        <v>0</v>
      </c>
      <c r="G352" s="2">
        <v>44.217500000000001</v>
      </c>
      <c r="H352" s="2">
        <v>-39.467500000000001</v>
      </c>
      <c r="I352" s="1">
        <v>0.76798484848484805</v>
      </c>
      <c r="J352" s="1">
        <v>0.73919696969696902</v>
      </c>
      <c r="K352" s="1">
        <v>0.56237986540158802</v>
      </c>
      <c r="L352" s="1">
        <v>0.44480195278022899</v>
      </c>
      <c r="M352" s="2"/>
      <c r="N352" s="2"/>
      <c r="P352" s="1">
        <f>I352-'Passo 1'!I352</f>
        <v>4.2227272727273002E-2</v>
      </c>
      <c r="Q352" s="1">
        <f>J352-'Passo 1'!J352</f>
        <v>3.0303030303030498E-3</v>
      </c>
      <c r="R352" s="1">
        <f t="shared" si="21"/>
        <v>126.71749999999993</v>
      </c>
      <c r="S352">
        <f t="shared" si="20"/>
        <v>121.96749999999989</v>
      </c>
      <c r="T352" s="1">
        <f t="shared" si="22"/>
        <v>92.792677791262022</v>
      </c>
      <c r="U352" s="1">
        <f t="shared" si="23"/>
        <v>73.392322208737781</v>
      </c>
    </row>
    <row r="353" spans="1:21" x14ac:dyDescent="0.3">
      <c r="A353" t="s">
        <v>57</v>
      </c>
      <c r="B353" t="s">
        <v>261</v>
      </c>
      <c r="C353" t="s">
        <v>34</v>
      </c>
      <c r="D353" t="s">
        <v>35</v>
      </c>
      <c r="E353" s="2">
        <v>61</v>
      </c>
      <c r="F353" s="2">
        <v>0</v>
      </c>
      <c r="G353" s="2">
        <v>23</v>
      </c>
      <c r="H353" s="2">
        <v>-22</v>
      </c>
      <c r="I353" s="1">
        <v>0.87704918032786805</v>
      </c>
      <c r="J353" s="1">
        <v>0.86065573770491799</v>
      </c>
      <c r="K353" s="1">
        <v>0.74499085163669099</v>
      </c>
      <c r="L353" s="1">
        <v>0.492714066396095</v>
      </c>
      <c r="M353" s="2"/>
      <c r="N353" s="2"/>
      <c r="P353" s="1">
        <f>I353-'Passo 1'!I353</f>
        <v>8.1967213114750859E-3</v>
      </c>
      <c r="Q353" s="1">
        <f>J353-'Passo 1'!J353</f>
        <v>1.6393442622950949E-2</v>
      </c>
      <c r="R353" s="1">
        <f t="shared" si="21"/>
        <v>53.49999999999995</v>
      </c>
      <c r="S353">
        <f t="shared" si="20"/>
        <v>52.5</v>
      </c>
      <c r="T353" s="1">
        <f t="shared" si="22"/>
        <v>45.444441949838151</v>
      </c>
      <c r="U353" s="1">
        <f t="shared" si="23"/>
        <v>30.055558050161796</v>
      </c>
    </row>
    <row r="354" spans="1:21" x14ac:dyDescent="0.3">
      <c r="A354" t="s">
        <v>57</v>
      </c>
      <c r="B354" t="s">
        <v>262</v>
      </c>
      <c r="C354" t="s">
        <v>34</v>
      </c>
      <c r="D354" t="s">
        <v>35</v>
      </c>
      <c r="E354" s="2">
        <v>497.298</v>
      </c>
      <c r="F354" s="2">
        <v>0</v>
      </c>
      <c r="G354" s="2">
        <v>125.229999999999</v>
      </c>
      <c r="H354" s="2">
        <v>-200.02950000000001</v>
      </c>
      <c r="I354" s="1">
        <v>0.751820839818378</v>
      </c>
      <c r="J354" s="1">
        <v>0.90223266532340696</v>
      </c>
      <c r="K354" s="1">
        <v>0.64227769430728499</v>
      </c>
      <c r="L354" s="1">
        <v>0.51177581083449997</v>
      </c>
      <c r="M354" s="2"/>
      <c r="N354" s="2"/>
      <c r="P354" s="1">
        <f>I354-'Passo 1'!I354</f>
        <v>1.7253236489991997E-2</v>
      </c>
      <c r="Q354" s="1">
        <f>J354-'Passo 1'!J354</f>
        <v>0.10515425358638097</v>
      </c>
      <c r="R354" s="1">
        <f t="shared" si="21"/>
        <v>373.87899999999973</v>
      </c>
      <c r="S354">
        <f t="shared" si="20"/>
        <v>448.67849999999964</v>
      </c>
      <c r="T354" s="1">
        <f t="shared" si="22"/>
        <v>319.40341282362419</v>
      </c>
      <c r="U354" s="1">
        <f t="shared" si="23"/>
        <v>254.50508717637516</v>
      </c>
    </row>
    <row r="355" spans="1:21" x14ac:dyDescent="0.3">
      <c r="A355" t="s">
        <v>57</v>
      </c>
      <c r="B355" t="s">
        <v>263</v>
      </c>
      <c r="C355" t="s">
        <v>576</v>
      </c>
      <c r="D355" t="s">
        <v>591</v>
      </c>
      <c r="E355" s="2">
        <v>5</v>
      </c>
      <c r="F355" s="2">
        <v>0</v>
      </c>
      <c r="G355" s="2">
        <v>2.4980000000000002</v>
      </c>
      <c r="H355" s="2">
        <v>-2.4980000000000002</v>
      </c>
      <c r="I355" s="1">
        <v>0.99960000000000004</v>
      </c>
      <c r="J355" s="1">
        <v>0.99960000000000004</v>
      </c>
      <c r="K355" s="1">
        <v>0.87227266990291197</v>
      </c>
      <c r="L355" s="1">
        <v>0.62692733009708701</v>
      </c>
      <c r="M355" s="2"/>
      <c r="N355" s="2"/>
      <c r="P355" s="1">
        <f>I355-'Passo 1'!I355</f>
        <v>0.14100000000000001</v>
      </c>
      <c r="Q355" s="1">
        <f>J355-'Passo 1'!J355</f>
        <v>0</v>
      </c>
      <c r="R355" s="1">
        <f t="shared" si="21"/>
        <v>4.9980000000000002</v>
      </c>
      <c r="S355">
        <f t="shared" si="20"/>
        <v>4.9980000000000002</v>
      </c>
      <c r="T355" s="1">
        <f t="shared" si="22"/>
        <v>4.3613633495145603</v>
      </c>
      <c r="U355" s="1">
        <f t="shared" si="23"/>
        <v>3.1346366504854348</v>
      </c>
    </row>
    <row r="356" spans="1:21" x14ac:dyDescent="0.3">
      <c r="A356" t="s">
        <v>57</v>
      </c>
      <c r="B356" t="s">
        <v>264</v>
      </c>
      <c r="C356" t="s">
        <v>576</v>
      </c>
      <c r="D356" t="s">
        <v>589</v>
      </c>
      <c r="E356" s="2">
        <v>0</v>
      </c>
      <c r="F356" s="2">
        <v>0</v>
      </c>
      <c r="G356" s="2">
        <v>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M356" s="2"/>
      <c r="N356" s="2"/>
      <c r="P356" s="1">
        <f>I356-'Passo 1'!I356</f>
        <v>0</v>
      </c>
      <c r="Q356" s="1">
        <f>J356-'Passo 1'!J356</f>
        <v>0</v>
      </c>
      <c r="R356" s="1">
        <f t="shared" si="21"/>
        <v>0</v>
      </c>
      <c r="S356">
        <f t="shared" si="20"/>
        <v>0</v>
      </c>
      <c r="T356" s="1">
        <f t="shared" si="22"/>
        <v>0</v>
      </c>
      <c r="U356" s="1">
        <f t="shared" si="23"/>
        <v>0</v>
      </c>
    </row>
    <row r="357" spans="1:21" x14ac:dyDescent="0.3">
      <c r="A357" t="s">
        <v>57</v>
      </c>
      <c r="B357" t="s">
        <v>265</v>
      </c>
      <c r="C357" t="s">
        <v>574</v>
      </c>
      <c r="D357" t="s">
        <v>575</v>
      </c>
      <c r="E357" s="2">
        <v>178.31399999999999</v>
      </c>
      <c r="F357" s="2">
        <v>0</v>
      </c>
      <c r="G357" s="2">
        <v>88.757000000000005</v>
      </c>
      <c r="H357" s="2">
        <v>-84.094999999999999</v>
      </c>
      <c r="I357" s="1">
        <v>0.99775676615408704</v>
      </c>
      <c r="J357" s="1">
        <v>0.97161187567997997</v>
      </c>
      <c r="K357" s="1">
        <v>0.97801345707998499</v>
      </c>
      <c r="L357" s="1">
        <v>0.49135518475408202</v>
      </c>
      <c r="M357" s="2"/>
      <c r="N357" s="2"/>
      <c r="P357" s="1">
        <f>I357-'Passo 1'!I357</f>
        <v>6.0376638962728046E-2</v>
      </c>
      <c r="Q357" s="1">
        <f>J357-'Passo 1'!J357</f>
        <v>5.9927992193545943E-2</v>
      </c>
      <c r="R357" s="1">
        <f t="shared" si="21"/>
        <v>177.91399999999987</v>
      </c>
      <c r="S357">
        <f t="shared" si="20"/>
        <v>173.25199999999995</v>
      </c>
      <c r="T357" s="1">
        <f t="shared" si="22"/>
        <v>174.39349158576044</v>
      </c>
      <c r="U357" s="1">
        <f t="shared" si="23"/>
        <v>87.615508414239372</v>
      </c>
    </row>
    <row r="358" spans="1:21" x14ac:dyDescent="0.3">
      <c r="A358" t="s">
        <v>57</v>
      </c>
      <c r="B358" t="s">
        <v>266</v>
      </c>
      <c r="C358" t="s">
        <v>574</v>
      </c>
      <c r="D358" t="s">
        <v>575</v>
      </c>
      <c r="E358" s="2">
        <v>287.19099999999997</v>
      </c>
      <c r="F358" s="2">
        <v>0</v>
      </c>
      <c r="G358" s="2">
        <v>125.3985</v>
      </c>
      <c r="H358" s="2">
        <v>-133.2405</v>
      </c>
      <c r="I358" s="1">
        <v>0.93663798656643105</v>
      </c>
      <c r="J358" s="1">
        <v>0.96394385617933698</v>
      </c>
      <c r="K358" s="1">
        <v>0.92543045842804095</v>
      </c>
      <c r="L358" s="1">
        <v>0.47515138431772602</v>
      </c>
      <c r="M358" s="2"/>
      <c r="N358" s="2"/>
      <c r="P358" s="1">
        <f>I358-'Passo 1'!I358</f>
        <v>0.13997479029635307</v>
      </c>
      <c r="Q358" s="1">
        <f>J358-'Passo 1'!J358</f>
        <v>0.14279173093864395</v>
      </c>
      <c r="R358" s="1">
        <f t="shared" si="21"/>
        <v>268.99399999999986</v>
      </c>
      <c r="S358">
        <f t="shared" si="20"/>
        <v>276.83599999999996</v>
      </c>
      <c r="T358" s="1">
        <f t="shared" si="22"/>
        <v>265.77529878640746</v>
      </c>
      <c r="U358" s="1">
        <f t="shared" si="23"/>
        <v>136.45920121359205</v>
      </c>
    </row>
    <row r="359" spans="1:21" x14ac:dyDescent="0.3">
      <c r="A359" t="s">
        <v>57</v>
      </c>
      <c r="B359" t="s">
        <v>267</v>
      </c>
      <c r="C359" t="s">
        <v>574</v>
      </c>
      <c r="D359" t="s">
        <v>575</v>
      </c>
      <c r="E359" s="2">
        <v>783.68499999999995</v>
      </c>
      <c r="F359" s="2">
        <v>0</v>
      </c>
      <c r="G359" s="2">
        <v>376.73450000000003</v>
      </c>
      <c r="H359" s="2">
        <v>-352.49900000000002</v>
      </c>
      <c r="I359" s="1">
        <v>0.98072184614991997</v>
      </c>
      <c r="J359" s="1">
        <v>0.94979679335447198</v>
      </c>
      <c r="K359" s="1">
        <v>0.91601574343829495</v>
      </c>
      <c r="L359" s="1">
        <v>0.514502896066097</v>
      </c>
      <c r="M359" s="2"/>
      <c r="N359" s="2"/>
      <c r="P359" s="1">
        <f>I359-'Passo 1'!I359</f>
        <v>9.5523073683942972E-2</v>
      </c>
      <c r="Q359" s="1">
        <f>J359-'Passo 1'!J359</f>
        <v>0.11107460267837199</v>
      </c>
      <c r="R359" s="1">
        <f t="shared" si="21"/>
        <v>768.577</v>
      </c>
      <c r="S359">
        <f t="shared" si="20"/>
        <v>744.34149999999931</v>
      </c>
      <c r="T359" s="1">
        <f t="shared" si="22"/>
        <v>717.86779789644015</v>
      </c>
      <c r="U359" s="1">
        <f t="shared" si="23"/>
        <v>403.20820210355919</v>
      </c>
    </row>
    <row r="360" spans="1:21" x14ac:dyDescent="0.3">
      <c r="A360" t="s">
        <v>57</v>
      </c>
      <c r="B360" t="s">
        <v>268</v>
      </c>
      <c r="C360" t="s">
        <v>574</v>
      </c>
      <c r="D360" t="s">
        <v>575</v>
      </c>
      <c r="E360" s="2">
        <v>2046.346</v>
      </c>
      <c r="F360" s="2">
        <v>276.34199999999998</v>
      </c>
      <c r="G360" s="2">
        <v>708.34699999999998</v>
      </c>
      <c r="H360" s="2">
        <v>-531.71799999999996</v>
      </c>
      <c r="I360" s="1">
        <v>0.77863127740861005</v>
      </c>
      <c r="J360" s="1">
        <v>0.69231693955958495</v>
      </c>
      <c r="K360" s="1">
        <v>0.60720111708577695</v>
      </c>
      <c r="L360" s="1">
        <v>0.43126793946673098</v>
      </c>
      <c r="M360" s="2"/>
      <c r="N360" s="2"/>
      <c r="P360" s="1">
        <f>I360-'Passo 1'!I360</f>
        <v>0.1231934873183711</v>
      </c>
      <c r="Q360" s="1">
        <f>J360-'Passo 1'!J360</f>
        <v>3.4998235879953987E-2</v>
      </c>
      <c r="R360" s="1">
        <f t="shared" si="21"/>
        <v>1593.3489999999995</v>
      </c>
      <c r="S360">
        <f t="shared" si="20"/>
        <v>1416.7199999999984</v>
      </c>
      <c r="T360" s="1">
        <f t="shared" si="22"/>
        <v>1242.5435771440114</v>
      </c>
      <c r="U360" s="1">
        <f t="shared" si="23"/>
        <v>882.52342285598706</v>
      </c>
    </row>
    <row r="361" spans="1:21" x14ac:dyDescent="0.3">
      <c r="A361" t="s">
        <v>57</v>
      </c>
      <c r="B361" t="s">
        <v>691</v>
      </c>
      <c r="C361" t="s">
        <v>576</v>
      </c>
      <c r="D361" t="s">
        <v>589</v>
      </c>
      <c r="E361" s="2">
        <v>0</v>
      </c>
      <c r="F361" s="2">
        <v>0</v>
      </c>
      <c r="G361" s="2">
        <v>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M361" s="2"/>
      <c r="N361" s="2"/>
      <c r="P361" s="1">
        <f>I361-'Passo 1'!I361</f>
        <v>0</v>
      </c>
      <c r="Q361" s="1">
        <f>J361-'Passo 1'!J361</f>
        <v>0</v>
      </c>
      <c r="R361" s="1">
        <f t="shared" si="21"/>
        <v>0</v>
      </c>
      <c r="S361">
        <f t="shared" si="20"/>
        <v>0</v>
      </c>
      <c r="T361" s="1">
        <f t="shared" si="22"/>
        <v>0</v>
      </c>
      <c r="U361" s="1">
        <f t="shared" si="23"/>
        <v>0</v>
      </c>
    </row>
    <row r="362" spans="1:21" x14ac:dyDescent="0.3">
      <c r="A362" t="s">
        <v>57</v>
      </c>
      <c r="B362" t="s">
        <v>269</v>
      </c>
      <c r="C362" t="s">
        <v>574</v>
      </c>
      <c r="D362" t="s">
        <v>575</v>
      </c>
      <c r="E362" s="2">
        <v>162.02799999999999</v>
      </c>
      <c r="F362" s="2">
        <v>0</v>
      </c>
      <c r="G362" s="2">
        <v>81.013999999999996</v>
      </c>
      <c r="H362" s="2">
        <v>-80.960999999999999</v>
      </c>
      <c r="I362" s="1">
        <v>1</v>
      </c>
      <c r="J362" s="1">
        <v>0.99967289604265896</v>
      </c>
      <c r="K362" s="1">
        <v>0.88604119714256102</v>
      </c>
      <c r="L362" s="1">
        <v>0.61363169890009805</v>
      </c>
      <c r="M362" s="2"/>
      <c r="N362" s="2"/>
      <c r="P362" s="1">
        <f>I362-'Passo 1'!I362</f>
        <v>3.4645246500604965E-2</v>
      </c>
      <c r="Q362" s="1">
        <f>J362-'Passo 1'!J362</f>
        <v>1.1229540573233998E-2</v>
      </c>
      <c r="R362" s="1">
        <f t="shared" si="21"/>
        <v>162.02799999999999</v>
      </c>
      <c r="S362">
        <f t="shared" si="20"/>
        <v>161.97499999999994</v>
      </c>
      <c r="T362" s="1">
        <f t="shared" si="22"/>
        <v>143.56348309061488</v>
      </c>
      <c r="U362" s="1">
        <f t="shared" si="23"/>
        <v>99.425516909385081</v>
      </c>
    </row>
    <row r="363" spans="1:21" x14ac:dyDescent="0.3">
      <c r="A363" t="s">
        <v>57</v>
      </c>
      <c r="B363" t="s">
        <v>270</v>
      </c>
      <c r="C363" t="s">
        <v>576</v>
      </c>
      <c r="D363" t="s">
        <v>583</v>
      </c>
      <c r="E363" s="2">
        <v>197.86199999999999</v>
      </c>
      <c r="F363" s="2">
        <v>0</v>
      </c>
      <c r="G363" s="2">
        <v>98.789500000000004</v>
      </c>
      <c r="H363" s="2">
        <v>-97.971999999999994</v>
      </c>
      <c r="I363" s="1">
        <v>0.99928485510103005</v>
      </c>
      <c r="J363" s="1">
        <v>0.99515318757517801</v>
      </c>
      <c r="K363" s="1">
        <v>0.99218288569533197</v>
      </c>
      <c r="L363" s="1">
        <v>0.50225515698087597</v>
      </c>
      <c r="M363" s="2"/>
      <c r="N363" s="2"/>
      <c r="P363" s="1">
        <f>I363-'Passo 1'!I363</f>
        <v>0.13843486874690503</v>
      </c>
      <c r="Q363" s="1">
        <f>J363-'Passo 1'!J363</f>
        <v>2.4921409871526023E-2</v>
      </c>
      <c r="R363" s="1">
        <f t="shared" si="21"/>
        <v>197.72050000000002</v>
      </c>
      <c r="S363">
        <f t="shared" si="20"/>
        <v>196.90299999999988</v>
      </c>
      <c r="T363" s="1">
        <f t="shared" si="22"/>
        <v>196.31529012944978</v>
      </c>
      <c r="U363" s="1">
        <f t="shared" si="23"/>
        <v>99.377209870550075</v>
      </c>
    </row>
    <row r="364" spans="1:21" x14ac:dyDescent="0.3">
      <c r="A364" t="s">
        <v>57</v>
      </c>
      <c r="B364" t="s">
        <v>271</v>
      </c>
      <c r="C364" t="s">
        <v>576</v>
      </c>
      <c r="D364" t="s">
        <v>583</v>
      </c>
      <c r="E364" s="2">
        <v>0</v>
      </c>
      <c r="F364" s="2">
        <v>0</v>
      </c>
      <c r="G364" s="2">
        <v>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M364" s="2"/>
      <c r="N364" s="2"/>
      <c r="P364" s="1">
        <f>I364-'Passo 1'!I364</f>
        <v>0</v>
      </c>
      <c r="Q364" s="1">
        <f>J364-'Passo 1'!J364</f>
        <v>0</v>
      </c>
      <c r="R364" s="1">
        <f t="shared" si="21"/>
        <v>0</v>
      </c>
      <c r="S364">
        <f t="shared" si="20"/>
        <v>0</v>
      </c>
      <c r="T364" s="1">
        <f t="shared" si="22"/>
        <v>0</v>
      </c>
      <c r="U364" s="1">
        <f t="shared" si="23"/>
        <v>0</v>
      </c>
    </row>
    <row r="365" spans="1:21" x14ac:dyDescent="0.3">
      <c r="A365" t="s">
        <v>57</v>
      </c>
      <c r="B365" t="s">
        <v>272</v>
      </c>
      <c r="C365" t="s">
        <v>34</v>
      </c>
      <c r="D365" t="s">
        <v>35</v>
      </c>
      <c r="E365" s="2">
        <v>46.906999999999996</v>
      </c>
      <c r="F365" s="2">
        <v>0</v>
      </c>
      <c r="G365" s="2">
        <v>22.877500000000001</v>
      </c>
      <c r="H365" s="2">
        <v>-22.383500000000002</v>
      </c>
      <c r="I365" s="1">
        <v>0.98772038288528297</v>
      </c>
      <c r="J365" s="1">
        <v>0.97718890570703698</v>
      </c>
      <c r="K365" s="1">
        <v>0.89098720517904195</v>
      </c>
      <c r="L365" s="1">
        <v>0.57392208341327799</v>
      </c>
      <c r="M365" s="2"/>
      <c r="N365" s="2"/>
      <c r="P365" s="1">
        <f>I365-'Passo 1'!I365</f>
        <v>5.8178949836910965E-2</v>
      </c>
      <c r="Q365" s="1">
        <f>J365-'Passo 1'!J365</f>
        <v>1.7140298889292027E-2</v>
      </c>
      <c r="R365" s="1">
        <f t="shared" si="21"/>
        <v>46.330999999999968</v>
      </c>
      <c r="S365">
        <f t="shared" si="20"/>
        <v>45.836999999999982</v>
      </c>
      <c r="T365" s="1">
        <f t="shared" si="22"/>
        <v>41.79353683333332</v>
      </c>
      <c r="U365" s="1">
        <f t="shared" si="23"/>
        <v>26.920963166666628</v>
      </c>
    </row>
    <row r="366" spans="1:21" x14ac:dyDescent="0.3">
      <c r="A366" t="s">
        <v>57</v>
      </c>
      <c r="B366" t="s">
        <v>273</v>
      </c>
      <c r="C366" t="s">
        <v>576</v>
      </c>
      <c r="D366" t="s">
        <v>577</v>
      </c>
      <c r="E366" s="2">
        <v>1540.875</v>
      </c>
      <c r="F366" s="2">
        <v>0</v>
      </c>
      <c r="G366" s="2">
        <v>499.55349999999999</v>
      </c>
      <c r="H366" s="2">
        <v>-729.24399999999901</v>
      </c>
      <c r="I366" s="1">
        <v>0.82420118439198498</v>
      </c>
      <c r="J366" s="1">
        <v>0.97326616370568597</v>
      </c>
      <c r="K366" s="1">
        <v>0.82008733125354505</v>
      </c>
      <c r="L366" s="1">
        <v>0.47738001684412501</v>
      </c>
      <c r="M366" s="2"/>
      <c r="N366" s="2"/>
      <c r="P366" s="1">
        <f>I366-'Passo 1'!I366</f>
        <v>0.12147221546199394</v>
      </c>
      <c r="Q366" s="1">
        <f>J366-'Passo 1'!J366</f>
        <v>0.17186858116329995</v>
      </c>
      <c r="R366" s="1">
        <f t="shared" si="21"/>
        <v>1269.9909999999998</v>
      </c>
      <c r="S366">
        <f t="shared" si="20"/>
        <v>1499.6814999999988</v>
      </c>
      <c r="T366" s="1">
        <f t="shared" si="22"/>
        <v>1263.6520665453063</v>
      </c>
      <c r="U366" s="1">
        <f t="shared" si="23"/>
        <v>735.5829334546911</v>
      </c>
    </row>
    <row r="367" spans="1:21" x14ac:dyDescent="0.3">
      <c r="A367" t="s">
        <v>57</v>
      </c>
      <c r="B367" t="s">
        <v>692</v>
      </c>
      <c r="C367" t="s">
        <v>576</v>
      </c>
      <c r="D367" t="s">
        <v>595</v>
      </c>
      <c r="E367" s="2">
        <v>721.072</v>
      </c>
      <c r="F367" s="2">
        <v>0</v>
      </c>
      <c r="G367" s="2">
        <v>146.99699999999899</v>
      </c>
      <c r="H367" s="2">
        <v>-177.38499999999999</v>
      </c>
      <c r="I367" s="1">
        <v>0.70385897663478802</v>
      </c>
      <c r="J367" s="1">
        <v>0.74600178622939095</v>
      </c>
      <c r="K367" s="1">
        <v>0.64677395681502103</v>
      </c>
      <c r="L367" s="1">
        <v>0.303086806049158</v>
      </c>
      <c r="M367" s="2"/>
      <c r="N367" s="2"/>
      <c r="P367" s="1">
        <f>I367-'Passo 1'!I367</f>
        <v>8.8541782235339039E-2</v>
      </c>
      <c r="Q367" s="1">
        <f>J367-'Passo 1'!J367</f>
        <v>1.1170867819024988E-2</v>
      </c>
      <c r="R367" s="1">
        <f t="shared" si="21"/>
        <v>507.53299999999984</v>
      </c>
      <c r="S367">
        <f t="shared" si="20"/>
        <v>537.92099999999937</v>
      </c>
      <c r="T367" s="1">
        <f t="shared" si="22"/>
        <v>466.37059058852083</v>
      </c>
      <c r="U367" s="1">
        <f t="shared" si="23"/>
        <v>218.54740941147847</v>
      </c>
    </row>
    <row r="368" spans="1:21" x14ac:dyDescent="0.3">
      <c r="A368" t="s">
        <v>57</v>
      </c>
      <c r="B368" t="s">
        <v>693</v>
      </c>
      <c r="C368" t="s">
        <v>576</v>
      </c>
      <c r="D368" t="s">
        <v>595</v>
      </c>
      <c r="E368" s="2">
        <v>368.03500000000003</v>
      </c>
      <c r="F368" s="2">
        <v>0</v>
      </c>
      <c r="G368" s="2">
        <v>103.8865</v>
      </c>
      <c r="H368" s="2">
        <v>-180.60149999999999</v>
      </c>
      <c r="I368" s="1">
        <v>0.78227342508185305</v>
      </c>
      <c r="J368" s="1">
        <v>0.99071827407719304</v>
      </c>
      <c r="K368" s="1">
        <v>0.73080728567965902</v>
      </c>
      <c r="L368" s="1">
        <v>0.54218441347938795</v>
      </c>
      <c r="M368" s="2"/>
      <c r="N368" s="2"/>
      <c r="P368" s="1">
        <f>I368-'Passo 1'!I368</f>
        <v>0.10412868341326209</v>
      </c>
      <c r="Q368" s="1">
        <f>J368-'Passo 1'!J368</f>
        <v>8.0004619125898069E-2</v>
      </c>
      <c r="R368" s="1">
        <f t="shared" si="21"/>
        <v>287.90399999999983</v>
      </c>
      <c r="S368">
        <f t="shared" si="20"/>
        <v>364.61899999999974</v>
      </c>
      <c r="T368" s="1">
        <f t="shared" si="22"/>
        <v>268.96265938511334</v>
      </c>
      <c r="U368" s="1">
        <f t="shared" si="23"/>
        <v>199.54284061488656</v>
      </c>
    </row>
    <row r="369" spans="1:21" x14ac:dyDescent="0.3">
      <c r="A369" t="s">
        <v>57</v>
      </c>
      <c r="B369" t="s">
        <v>274</v>
      </c>
      <c r="C369" t="s">
        <v>576</v>
      </c>
      <c r="D369" t="s">
        <v>589</v>
      </c>
      <c r="E369" s="2">
        <v>0</v>
      </c>
      <c r="F369" s="2">
        <v>0</v>
      </c>
      <c r="G369" s="2">
        <v>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M369" s="2"/>
      <c r="N369" s="2"/>
      <c r="P369" s="1">
        <f>I369-'Passo 1'!I369</f>
        <v>0</v>
      </c>
      <c r="Q369" s="1">
        <f>J369-'Passo 1'!J369</f>
        <v>0</v>
      </c>
      <c r="R369" s="1">
        <f t="shared" si="21"/>
        <v>0</v>
      </c>
      <c r="S369">
        <f t="shared" si="20"/>
        <v>0</v>
      </c>
      <c r="T369" s="1">
        <f t="shared" si="22"/>
        <v>0</v>
      </c>
      <c r="U369" s="1">
        <f t="shared" si="23"/>
        <v>0</v>
      </c>
    </row>
    <row r="370" spans="1:21" x14ac:dyDescent="0.3">
      <c r="A370" t="s">
        <v>57</v>
      </c>
      <c r="B370" t="s">
        <v>275</v>
      </c>
      <c r="C370" t="s">
        <v>576</v>
      </c>
      <c r="D370" t="s">
        <v>589</v>
      </c>
      <c r="E370" s="2">
        <v>0</v>
      </c>
      <c r="F370" s="2">
        <v>0</v>
      </c>
      <c r="G370" s="2">
        <v>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M370" s="2"/>
      <c r="N370" s="2"/>
      <c r="P370" s="1">
        <f>I370-'Passo 1'!I370</f>
        <v>0</v>
      </c>
      <c r="Q370" s="1">
        <f>J370-'Passo 1'!J370</f>
        <v>0</v>
      </c>
      <c r="R370" s="1">
        <f t="shared" si="21"/>
        <v>0</v>
      </c>
      <c r="S370">
        <f t="shared" si="20"/>
        <v>0</v>
      </c>
      <c r="T370" s="1">
        <f t="shared" si="22"/>
        <v>0</v>
      </c>
      <c r="U370" s="1">
        <f t="shared" si="23"/>
        <v>0</v>
      </c>
    </row>
    <row r="371" spans="1:21" x14ac:dyDescent="0.3">
      <c r="A371" t="s">
        <v>57</v>
      </c>
      <c r="B371" t="s">
        <v>276</v>
      </c>
      <c r="C371" t="s">
        <v>580</v>
      </c>
      <c r="D371" t="s">
        <v>581</v>
      </c>
      <c r="E371" s="2">
        <v>99.337999999999994</v>
      </c>
      <c r="F371" s="2">
        <v>0</v>
      </c>
      <c r="G371" s="2">
        <v>49.668999999999997</v>
      </c>
      <c r="H371" s="2">
        <v>-39.904499999999999</v>
      </c>
      <c r="I371" s="1">
        <v>1</v>
      </c>
      <c r="J371" s="1">
        <v>0.90170428234915101</v>
      </c>
      <c r="K371" s="1">
        <v>0.90680535891941205</v>
      </c>
      <c r="L371" s="1">
        <v>0.49489892342973901</v>
      </c>
      <c r="M371" s="2"/>
      <c r="N371" s="2"/>
      <c r="P371" s="1">
        <f>I371-'Passo 1'!I371</f>
        <v>6.3575872274457046E-2</v>
      </c>
      <c r="Q371" s="1">
        <f>J371-'Passo 1'!J371</f>
        <v>8.9849805713826059E-2</v>
      </c>
      <c r="R371" s="1">
        <f t="shared" si="21"/>
        <v>99.337999999999994</v>
      </c>
      <c r="S371">
        <f t="shared" si="20"/>
        <v>89.573499999999953</v>
      </c>
      <c r="T371" s="1">
        <f t="shared" si="22"/>
        <v>90.080230744336546</v>
      </c>
      <c r="U371" s="1">
        <f t="shared" si="23"/>
        <v>49.162269255663411</v>
      </c>
    </row>
    <row r="372" spans="1:21" x14ac:dyDescent="0.3">
      <c r="A372" t="s">
        <v>57</v>
      </c>
      <c r="B372" t="s">
        <v>277</v>
      </c>
      <c r="C372" t="s">
        <v>576</v>
      </c>
      <c r="D372" t="s">
        <v>577</v>
      </c>
      <c r="E372" s="2">
        <v>28.271999999999998</v>
      </c>
      <c r="F372" s="2">
        <v>0</v>
      </c>
      <c r="G372" s="2">
        <v>14.109500000000001</v>
      </c>
      <c r="H372" s="2">
        <v>-14.111000000000001</v>
      </c>
      <c r="I372" s="1">
        <v>0.99906267685342398</v>
      </c>
      <c r="J372" s="1">
        <v>0.99911573288058797</v>
      </c>
      <c r="K372" s="1">
        <v>0.94720430078909801</v>
      </c>
      <c r="L372" s="1">
        <v>0.55097410894491405</v>
      </c>
      <c r="M372" s="2"/>
      <c r="N372" s="2"/>
      <c r="P372" s="1">
        <f>I372-'Passo 1'!I372</f>
        <v>4.8617006225241011E-2</v>
      </c>
      <c r="Q372" s="1">
        <f>J372-'Passo 1'!J372</f>
        <v>4.7821165817769962E-2</v>
      </c>
      <c r="R372" s="1">
        <f t="shared" si="21"/>
        <v>28.2455</v>
      </c>
      <c r="S372">
        <f t="shared" si="20"/>
        <v>28.246999999999982</v>
      </c>
      <c r="T372" s="1">
        <f t="shared" si="22"/>
        <v>26.779359991909377</v>
      </c>
      <c r="U372" s="1">
        <f t="shared" si="23"/>
        <v>15.577140008090609</v>
      </c>
    </row>
    <row r="373" spans="1:21" x14ac:dyDescent="0.3">
      <c r="A373" t="s">
        <v>57</v>
      </c>
      <c r="B373" t="s">
        <v>278</v>
      </c>
      <c r="C373" t="s">
        <v>576</v>
      </c>
      <c r="D373" t="s">
        <v>577</v>
      </c>
      <c r="E373" s="2">
        <v>37.235999999999997</v>
      </c>
      <c r="F373" s="2">
        <v>0</v>
      </c>
      <c r="G373" s="2">
        <v>18.511500000000002</v>
      </c>
      <c r="H373" s="2">
        <v>-18.5975</v>
      </c>
      <c r="I373" s="1">
        <v>0.99713986464711502</v>
      </c>
      <c r="J373" s="1">
        <v>0.99944945751423298</v>
      </c>
      <c r="K373" s="1">
        <v>0.95500813428804099</v>
      </c>
      <c r="L373" s="1">
        <v>0.541581187873307</v>
      </c>
      <c r="M373" s="2"/>
      <c r="N373" s="2"/>
      <c r="P373" s="1">
        <f>I373-'Passo 1'!I373</f>
        <v>6.6897625953378004E-2</v>
      </c>
      <c r="Q373" s="1">
        <f>J373-'Passo 1'!J373</f>
        <v>3.8511118272638978E-2</v>
      </c>
      <c r="R373" s="1">
        <f t="shared" si="21"/>
        <v>37.129499999999972</v>
      </c>
      <c r="S373">
        <f t="shared" si="20"/>
        <v>37.215499999999977</v>
      </c>
      <c r="T373" s="1">
        <f t="shared" si="22"/>
        <v>35.56068288834949</v>
      </c>
      <c r="U373" s="1">
        <f t="shared" si="23"/>
        <v>20.166317111650457</v>
      </c>
    </row>
    <row r="374" spans="1:21" x14ac:dyDescent="0.3">
      <c r="A374" t="s">
        <v>57</v>
      </c>
      <c r="B374" t="s">
        <v>279</v>
      </c>
      <c r="C374" t="s">
        <v>576</v>
      </c>
      <c r="D374" t="s">
        <v>577</v>
      </c>
      <c r="E374" s="2">
        <v>55.954000000000001</v>
      </c>
      <c r="F374" s="2">
        <v>0</v>
      </c>
      <c r="G374" s="2">
        <v>27.971</v>
      </c>
      <c r="H374" s="2">
        <v>-27.977</v>
      </c>
      <c r="I374" s="1">
        <v>0.999892769060299</v>
      </c>
      <c r="J374" s="1">
        <v>1</v>
      </c>
      <c r="K374" s="1">
        <v>0.93556130263844695</v>
      </c>
      <c r="L374" s="1">
        <v>0.56433146642185095</v>
      </c>
      <c r="M374" s="2"/>
      <c r="N374" s="2"/>
      <c r="P374" s="1">
        <f>I374-'Passo 1'!I374</f>
        <v>0.10456803803124004</v>
      </c>
      <c r="Q374" s="1">
        <f>J374-'Passo 1'!J374</f>
        <v>4.652929191836197E-2</v>
      </c>
      <c r="R374" s="1">
        <f t="shared" si="21"/>
        <v>55.947999999999972</v>
      </c>
      <c r="S374">
        <f t="shared" si="20"/>
        <v>55.954000000000001</v>
      </c>
      <c r="T374" s="1">
        <f t="shared" si="22"/>
        <v>52.34839712783166</v>
      </c>
      <c r="U374" s="1">
        <f t="shared" si="23"/>
        <v>31.576602872168248</v>
      </c>
    </row>
    <row r="375" spans="1:21" x14ac:dyDescent="0.3">
      <c r="A375" t="s">
        <v>57</v>
      </c>
      <c r="B375" t="s">
        <v>280</v>
      </c>
      <c r="C375" t="s">
        <v>576</v>
      </c>
      <c r="D375" t="s">
        <v>577</v>
      </c>
      <c r="E375" s="2">
        <v>10.395</v>
      </c>
      <c r="F375" s="2">
        <v>0</v>
      </c>
      <c r="G375" s="2">
        <v>5.1974999999999998</v>
      </c>
      <c r="H375" s="2">
        <v>-5.1974999999999998</v>
      </c>
      <c r="I375" s="1">
        <v>1</v>
      </c>
      <c r="J375" s="1">
        <v>1</v>
      </c>
      <c r="K375" s="1">
        <v>0.99954724078510404</v>
      </c>
      <c r="L375" s="1">
        <v>0.50045275921489496</v>
      </c>
      <c r="M375" s="2"/>
      <c r="N375" s="2"/>
      <c r="P375" s="1">
        <f>I375-'Passo 1'!I375</f>
        <v>0</v>
      </c>
      <c r="Q375" s="1">
        <f>J375-'Passo 1'!J375</f>
        <v>0</v>
      </c>
      <c r="R375" s="1">
        <f t="shared" si="21"/>
        <v>10.395</v>
      </c>
      <c r="S375">
        <f t="shared" si="20"/>
        <v>10.395</v>
      </c>
      <c r="T375" s="1">
        <f t="shared" si="22"/>
        <v>10.390293567961155</v>
      </c>
      <c r="U375" s="1">
        <f t="shared" si="23"/>
        <v>5.2022064320388326</v>
      </c>
    </row>
    <row r="376" spans="1:21" x14ac:dyDescent="0.3">
      <c r="A376" t="s">
        <v>57</v>
      </c>
      <c r="B376" t="s">
        <v>281</v>
      </c>
      <c r="C376" t="s">
        <v>580</v>
      </c>
      <c r="D376" t="s">
        <v>581</v>
      </c>
      <c r="E376" s="2">
        <v>52.899000000000001</v>
      </c>
      <c r="F376" s="2">
        <v>0</v>
      </c>
      <c r="G376" s="2">
        <v>20.811</v>
      </c>
      <c r="H376" s="2">
        <v>-18.887</v>
      </c>
      <c r="I376" s="1">
        <v>0.89341008336641503</v>
      </c>
      <c r="J376" s="1">
        <v>0.85703888542316398</v>
      </c>
      <c r="K376" s="1">
        <v>0.80115685744421905</v>
      </c>
      <c r="L376" s="1">
        <v>0.44929211134536101</v>
      </c>
      <c r="M376" s="2"/>
      <c r="N376" s="2"/>
      <c r="P376" s="1">
        <f>I376-'Passo 1'!I376</f>
        <v>4.6929053479272009E-2</v>
      </c>
      <c r="Q376" s="1">
        <f>J376-'Passo 1'!J376</f>
        <v>5.0927238700164024E-2</v>
      </c>
      <c r="R376" s="1">
        <f t="shared" si="21"/>
        <v>47.260499999999986</v>
      </c>
      <c r="S376">
        <f t="shared" si="20"/>
        <v>45.336499999999951</v>
      </c>
      <c r="T376" s="1">
        <f t="shared" si="22"/>
        <v>42.380396601941747</v>
      </c>
      <c r="U376" s="1">
        <f t="shared" si="23"/>
        <v>23.767103398058254</v>
      </c>
    </row>
    <row r="377" spans="1:21" x14ac:dyDescent="0.3">
      <c r="A377" t="s">
        <v>57</v>
      </c>
      <c r="B377" t="s">
        <v>282</v>
      </c>
      <c r="C377" t="s">
        <v>580</v>
      </c>
      <c r="D377" t="s">
        <v>581</v>
      </c>
      <c r="E377" s="2">
        <v>49.335999999999999</v>
      </c>
      <c r="F377" s="2">
        <v>0</v>
      </c>
      <c r="G377" s="2">
        <v>17.798500000000001</v>
      </c>
      <c r="H377" s="2">
        <v>-16.579499999999999</v>
      </c>
      <c r="I377" s="1">
        <v>0.86076090481595502</v>
      </c>
      <c r="J377" s="1">
        <v>0.83605278093075996</v>
      </c>
      <c r="K377" s="1">
        <v>0.75866883737063795</v>
      </c>
      <c r="L377" s="1">
        <v>0.43814484837607798</v>
      </c>
      <c r="M377" s="2"/>
      <c r="N377" s="2"/>
      <c r="P377" s="1">
        <f>I377-'Passo 1'!I377</f>
        <v>1.1046700178368063E-2</v>
      </c>
      <c r="Q377" s="1">
        <f>J377-'Passo 1'!J377</f>
        <v>6.5165396465055925E-2</v>
      </c>
      <c r="R377" s="1">
        <f t="shared" si="21"/>
        <v>42.466499999999954</v>
      </c>
      <c r="S377">
        <f t="shared" si="20"/>
        <v>41.247499999999974</v>
      </c>
      <c r="T377" s="1">
        <f t="shared" si="22"/>
        <v>37.429685760517792</v>
      </c>
      <c r="U377" s="1">
        <f t="shared" si="23"/>
        <v>21.616314239482183</v>
      </c>
    </row>
    <row r="378" spans="1:21" x14ac:dyDescent="0.3">
      <c r="A378" t="s">
        <v>57</v>
      </c>
      <c r="B378" t="s">
        <v>694</v>
      </c>
      <c r="C378" t="s">
        <v>580</v>
      </c>
      <c r="D378" t="s">
        <v>581</v>
      </c>
      <c r="E378" s="2">
        <v>9.0039999999999996</v>
      </c>
      <c r="F378" s="2">
        <v>2.7E-2</v>
      </c>
      <c r="G378" s="2">
        <v>2.4344999999999999</v>
      </c>
      <c r="H378" s="2">
        <v>-2.6659999999999902</v>
      </c>
      <c r="I378" s="1">
        <v>0.76888049755664101</v>
      </c>
      <c r="J378" s="1">
        <v>0.79459129275877305</v>
      </c>
      <c r="K378" s="1">
        <v>0.54748352584036697</v>
      </c>
      <c r="L378" s="1">
        <v>0.51748759810454603</v>
      </c>
      <c r="M378" s="2"/>
      <c r="N378" s="2"/>
      <c r="P378" s="1">
        <f>I378-'Passo 1'!I378</f>
        <v>6.6692581075078028E-2</v>
      </c>
      <c r="Q378" s="1">
        <f>J378-'Passo 1'!J378</f>
        <v>0.11167258996001705</v>
      </c>
      <c r="R378" s="1">
        <f t="shared" si="21"/>
        <v>6.9229999999999956</v>
      </c>
      <c r="S378">
        <f t="shared" si="20"/>
        <v>7.1544999999999925</v>
      </c>
      <c r="T378" s="1">
        <f t="shared" si="22"/>
        <v>4.9295416666666636</v>
      </c>
      <c r="U378" s="1">
        <f t="shared" si="23"/>
        <v>4.6594583333333324</v>
      </c>
    </row>
    <row r="379" spans="1:21" x14ac:dyDescent="0.3">
      <c r="A379" t="s">
        <v>57</v>
      </c>
      <c r="B379" t="s">
        <v>695</v>
      </c>
      <c r="C379" t="s">
        <v>580</v>
      </c>
      <c r="D379" t="s">
        <v>581</v>
      </c>
      <c r="E379" s="2">
        <v>7.5579999999999998</v>
      </c>
      <c r="F379" s="2">
        <v>0.161</v>
      </c>
      <c r="G379" s="2">
        <v>2.0575000000000001</v>
      </c>
      <c r="H379" s="2">
        <v>-2.6309999999999998</v>
      </c>
      <c r="I379" s="1">
        <v>0.761577136808679</v>
      </c>
      <c r="J379" s="1">
        <v>0.83745699920613903</v>
      </c>
      <c r="K379" s="1">
        <v>0.56084061039075594</v>
      </c>
      <c r="L379" s="1">
        <v>0.54884449148804804</v>
      </c>
      <c r="M379" s="2"/>
      <c r="N379" s="2"/>
      <c r="P379" s="1">
        <f>I379-'Passo 1'!I379</f>
        <v>7.4622916115373972E-2</v>
      </c>
      <c r="Q379" s="1">
        <f>J379-'Passo 1'!J379</f>
        <v>0.14871659169092399</v>
      </c>
      <c r="R379" s="1">
        <f t="shared" si="21"/>
        <v>5.7559999999999958</v>
      </c>
      <c r="S379">
        <f t="shared" si="20"/>
        <v>6.3294999999999986</v>
      </c>
      <c r="T379" s="1">
        <f t="shared" si="22"/>
        <v>4.238833333333333</v>
      </c>
      <c r="U379" s="1">
        <f t="shared" si="23"/>
        <v>4.1481666666666666</v>
      </c>
    </row>
    <row r="380" spans="1:21" x14ac:dyDescent="0.3">
      <c r="A380" t="s">
        <v>57</v>
      </c>
      <c r="B380" t="s">
        <v>283</v>
      </c>
      <c r="C380" t="s">
        <v>574</v>
      </c>
      <c r="D380" t="s">
        <v>575</v>
      </c>
      <c r="E380" s="2">
        <v>482.40300000000002</v>
      </c>
      <c r="F380" s="2">
        <v>0</v>
      </c>
      <c r="G380" s="2">
        <v>189.63249999999999</v>
      </c>
      <c r="H380" s="2">
        <v>-225.04</v>
      </c>
      <c r="I380" s="1">
        <v>0.89309975269639696</v>
      </c>
      <c r="J380" s="1">
        <v>0.96649792808087798</v>
      </c>
      <c r="K380" s="1">
        <v>0.58458265419718702</v>
      </c>
      <c r="L380" s="1">
        <v>0.77501502658008703</v>
      </c>
      <c r="M380" s="2"/>
      <c r="N380" s="2"/>
      <c r="P380" s="1">
        <f>I380-'Passo 1'!I380</f>
        <v>0</v>
      </c>
      <c r="Q380" s="1">
        <f>J380-'Passo 1'!J380</f>
        <v>1.2437733596180056E-3</v>
      </c>
      <c r="R380" s="1">
        <f t="shared" si="21"/>
        <v>430.834</v>
      </c>
      <c r="S380">
        <f t="shared" si="20"/>
        <v>466.2414999999998</v>
      </c>
      <c r="T380" s="1">
        <f t="shared" si="22"/>
        <v>282.00442613268564</v>
      </c>
      <c r="U380" s="1">
        <f t="shared" si="23"/>
        <v>373.86957386731376</v>
      </c>
    </row>
    <row r="381" spans="1:21" x14ac:dyDescent="0.3">
      <c r="A381" t="s">
        <v>57</v>
      </c>
      <c r="B381" t="s">
        <v>696</v>
      </c>
      <c r="C381" t="s">
        <v>34</v>
      </c>
      <c r="D381" t="s">
        <v>35</v>
      </c>
      <c r="E381" s="2">
        <v>48.704999999999998</v>
      </c>
      <c r="F381" s="2">
        <v>0</v>
      </c>
      <c r="G381" s="2">
        <v>23.262</v>
      </c>
      <c r="H381" s="2">
        <v>-22.51</v>
      </c>
      <c r="I381" s="1">
        <v>0.97761010163227602</v>
      </c>
      <c r="J381" s="1">
        <v>0.96217020839749501</v>
      </c>
      <c r="K381" s="1">
        <v>0.87445168551247998</v>
      </c>
      <c r="L381" s="1">
        <v>0.56532862451729005</v>
      </c>
      <c r="M381" s="2"/>
      <c r="N381" s="2"/>
      <c r="P381" s="1">
        <f>I381-'Passo 1'!I381</f>
        <v>0.13456523970844902</v>
      </c>
      <c r="Q381" s="1">
        <f>J381-'Passo 1'!J381</f>
        <v>6.816548608972961E-3</v>
      </c>
      <c r="R381" s="1">
        <f t="shared" si="21"/>
        <v>47.6145</v>
      </c>
      <c r="S381">
        <f t="shared" si="20"/>
        <v>46.86249999999999</v>
      </c>
      <c r="T381" s="1">
        <f t="shared" si="22"/>
        <v>42.590169342885339</v>
      </c>
      <c r="U381" s="1">
        <f t="shared" si="23"/>
        <v>27.534330657114612</v>
      </c>
    </row>
    <row r="382" spans="1:21" x14ac:dyDescent="0.3">
      <c r="A382" t="s">
        <v>57</v>
      </c>
      <c r="B382" t="s">
        <v>284</v>
      </c>
      <c r="C382" t="s">
        <v>576</v>
      </c>
      <c r="D382" t="s">
        <v>583</v>
      </c>
      <c r="E382" s="2">
        <v>380.51100000000002</v>
      </c>
      <c r="F382" s="2">
        <v>0</v>
      </c>
      <c r="G382" s="2">
        <v>182.83750000000001</v>
      </c>
      <c r="H382" s="2">
        <v>-189.94149999999999</v>
      </c>
      <c r="I382" s="1">
        <v>0.98050516279424205</v>
      </c>
      <c r="J382" s="1">
        <v>0.99917479389557695</v>
      </c>
      <c r="K382" s="1">
        <v>0.97838141386163002</v>
      </c>
      <c r="L382" s="1">
        <v>0.50129854282818898</v>
      </c>
      <c r="M382" s="2"/>
      <c r="N382" s="2"/>
      <c r="P382" s="1">
        <f>I382-'Passo 1'!I382</f>
        <v>0.17659279232400604</v>
      </c>
      <c r="Q382" s="1">
        <f>J382-'Passo 1'!J382</f>
        <v>9.4508437338210904E-2</v>
      </c>
      <c r="R382" s="1">
        <f t="shared" si="21"/>
        <v>373.09299999999985</v>
      </c>
      <c r="S382">
        <f t="shared" si="20"/>
        <v>380.19699999999989</v>
      </c>
      <c r="T382" s="1">
        <f t="shared" si="22"/>
        <v>372.28489016990272</v>
      </c>
      <c r="U382" s="1">
        <f t="shared" si="23"/>
        <v>190.74960983009703</v>
      </c>
    </row>
    <row r="383" spans="1:21" x14ac:dyDescent="0.3">
      <c r="A383" t="s">
        <v>57</v>
      </c>
      <c r="B383" t="s">
        <v>697</v>
      </c>
      <c r="C383" t="s">
        <v>576</v>
      </c>
      <c r="D383" t="s">
        <v>14</v>
      </c>
      <c r="E383" s="2">
        <v>0</v>
      </c>
      <c r="F383" s="2">
        <v>0</v>
      </c>
      <c r="G383" s="2">
        <v>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M383" s="2"/>
      <c r="N383" s="2"/>
      <c r="P383" s="1">
        <f>I383-'Passo 1'!I383</f>
        <v>0</v>
      </c>
      <c r="Q383" s="1">
        <f>J383-'Passo 1'!J383</f>
        <v>0</v>
      </c>
      <c r="R383" s="1">
        <f t="shared" si="21"/>
        <v>0</v>
      </c>
      <c r="S383">
        <f t="shared" si="20"/>
        <v>0</v>
      </c>
      <c r="T383" s="1">
        <f t="shared" si="22"/>
        <v>0</v>
      </c>
      <c r="U383" s="1">
        <f t="shared" si="23"/>
        <v>0</v>
      </c>
    </row>
    <row r="384" spans="1:21" x14ac:dyDescent="0.3">
      <c r="A384" t="s">
        <v>57</v>
      </c>
      <c r="B384" t="s">
        <v>698</v>
      </c>
      <c r="C384" t="s">
        <v>580</v>
      </c>
      <c r="D384" t="s">
        <v>581</v>
      </c>
      <c r="E384" s="2">
        <v>105</v>
      </c>
      <c r="F384" s="2">
        <v>0</v>
      </c>
      <c r="G384" s="2">
        <v>52.5</v>
      </c>
      <c r="H384" s="2">
        <v>-44.5</v>
      </c>
      <c r="I384" s="1">
        <v>1</v>
      </c>
      <c r="J384" s="1">
        <v>0.92380952380952297</v>
      </c>
      <c r="K384" s="1">
        <v>0.89812326090306605</v>
      </c>
      <c r="L384" s="1">
        <v>0.52568626290645704</v>
      </c>
      <c r="M384" s="2"/>
      <c r="N384" s="2"/>
      <c r="P384" s="1">
        <f>I384-'Passo 1'!I384</f>
        <v>9.1952380952381008E-2</v>
      </c>
      <c r="Q384" s="1">
        <f>J384-'Passo 1'!J384</f>
        <v>0.15374761904761902</v>
      </c>
      <c r="R384" s="1">
        <f t="shared" si="21"/>
        <v>105</v>
      </c>
      <c r="S384">
        <f t="shared" si="20"/>
        <v>96.999999999999915</v>
      </c>
      <c r="T384" s="1">
        <f t="shared" si="22"/>
        <v>94.30294239482194</v>
      </c>
      <c r="U384" s="1">
        <f t="shared" si="23"/>
        <v>55.197057605177989</v>
      </c>
    </row>
    <row r="385" spans="1:21" x14ac:dyDescent="0.3">
      <c r="A385" t="s">
        <v>57</v>
      </c>
      <c r="B385" t="s">
        <v>699</v>
      </c>
      <c r="C385" t="s">
        <v>580</v>
      </c>
      <c r="D385" t="s">
        <v>581</v>
      </c>
      <c r="E385" s="2">
        <v>6.2279999999999998</v>
      </c>
      <c r="F385" s="2">
        <v>3.6999999999999998E-2</v>
      </c>
      <c r="G385" s="2">
        <v>1.544</v>
      </c>
      <c r="H385" s="2">
        <v>-1.95549999999999</v>
      </c>
      <c r="I385" s="1">
        <v>0.74494219653179194</v>
      </c>
      <c r="J385" s="1">
        <v>0.81101477199743099</v>
      </c>
      <c r="K385" s="1">
        <v>0.50540903982016605</v>
      </c>
      <c r="L385" s="1">
        <v>0.55351838471419301</v>
      </c>
      <c r="M385" s="2"/>
      <c r="N385" s="2"/>
      <c r="P385" s="1">
        <f>I385-'Passo 1'!I385</f>
        <v>5.1782273603082962E-2</v>
      </c>
      <c r="Q385" s="1">
        <f>J385-'Passo 1'!J385</f>
        <v>0.10268143866409796</v>
      </c>
      <c r="R385" s="1">
        <f t="shared" si="21"/>
        <v>4.6395</v>
      </c>
      <c r="S385">
        <f t="shared" si="20"/>
        <v>5.0510000000000002</v>
      </c>
      <c r="T385" s="1">
        <f t="shared" si="22"/>
        <v>3.1476874999999942</v>
      </c>
      <c r="U385" s="1">
        <f t="shared" si="23"/>
        <v>3.447312499999994</v>
      </c>
    </row>
    <row r="386" spans="1:21" x14ac:dyDescent="0.3">
      <c r="A386" t="s">
        <v>57</v>
      </c>
      <c r="B386" t="s">
        <v>285</v>
      </c>
      <c r="C386" t="s">
        <v>576</v>
      </c>
      <c r="D386" t="s">
        <v>577</v>
      </c>
      <c r="E386" s="2">
        <v>172.44</v>
      </c>
      <c r="F386" s="2">
        <v>0</v>
      </c>
      <c r="G386" s="2">
        <v>71.894000000000005</v>
      </c>
      <c r="H386" s="2">
        <v>-79.343999999999994</v>
      </c>
      <c r="I386" s="1">
        <v>0.91692182788216103</v>
      </c>
      <c r="J386" s="1">
        <v>0.96012526096033401</v>
      </c>
      <c r="K386" s="1">
        <v>0.86764315705889705</v>
      </c>
      <c r="L386" s="1">
        <v>0.509403931783598</v>
      </c>
      <c r="M386" s="2"/>
      <c r="N386" s="2"/>
      <c r="P386" s="1">
        <f>I386-'Passo 1'!I386</f>
        <v>9.9382393876130015E-2</v>
      </c>
      <c r="Q386" s="1">
        <f>J386-'Passo 1'!J386</f>
        <v>7.9494316863837011E-2</v>
      </c>
      <c r="R386" s="1">
        <f t="shared" si="21"/>
        <v>158.11399999999983</v>
      </c>
      <c r="S386">
        <f t="shared" ref="S386:S449" si="24">J386*E386</f>
        <v>165.56399999999999</v>
      </c>
      <c r="T386" s="1">
        <f t="shared" si="22"/>
        <v>149.61638600323622</v>
      </c>
      <c r="U386" s="1">
        <f t="shared" si="23"/>
        <v>87.841613996763641</v>
      </c>
    </row>
    <row r="387" spans="1:21" x14ac:dyDescent="0.3">
      <c r="A387" t="s">
        <v>57</v>
      </c>
      <c r="B387" t="s">
        <v>286</v>
      </c>
      <c r="C387" t="s">
        <v>576</v>
      </c>
      <c r="D387" t="s">
        <v>583</v>
      </c>
      <c r="E387" s="2">
        <v>49.982999999999997</v>
      </c>
      <c r="F387" s="2">
        <v>0</v>
      </c>
      <c r="G387" s="2">
        <v>24.99</v>
      </c>
      <c r="H387" s="2">
        <v>-24.989000000000001</v>
      </c>
      <c r="I387" s="1">
        <v>0.99996998979652996</v>
      </c>
      <c r="J387" s="1">
        <v>0.999949982994218</v>
      </c>
      <c r="K387" s="1">
        <v>0.99439491627800702</v>
      </c>
      <c r="L387" s="1">
        <v>0.50552505651274204</v>
      </c>
      <c r="M387" s="2"/>
      <c r="N387" s="2"/>
      <c r="P387" s="1">
        <f>I387-'Passo 1'!I387</f>
        <v>0.12974411299841893</v>
      </c>
      <c r="Q387" s="1">
        <f>J387-'Passo 1'!J387</f>
        <v>4.3224696396774953E-2</v>
      </c>
      <c r="R387" s="1">
        <f t="shared" ref="R387:R450" si="25">I387*E387</f>
        <v>49.981499999999954</v>
      </c>
      <c r="S387">
        <f t="shared" si="24"/>
        <v>49.980499999999992</v>
      </c>
      <c r="T387" s="1">
        <f t="shared" ref="T387:T450" si="26">K387*E387</f>
        <v>49.702841100323624</v>
      </c>
      <c r="U387" s="1">
        <f t="shared" ref="U387:U450" si="27">L387*E387</f>
        <v>25.267658899676384</v>
      </c>
    </row>
    <row r="388" spans="1:21" x14ac:dyDescent="0.3">
      <c r="A388" t="s">
        <v>57</v>
      </c>
      <c r="B388" t="s">
        <v>700</v>
      </c>
      <c r="C388" t="s">
        <v>576</v>
      </c>
      <c r="D388" t="s">
        <v>577</v>
      </c>
      <c r="E388" s="2">
        <v>0</v>
      </c>
      <c r="F388" s="2">
        <v>0</v>
      </c>
      <c r="G388" s="2">
        <v>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M388" s="2"/>
      <c r="N388" s="2"/>
      <c r="P388" s="1">
        <f>I388-'Passo 1'!I388</f>
        <v>0</v>
      </c>
      <c r="Q388" s="1">
        <f>J388-'Passo 1'!J388</f>
        <v>0</v>
      </c>
      <c r="R388" s="1">
        <f t="shared" si="25"/>
        <v>0</v>
      </c>
      <c r="S388">
        <f t="shared" si="24"/>
        <v>0</v>
      </c>
      <c r="T388" s="1">
        <f t="shared" si="26"/>
        <v>0</v>
      </c>
      <c r="U388" s="1">
        <f t="shared" si="27"/>
        <v>0</v>
      </c>
    </row>
    <row r="389" spans="1:21" x14ac:dyDescent="0.3">
      <c r="A389" t="s">
        <v>57</v>
      </c>
      <c r="B389" t="s">
        <v>701</v>
      </c>
      <c r="C389" t="s">
        <v>576</v>
      </c>
      <c r="D389" t="s">
        <v>577</v>
      </c>
      <c r="E389" s="2">
        <v>202.52799999999999</v>
      </c>
      <c r="F389" s="2">
        <v>0</v>
      </c>
      <c r="G389" s="2">
        <v>92.775000000000006</v>
      </c>
      <c r="H389" s="2">
        <v>-95.15</v>
      </c>
      <c r="I389" s="1">
        <v>0.95808480802654405</v>
      </c>
      <c r="J389" s="1">
        <v>0.96981158160846803</v>
      </c>
      <c r="K389" s="1">
        <v>0.94421824062139303</v>
      </c>
      <c r="L389" s="1">
        <v>0.483678149013619</v>
      </c>
      <c r="M389" s="2"/>
      <c r="N389" s="2"/>
      <c r="P389" s="1">
        <f>I389-'Passo 1'!I389</f>
        <v>8.7740954337178101E-2</v>
      </c>
      <c r="Q389" s="1">
        <f>J389-'Passo 1'!J389</f>
        <v>4.3327342392162072E-2</v>
      </c>
      <c r="R389" s="1">
        <f t="shared" si="25"/>
        <v>194.0389999999999</v>
      </c>
      <c r="S389">
        <f t="shared" si="24"/>
        <v>196.41399999999982</v>
      </c>
      <c r="T389" s="1">
        <f t="shared" si="26"/>
        <v>191.23063183656947</v>
      </c>
      <c r="U389" s="1">
        <f t="shared" si="27"/>
        <v>97.958368163430222</v>
      </c>
    </row>
    <row r="390" spans="1:21" x14ac:dyDescent="0.3">
      <c r="A390" t="s">
        <v>57</v>
      </c>
      <c r="B390" t="s">
        <v>287</v>
      </c>
      <c r="C390" t="s">
        <v>576</v>
      </c>
      <c r="D390" t="s">
        <v>589</v>
      </c>
      <c r="E390" s="2">
        <v>0</v>
      </c>
      <c r="F390" s="2">
        <v>0</v>
      </c>
      <c r="G390" s="2">
        <v>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M390" s="2"/>
      <c r="N390" s="2"/>
      <c r="P390" s="1">
        <f>I390-'Passo 1'!I390</f>
        <v>0</v>
      </c>
      <c r="Q390" s="1">
        <f>J390-'Passo 1'!J390</f>
        <v>0</v>
      </c>
      <c r="R390" s="1">
        <f t="shared" si="25"/>
        <v>0</v>
      </c>
      <c r="S390">
        <f t="shared" si="24"/>
        <v>0</v>
      </c>
      <c r="T390" s="1">
        <f t="shared" si="26"/>
        <v>0</v>
      </c>
      <c r="U390" s="1">
        <f t="shared" si="27"/>
        <v>0</v>
      </c>
    </row>
    <row r="391" spans="1:21" x14ac:dyDescent="0.3">
      <c r="A391" t="s">
        <v>57</v>
      </c>
      <c r="B391" t="s">
        <v>288</v>
      </c>
      <c r="C391" t="s">
        <v>576</v>
      </c>
      <c r="D391" t="s">
        <v>583</v>
      </c>
      <c r="E391" s="2">
        <v>160.072</v>
      </c>
      <c r="F391" s="2">
        <v>0</v>
      </c>
      <c r="G391" s="2">
        <v>58.497500000000002</v>
      </c>
      <c r="H391" s="2">
        <v>-76.418499999999995</v>
      </c>
      <c r="I391" s="1">
        <v>0.86544492478384705</v>
      </c>
      <c r="J391" s="1">
        <v>0.97740079464241003</v>
      </c>
      <c r="K391" s="1">
        <v>0.86186591810366597</v>
      </c>
      <c r="L391" s="1">
        <v>0.48097980132259099</v>
      </c>
      <c r="M391" s="2"/>
      <c r="N391" s="2"/>
      <c r="P391" s="1">
        <f>I391-'Passo 1'!I391</f>
        <v>9.1793068119346066E-2</v>
      </c>
      <c r="Q391" s="1">
        <f>J391-'Passo 1'!J391</f>
        <v>0.12106114748363206</v>
      </c>
      <c r="R391" s="1">
        <f t="shared" si="25"/>
        <v>138.53349999999998</v>
      </c>
      <c r="S391">
        <f t="shared" si="24"/>
        <v>156.45449999999985</v>
      </c>
      <c r="T391" s="1">
        <f t="shared" si="26"/>
        <v>137.96060124269002</v>
      </c>
      <c r="U391" s="1">
        <f t="shared" si="27"/>
        <v>76.991398757309781</v>
      </c>
    </row>
    <row r="392" spans="1:21" x14ac:dyDescent="0.3">
      <c r="A392" t="s">
        <v>57</v>
      </c>
      <c r="B392" t="s">
        <v>702</v>
      </c>
      <c r="C392" t="s">
        <v>576</v>
      </c>
      <c r="D392" t="s">
        <v>583</v>
      </c>
      <c r="E392" s="2">
        <v>158.97800000000001</v>
      </c>
      <c r="F392" s="2">
        <v>0</v>
      </c>
      <c r="G392" s="2">
        <v>60.216499999999897</v>
      </c>
      <c r="H392" s="2">
        <v>-77.817499999999995</v>
      </c>
      <c r="I392" s="1">
        <v>0.87877253456452997</v>
      </c>
      <c r="J392" s="1">
        <v>0.98948596661173205</v>
      </c>
      <c r="K392" s="1">
        <v>0.87521433635130297</v>
      </c>
      <c r="L392" s="1">
        <v>0.49304416482496</v>
      </c>
      <c r="M392" s="2"/>
      <c r="N392" s="2"/>
      <c r="P392" s="1">
        <f>I392-'Passo 1'!I392</f>
        <v>0.13211261935613694</v>
      </c>
      <c r="Q392" s="1">
        <f>J392-'Passo 1'!J392</f>
        <v>0.1291876863465381</v>
      </c>
      <c r="R392" s="1">
        <f t="shared" si="25"/>
        <v>139.70549999999986</v>
      </c>
      <c r="S392">
        <f t="shared" si="24"/>
        <v>157.30649999999994</v>
      </c>
      <c r="T392" s="1">
        <f t="shared" si="26"/>
        <v>139.13982476445744</v>
      </c>
      <c r="U392" s="1">
        <f t="shared" si="27"/>
        <v>78.383175235542495</v>
      </c>
    </row>
    <row r="393" spans="1:21" x14ac:dyDescent="0.3">
      <c r="A393" t="s">
        <v>57</v>
      </c>
      <c r="B393" t="s">
        <v>289</v>
      </c>
      <c r="C393" t="s">
        <v>576</v>
      </c>
      <c r="D393" t="s">
        <v>577</v>
      </c>
      <c r="E393" s="2">
        <v>559.08100000000002</v>
      </c>
      <c r="F393" s="2">
        <v>0</v>
      </c>
      <c r="G393" s="2">
        <v>225.31949999999901</v>
      </c>
      <c r="H393" s="2">
        <v>-279.54050000000001</v>
      </c>
      <c r="I393" s="1">
        <v>0.903017630718983</v>
      </c>
      <c r="J393" s="1">
        <v>1</v>
      </c>
      <c r="K393" s="1">
        <v>0.89495491333908705</v>
      </c>
      <c r="L393" s="1">
        <v>0.50806271737989495</v>
      </c>
      <c r="M393" s="2"/>
      <c r="N393" s="2"/>
      <c r="P393" s="1">
        <f>I393-'Passo 1'!I393</f>
        <v>0.10346622403551498</v>
      </c>
      <c r="Q393" s="1">
        <f>J393-'Passo 1'!J393</f>
        <v>6.6168408513257004E-2</v>
      </c>
      <c r="R393" s="1">
        <f t="shared" si="25"/>
        <v>504.85999999999973</v>
      </c>
      <c r="S393">
        <f t="shared" si="24"/>
        <v>559.08100000000002</v>
      </c>
      <c r="T393" s="1">
        <f t="shared" si="26"/>
        <v>500.35228790453016</v>
      </c>
      <c r="U393" s="1">
        <f t="shared" si="27"/>
        <v>284.04821209546907</v>
      </c>
    </row>
    <row r="394" spans="1:21" x14ac:dyDescent="0.3">
      <c r="A394" t="s">
        <v>57</v>
      </c>
      <c r="B394" t="s">
        <v>290</v>
      </c>
      <c r="C394" t="s">
        <v>576</v>
      </c>
      <c r="D394" t="s">
        <v>583</v>
      </c>
      <c r="E394" s="2">
        <v>18.920999999999999</v>
      </c>
      <c r="F394" s="2">
        <v>0</v>
      </c>
      <c r="G394" s="2">
        <v>5.0090000000000003</v>
      </c>
      <c r="H394" s="2">
        <v>-6.2145000000000001</v>
      </c>
      <c r="I394" s="1">
        <v>0.76473230801754599</v>
      </c>
      <c r="J394" s="1">
        <v>0.82844458538132204</v>
      </c>
      <c r="K394" s="1">
        <v>0.727449609934955</v>
      </c>
      <c r="L394" s="1">
        <v>0.36572728346391298</v>
      </c>
      <c r="M394" s="2"/>
      <c r="N394" s="2"/>
      <c r="P394" s="1">
        <f>I394-'Passo 1'!I394</f>
        <v>8.2025262935362941E-2</v>
      </c>
      <c r="Q394" s="1">
        <f>J394-'Passo 1'!J394</f>
        <v>6.6275566830506061E-2</v>
      </c>
      <c r="R394" s="1">
        <f t="shared" si="25"/>
        <v>14.469499999999988</v>
      </c>
      <c r="S394">
        <f t="shared" si="24"/>
        <v>15.674999999999994</v>
      </c>
      <c r="T394" s="1">
        <f t="shared" si="26"/>
        <v>13.764074069579284</v>
      </c>
      <c r="U394" s="1">
        <f t="shared" si="27"/>
        <v>6.919925930420697</v>
      </c>
    </row>
    <row r="395" spans="1:21" x14ac:dyDescent="0.3">
      <c r="A395" t="s">
        <v>57</v>
      </c>
      <c r="B395" t="s">
        <v>703</v>
      </c>
      <c r="C395" t="s">
        <v>576</v>
      </c>
      <c r="D395" t="s">
        <v>577</v>
      </c>
      <c r="E395" s="2">
        <v>111.61</v>
      </c>
      <c r="F395" s="2">
        <v>0</v>
      </c>
      <c r="G395" s="2">
        <v>55.621499999999997</v>
      </c>
      <c r="H395" s="2">
        <v>-55.591999999999999</v>
      </c>
      <c r="I395" s="1">
        <v>0.99835588208941795</v>
      </c>
      <c r="J395" s="1">
        <v>0.99809156885583705</v>
      </c>
      <c r="K395" s="1">
        <v>0.97705906801277798</v>
      </c>
      <c r="L395" s="1">
        <v>0.51938838293247702</v>
      </c>
      <c r="M395" s="2"/>
      <c r="N395" s="2"/>
      <c r="P395" s="1">
        <f>I395-'Passo 1'!I395</f>
        <v>3.6968013618850937E-2</v>
      </c>
      <c r="Q395" s="1">
        <f>J395-'Passo 1'!J395</f>
        <v>2.1207777080907042E-2</v>
      </c>
      <c r="R395" s="1">
        <f t="shared" si="25"/>
        <v>111.42649999999993</v>
      </c>
      <c r="S395">
        <f t="shared" si="24"/>
        <v>111.39699999999998</v>
      </c>
      <c r="T395" s="1">
        <f t="shared" si="26"/>
        <v>109.04956258090616</v>
      </c>
      <c r="U395" s="1">
        <f t="shared" si="27"/>
        <v>57.968937419093763</v>
      </c>
    </row>
    <row r="396" spans="1:21" x14ac:dyDescent="0.3">
      <c r="A396" t="s">
        <v>57</v>
      </c>
      <c r="B396" t="s">
        <v>291</v>
      </c>
      <c r="C396" t="s">
        <v>576</v>
      </c>
      <c r="D396" t="s">
        <v>577</v>
      </c>
      <c r="E396" s="2">
        <v>120.521</v>
      </c>
      <c r="F396" s="2">
        <v>0</v>
      </c>
      <c r="G396" s="2">
        <v>54.244999999999997</v>
      </c>
      <c r="H396" s="2">
        <v>-55.490499999999997</v>
      </c>
      <c r="I396" s="1">
        <v>0.95008753661187595</v>
      </c>
      <c r="J396" s="1">
        <v>0.96042183519884505</v>
      </c>
      <c r="K396" s="1">
        <v>0.57051620024108296</v>
      </c>
      <c r="L396" s="1">
        <v>0.83999317156963704</v>
      </c>
      <c r="M396" s="2"/>
      <c r="N396" s="2"/>
      <c r="P396" s="1">
        <f>I396-'Passo 1'!I396</f>
        <v>3.6840052770878984E-3</v>
      </c>
      <c r="Q396" s="1">
        <f>J396-'Passo 1'!J396</f>
        <v>0</v>
      </c>
      <c r="R396" s="1">
        <f t="shared" si="25"/>
        <v>114.5054999999999</v>
      </c>
      <c r="S396">
        <f t="shared" si="24"/>
        <v>115.751</v>
      </c>
      <c r="T396" s="1">
        <f t="shared" si="26"/>
        <v>68.759182969255562</v>
      </c>
      <c r="U396" s="1">
        <f t="shared" si="27"/>
        <v>101.23681703074422</v>
      </c>
    </row>
    <row r="397" spans="1:21" x14ac:dyDescent="0.3">
      <c r="A397" t="s">
        <v>57</v>
      </c>
      <c r="B397" t="s">
        <v>704</v>
      </c>
      <c r="C397" t="s">
        <v>574</v>
      </c>
      <c r="D397" t="s">
        <v>575</v>
      </c>
      <c r="E397" s="2">
        <v>2489.5219999999999</v>
      </c>
      <c r="F397" s="2">
        <v>847.14499999999998</v>
      </c>
      <c r="G397" s="2">
        <v>347.65499999999997</v>
      </c>
      <c r="H397" s="2">
        <v>-319.2645</v>
      </c>
      <c r="I397" s="1">
        <v>0.46950519015296899</v>
      </c>
      <c r="J397" s="1">
        <v>0.45810119372313202</v>
      </c>
      <c r="K397" s="1">
        <v>0.38448247438677902</v>
      </c>
      <c r="L397" s="1">
        <v>0.21326600905703</v>
      </c>
      <c r="M397" s="2"/>
      <c r="N397" s="2"/>
      <c r="P397" s="1">
        <f>I397-'Passo 1'!I397</f>
        <v>4.2665017621856982E-2</v>
      </c>
      <c r="Q397" s="1">
        <f>J397-'Passo 1'!J397</f>
        <v>5.4348585792775017E-2</v>
      </c>
      <c r="R397" s="1">
        <f t="shared" si="25"/>
        <v>1168.8434999999997</v>
      </c>
      <c r="S397">
        <f t="shared" si="24"/>
        <v>1140.4529999999991</v>
      </c>
      <c r="T397" s="1">
        <f t="shared" si="26"/>
        <v>957.17757860032282</v>
      </c>
      <c r="U397" s="1">
        <f t="shared" si="27"/>
        <v>530.93042139967542</v>
      </c>
    </row>
    <row r="398" spans="1:21" x14ac:dyDescent="0.3">
      <c r="A398" t="s">
        <v>292</v>
      </c>
      <c r="B398" t="s">
        <v>293</v>
      </c>
      <c r="C398" t="s">
        <v>574</v>
      </c>
      <c r="D398" t="s">
        <v>575</v>
      </c>
      <c r="E398" s="2">
        <v>98.483000000000004</v>
      </c>
      <c r="F398" s="2">
        <v>0</v>
      </c>
      <c r="G398" s="2">
        <v>48.552999999999997</v>
      </c>
      <c r="H398" s="2">
        <v>-47.961500000000001</v>
      </c>
      <c r="I398" s="1">
        <v>0.993008945706365</v>
      </c>
      <c r="J398" s="1">
        <v>0.98700283297624902</v>
      </c>
      <c r="K398" s="1">
        <v>0.86892704971965096</v>
      </c>
      <c r="L398" s="1">
        <v>0.61108472896296295</v>
      </c>
      <c r="M398" s="2"/>
      <c r="N398" s="2"/>
      <c r="P398" s="1">
        <f>I398-'Passo 1'!I398</f>
        <v>0.15002081577531101</v>
      </c>
      <c r="Q398" s="1">
        <f>J398-'Passo 1'!J398</f>
        <v>0.20690880659606203</v>
      </c>
      <c r="R398" s="1">
        <f t="shared" si="25"/>
        <v>97.794499999999942</v>
      </c>
      <c r="S398">
        <f t="shared" si="24"/>
        <v>97.202999999999932</v>
      </c>
      <c r="T398" s="1">
        <f t="shared" si="26"/>
        <v>85.574542637540389</v>
      </c>
      <c r="U398" s="1">
        <f t="shared" si="27"/>
        <v>60.181457362459483</v>
      </c>
    </row>
    <row r="399" spans="1:21" x14ac:dyDescent="0.3">
      <c r="A399" t="s">
        <v>292</v>
      </c>
      <c r="B399" t="s">
        <v>705</v>
      </c>
      <c r="C399" t="s">
        <v>576</v>
      </c>
      <c r="D399" t="s">
        <v>577</v>
      </c>
      <c r="E399" s="2">
        <v>465.154</v>
      </c>
      <c r="F399" s="2">
        <v>0</v>
      </c>
      <c r="G399" s="2">
        <v>135.8135</v>
      </c>
      <c r="H399" s="2">
        <v>-232.4205</v>
      </c>
      <c r="I399" s="1">
        <v>0.79197534579945505</v>
      </c>
      <c r="J399" s="1">
        <v>0.99966355228590897</v>
      </c>
      <c r="K399" s="1">
        <v>0.79084151018475302</v>
      </c>
      <c r="L399" s="1">
        <v>0.50079738790061101</v>
      </c>
      <c r="M399" s="2"/>
      <c r="N399" s="2"/>
      <c r="P399" s="1">
        <f>I399-'Passo 1'!I399</f>
        <v>0.12690743280719907</v>
      </c>
      <c r="Q399" s="1">
        <f>J399-'Passo 1'!J399</f>
        <v>0.222975616677487</v>
      </c>
      <c r="R399" s="1">
        <f t="shared" si="25"/>
        <v>368.39049999999969</v>
      </c>
      <c r="S399">
        <f t="shared" si="24"/>
        <v>464.99749999999972</v>
      </c>
      <c r="T399" s="1">
        <f t="shared" si="26"/>
        <v>367.86309182847862</v>
      </c>
      <c r="U399" s="1">
        <f t="shared" si="27"/>
        <v>232.94790817152082</v>
      </c>
    </row>
    <row r="400" spans="1:21" x14ac:dyDescent="0.3">
      <c r="A400" t="s">
        <v>292</v>
      </c>
      <c r="B400" t="s">
        <v>294</v>
      </c>
      <c r="C400" t="s">
        <v>574</v>
      </c>
      <c r="D400" t="s">
        <v>575</v>
      </c>
      <c r="E400" s="2">
        <v>0</v>
      </c>
      <c r="F400" s="2">
        <v>0</v>
      </c>
      <c r="G400" s="2">
        <v>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M400" s="2"/>
      <c r="N400" s="2"/>
      <c r="P400" s="1">
        <f>I400-'Passo 1'!I400</f>
        <v>0</v>
      </c>
      <c r="Q400" s="1">
        <f>J400-'Passo 1'!J400</f>
        <v>0</v>
      </c>
      <c r="R400" s="1">
        <f t="shared" si="25"/>
        <v>0</v>
      </c>
      <c r="S400">
        <f t="shared" si="24"/>
        <v>0</v>
      </c>
      <c r="T400" s="1">
        <f t="shared" si="26"/>
        <v>0</v>
      </c>
      <c r="U400" s="1">
        <f t="shared" si="27"/>
        <v>0</v>
      </c>
    </row>
    <row r="401" spans="1:21" x14ac:dyDescent="0.3">
      <c r="A401" t="s">
        <v>292</v>
      </c>
      <c r="B401" t="s">
        <v>706</v>
      </c>
      <c r="C401" t="s">
        <v>574</v>
      </c>
      <c r="D401" t="s">
        <v>575</v>
      </c>
      <c r="E401" s="2">
        <v>331.76499999999999</v>
      </c>
      <c r="F401" s="2">
        <v>0</v>
      </c>
      <c r="G401" s="2">
        <v>147.113</v>
      </c>
      <c r="H401" s="2">
        <v>-143.64349999999999</v>
      </c>
      <c r="I401" s="1">
        <v>0.94342531611230795</v>
      </c>
      <c r="J401" s="1">
        <v>0.93296761261736405</v>
      </c>
      <c r="K401" s="1">
        <v>0.66687107415633196</v>
      </c>
      <c r="L401" s="1">
        <v>0.70952185457334005</v>
      </c>
      <c r="M401" s="2"/>
      <c r="N401" s="2"/>
      <c r="P401" s="1">
        <f>I401-'Passo 1'!I401</f>
        <v>8.2258526366554952E-2</v>
      </c>
      <c r="Q401" s="1">
        <f>J401-'Passo 1'!J401</f>
        <v>3.5755730713004086E-2</v>
      </c>
      <c r="R401" s="1">
        <f t="shared" si="25"/>
        <v>312.99549999999982</v>
      </c>
      <c r="S401">
        <f t="shared" si="24"/>
        <v>309.52599999999978</v>
      </c>
      <c r="T401" s="1">
        <f t="shared" si="26"/>
        <v>221.24448191747547</v>
      </c>
      <c r="U401" s="1">
        <f t="shared" si="27"/>
        <v>235.39451808252414</v>
      </c>
    </row>
    <row r="402" spans="1:21" x14ac:dyDescent="0.3">
      <c r="A402" t="s">
        <v>292</v>
      </c>
      <c r="B402" t="s">
        <v>295</v>
      </c>
      <c r="C402" t="s">
        <v>576</v>
      </c>
      <c r="D402" t="s">
        <v>577</v>
      </c>
      <c r="E402" s="2">
        <v>9.6969999999999992</v>
      </c>
      <c r="F402" s="2">
        <v>0</v>
      </c>
      <c r="G402" s="2">
        <v>4.7385000000000002</v>
      </c>
      <c r="H402" s="2">
        <v>-4.7670000000000003</v>
      </c>
      <c r="I402" s="1">
        <v>0.988656285449108</v>
      </c>
      <c r="J402" s="1">
        <v>0.99159533876456596</v>
      </c>
      <c r="K402" s="1">
        <v>0.85593861728830101</v>
      </c>
      <c r="L402" s="1">
        <v>0.62431300692537295</v>
      </c>
      <c r="M402" s="2"/>
      <c r="N402" s="2"/>
      <c r="P402" s="1">
        <f>I402-'Passo 1'!I402</f>
        <v>4.4859234814891957E-2</v>
      </c>
      <c r="Q402" s="1">
        <f>J402-'Passo 1'!J402</f>
        <v>1.8562441992369005E-2</v>
      </c>
      <c r="R402" s="1">
        <f t="shared" si="25"/>
        <v>9.5869999999999997</v>
      </c>
      <c r="S402">
        <f t="shared" si="24"/>
        <v>9.6154999999999955</v>
      </c>
      <c r="T402" s="1">
        <f t="shared" si="26"/>
        <v>8.3000367718446544</v>
      </c>
      <c r="U402" s="1">
        <f t="shared" si="27"/>
        <v>6.0539632281553413</v>
      </c>
    </row>
    <row r="403" spans="1:21" x14ac:dyDescent="0.3">
      <c r="A403" t="s">
        <v>292</v>
      </c>
      <c r="B403" t="s">
        <v>296</v>
      </c>
      <c r="C403" t="s">
        <v>574</v>
      </c>
      <c r="D403" t="s">
        <v>575</v>
      </c>
      <c r="E403" s="2">
        <v>692.64099999999996</v>
      </c>
      <c r="F403" s="2">
        <v>0</v>
      </c>
      <c r="G403" s="2">
        <v>345.02699999999999</v>
      </c>
      <c r="H403" s="2">
        <v>-344.52600000000001</v>
      </c>
      <c r="I403" s="1">
        <v>0.99813251020369798</v>
      </c>
      <c r="J403" s="1">
        <v>0.99740919177467102</v>
      </c>
      <c r="K403" s="1">
        <v>0.70577111841221496</v>
      </c>
      <c r="L403" s="1">
        <v>0.78977058356615404</v>
      </c>
      <c r="M403" s="2"/>
      <c r="N403" s="2"/>
      <c r="P403" s="1">
        <f>I403-'Passo 1'!I403</f>
        <v>3.1498279772637972E-2</v>
      </c>
      <c r="Q403" s="1">
        <f>J403-'Passo 1'!J403</f>
        <v>6.7155279574845017E-2</v>
      </c>
      <c r="R403" s="1">
        <f t="shared" si="25"/>
        <v>691.34749999999951</v>
      </c>
      <c r="S403">
        <f t="shared" si="24"/>
        <v>690.84649999999988</v>
      </c>
      <c r="T403" s="1">
        <f t="shared" si="26"/>
        <v>488.84601322815496</v>
      </c>
      <c r="U403" s="1">
        <f t="shared" si="27"/>
        <v>547.02748677184445</v>
      </c>
    </row>
    <row r="404" spans="1:21" x14ac:dyDescent="0.3">
      <c r="A404" t="s">
        <v>292</v>
      </c>
      <c r="B404" t="s">
        <v>297</v>
      </c>
      <c r="C404" t="s">
        <v>576</v>
      </c>
      <c r="D404" t="s">
        <v>577</v>
      </c>
      <c r="E404" s="2">
        <v>0.1</v>
      </c>
      <c r="F404" s="2">
        <v>0</v>
      </c>
      <c r="G404" s="2">
        <v>0.05</v>
      </c>
      <c r="H404" s="2">
        <v>-0.05</v>
      </c>
      <c r="I404" s="1">
        <v>1</v>
      </c>
      <c r="J404" s="1">
        <v>1</v>
      </c>
      <c r="K404" s="1">
        <v>0.99991909385113198</v>
      </c>
      <c r="L404" s="1">
        <v>0.50008090614886702</v>
      </c>
      <c r="M404" s="2"/>
      <c r="N404" s="2"/>
      <c r="P404" s="1">
        <f>I404-'Passo 1'!I404</f>
        <v>0</v>
      </c>
      <c r="Q404" s="1">
        <f>J404-'Passo 1'!J404</f>
        <v>0</v>
      </c>
      <c r="R404" s="1">
        <f t="shared" si="25"/>
        <v>0.1</v>
      </c>
      <c r="S404">
        <f t="shared" si="24"/>
        <v>0.1</v>
      </c>
      <c r="T404" s="1">
        <f t="shared" si="26"/>
        <v>9.9991909385113209E-2</v>
      </c>
      <c r="U404" s="1">
        <f t="shared" si="27"/>
        <v>5.0008090614886702E-2</v>
      </c>
    </row>
    <row r="405" spans="1:21" x14ac:dyDescent="0.3">
      <c r="A405" t="s">
        <v>292</v>
      </c>
      <c r="B405" t="s">
        <v>298</v>
      </c>
      <c r="C405" t="s">
        <v>576</v>
      </c>
      <c r="D405" t="s">
        <v>598</v>
      </c>
      <c r="E405" s="2">
        <v>13.125999999999999</v>
      </c>
      <c r="F405" s="2">
        <v>0</v>
      </c>
      <c r="G405" s="2">
        <v>4.0945</v>
      </c>
      <c r="H405" s="2">
        <v>-4.0369999999999999</v>
      </c>
      <c r="I405" s="1">
        <v>0.81193813804662496</v>
      </c>
      <c r="J405" s="1">
        <v>0.80755751942709098</v>
      </c>
      <c r="K405" s="1">
        <v>0.69286885585416302</v>
      </c>
      <c r="L405" s="1">
        <v>0.42662680161955202</v>
      </c>
      <c r="M405" s="2"/>
      <c r="N405" s="2"/>
      <c r="P405" s="1">
        <f>I405-'Passo 1'!I405</f>
        <v>4.8262989486515973E-2</v>
      </c>
      <c r="Q405" s="1">
        <f>J405-'Passo 1'!J405</f>
        <v>5.012951394179499E-2</v>
      </c>
      <c r="R405" s="1">
        <f t="shared" si="25"/>
        <v>10.657499999999999</v>
      </c>
      <c r="S405">
        <f t="shared" si="24"/>
        <v>10.599999999999996</v>
      </c>
      <c r="T405" s="1">
        <f t="shared" si="26"/>
        <v>9.0945966019417437</v>
      </c>
      <c r="U405" s="1">
        <f t="shared" si="27"/>
        <v>5.59990339805824</v>
      </c>
    </row>
    <row r="406" spans="1:21" x14ac:dyDescent="0.3">
      <c r="A406" t="s">
        <v>292</v>
      </c>
      <c r="B406" t="s">
        <v>299</v>
      </c>
      <c r="C406" t="s">
        <v>576</v>
      </c>
      <c r="D406" t="s">
        <v>598</v>
      </c>
      <c r="E406" s="2">
        <v>31.344999999999999</v>
      </c>
      <c r="F406" s="2">
        <v>0</v>
      </c>
      <c r="G406" s="2">
        <v>13.0725</v>
      </c>
      <c r="H406" s="2">
        <v>-13.537000000000001</v>
      </c>
      <c r="I406" s="1">
        <v>0.91705216142925505</v>
      </c>
      <c r="J406" s="1">
        <v>0.93187111182006699</v>
      </c>
      <c r="K406" s="1">
        <v>0.86429176597641499</v>
      </c>
      <c r="L406" s="1">
        <v>0.48463150727290599</v>
      </c>
      <c r="M406" s="2"/>
      <c r="N406" s="2"/>
      <c r="P406" s="1">
        <f>I406-'Passo 1'!I406</f>
        <v>0.11054394640293508</v>
      </c>
      <c r="Q406" s="1">
        <f>J406-'Passo 1'!J406</f>
        <v>5.6308821183602031E-2</v>
      </c>
      <c r="R406" s="1">
        <f t="shared" si="25"/>
        <v>28.744999999999997</v>
      </c>
      <c r="S406">
        <f t="shared" si="24"/>
        <v>29.209499999999998</v>
      </c>
      <c r="T406" s="1">
        <f t="shared" si="26"/>
        <v>27.091225404530729</v>
      </c>
      <c r="U406" s="1">
        <f t="shared" si="27"/>
        <v>15.190774595469238</v>
      </c>
    </row>
    <row r="407" spans="1:21" x14ac:dyDescent="0.3">
      <c r="A407" t="s">
        <v>292</v>
      </c>
      <c r="B407" t="s">
        <v>300</v>
      </c>
      <c r="C407" t="s">
        <v>574</v>
      </c>
      <c r="D407" t="s">
        <v>575</v>
      </c>
      <c r="E407" s="2">
        <v>878.35400000000004</v>
      </c>
      <c r="F407" s="2">
        <v>0</v>
      </c>
      <c r="G407" s="2">
        <v>437.73149999999998</v>
      </c>
      <c r="H407" s="2">
        <v>-437.06900000000002</v>
      </c>
      <c r="I407" s="1">
        <v>0.99835430817187598</v>
      </c>
      <c r="J407" s="1">
        <v>0.99760005646925898</v>
      </c>
      <c r="K407" s="1">
        <v>0.713104383220312</v>
      </c>
      <c r="L407" s="1">
        <v>0.78284998142082296</v>
      </c>
      <c r="M407" s="2"/>
      <c r="N407" s="2"/>
      <c r="P407" s="1">
        <f>I407-'Passo 1'!I407</f>
        <v>7.7001414008474933E-2</v>
      </c>
      <c r="Q407" s="1">
        <f>J407-'Passo 1'!J407</f>
        <v>8.8632829132673008E-2</v>
      </c>
      <c r="R407" s="1">
        <f t="shared" si="25"/>
        <v>876.9085</v>
      </c>
      <c r="S407">
        <f t="shared" si="24"/>
        <v>876.24599999999953</v>
      </c>
      <c r="T407" s="1">
        <f t="shared" si="26"/>
        <v>626.35808741909398</v>
      </c>
      <c r="U407" s="1">
        <f t="shared" si="27"/>
        <v>687.61941258090553</v>
      </c>
    </row>
    <row r="408" spans="1:21" x14ac:dyDescent="0.3">
      <c r="A408" t="s">
        <v>292</v>
      </c>
      <c r="B408" t="s">
        <v>301</v>
      </c>
      <c r="C408" t="s">
        <v>574</v>
      </c>
      <c r="D408" t="s">
        <v>575</v>
      </c>
      <c r="E408" s="2">
        <v>38.875999999999998</v>
      </c>
      <c r="F408" s="2">
        <v>0</v>
      </c>
      <c r="G408" s="2">
        <v>18.483000000000001</v>
      </c>
      <c r="H408" s="2">
        <v>-17.100000000000001</v>
      </c>
      <c r="I408" s="1">
        <v>0.97543471550571004</v>
      </c>
      <c r="J408" s="1">
        <v>0.93986006790822096</v>
      </c>
      <c r="K408" s="1">
        <v>0.86966197770623099</v>
      </c>
      <c r="L408" s="1">
        <v>0.54563280570770001</v>
      </c>
      <c r="M408" s="2"/>
      <c r="N408" s="2"/>
      <c r="P408" s="1">
        <f>I408-'Passo 1'!I408</f>
        <v>0.16709538018314607</v>
      </c>
      <c r="Q408" s="1">
        <f>J408-'Passo 1'!J408</f>
        <v>6.1940528860993993E-2</v>
      </c>
      <c r="R408" s="1">
        <f t="shared" si="25"/>
        <v>37.920999999999978</v>
      </c>
      <c r="S408">
        <f t="shared" si="24"/>
        <v>36.537999999999997</v>
      </c>
      <c r="T408" s="1">
        <f t="shared" si="26"/>
        <v>33.808979045307431</v>
      </c>
      <c r="U408" s="1">
        <f t="shared" si="27"/>
        <v>21.212020954692544</v>
      </c>
    </row>
    <row r="409" spans="1:21" x14ac:dyDescent="0.3">
      <c r="A409" t="s">
        <v>292</v>
      </c>
      <c r="B409" t="s">
        <v>302</v>
      </c>
      <c r="C409" t="s">
        <v>576</v>
      </c>
      <c r="D409" t="s">
        <v>595</v>
      </c>
      <c r="E409" s="2">
        <v>355.61599999999999</v>
      </c>
      <c r="F409" s="2">
        <v>0</v>
      </c>
      <c r="G409" s="2">
        <v>76.474000000000004</v>
      </c>
      <c r="H409" s="2">
        <v>-160.48500000000001</v>
      </c>
      <c r="I409" s="1">
        <v>0.71504656708359504</v>
      </c>
      <c r="J409" s="1">
        <v>0.95128734365157896</v>
      </c>
      <c r="K409" s="1">
        <v>0.53081348648733295</v>
      </c>
      <c r="L409" s="1">
        <v>0.63552042424784105</v>
      </c>
      <c r="M409" s="2"/>
      <c r="N409" s="2"/>
      <c r="P409" s="1">
        <f>I409-'Passo 1'!I409</f>
        <v>8.8636338072527021E-2</v>
      </c>
      <c r="Q409" s="1">
        <f>J409-'Passo 1'!J409</f>
        <v>2.1324968505353925E-2</v>
      </c>
      <c r="R409" s="1">
        <f t="shared" si="25"/>
        <v>254.28199999999973</v>
      </c>
      <c r="S409">
        <f t="shared" si="24"/>
        <v>338.29299999999989</v>
      </c>
      <c r="T409" s="1">
        <f t="shared" si="26"/>
        <v>188.76576881067939</v>
      </c>
      <c r="U409" s="1">
        <f t="shared" si="27"/>
        <v>226.00123118932024</v>
      </c>
    </row>
    <row r="410" spans="1:21" x14ac:dyDescent="0.3">
      <c r="A410" t="s">
        <v>292</v>
      </c>
      <c r="B410" t="s">
        <v>303</v>
      </c>
      <c r="C410" t="s">
        <v>576</v>
      </c>
      <c r="D410" t="s">
        <v>589</v>
      </c>
      <c r="E410" s="2">
        <v>251.523</v>
      </c>
      <c r="F410" s="2">
        <v>0</v>
      </c>
      <c r="G410" s="2">
        <v>114.5325</v>
      </c>
      <c r="H410" s="2">
        <v>-124.745</v>
      </c>
      <c r="I410" s="1">
        <v>0.95535597142209605</v>
      </c>
      <c r="J410" s="1">
        <v>0.99595862008643299</v>
      </c>
      <c r="K410" s="1">
        <v>0.94166662887102803</v>
      </c>
      <c r="L410" s="1">
        <v>0.50964796263750201</v>
      </c>
      <c r="M410" s="2"/>
      <c r="N410" s="2"/>
      <c r="P410" s="1">
        <f>I410-'Passo 1'!I410</f>
        <v>0.127751736421719</v>
      </c>
      <c r="Q410" s="1">
        <f>J410-'Passo 1'!J410</f>
        <v>0.10752495795613104</v>
      </c>
      <c r="R410" s="1">
        <f t="shared" si="25"/>
        <v>240.29399999999987</v>
      </c>
      <c r="S410">
        <f t="shared" si="24"/>
        <v>250.50649999999987</v>
      </c>
      <c r="T410" s="1">
        <f t="shared" si="26"/>
        <v>236.85081549352759</v>
      </c>
      <c r="U410" s="1">
        <f t="shared" si="27"/>
        <v>128.18818450647242</v>
      </c>
    </row>
    <row r="411" spans="1:21" x14ac:dyDescent="0.3">
      <c r="A411" t="s">
        <v>292</v>
      </c>
      <c r="B411" t="s">
        <v>304</v>
      </c>
      <c r="C411" t="s">
        <v>574</v>
      </c>
      <c r="D411" t="s">
        <v>575</v>
      </c>
      <c r="E411" s="2">
        <v>128.816</v>
      </c>
      <c r="F411" s="2">
        <v>0</v>
      </c>
      <c r="G411" s="2">
        <v>64.101500000000001</v>
      </c>
      <c r="H411" s="2">
        <v>-63.976999999999997</v>
      </c>
      <c r="I411" s="1">
        <v>0.99762063718792604</v>
      </c>
      <c r="J411" s="1">
        <v>0.996654142342566</v>
      </c>
      <c r="K411" s="1">
        <v>0.75698157709408298</v>
      </c>
      <c r="L411" s="1">
        <v>0.73729320243640895</v>
      </c>
      <c r="M411" s="2"/>
      <c r="N411" s="2"/>
      <c r="P411" s="1">
        <f>I411-'Passo 1'!I411</f>
        <v>8.4966153272880707E-3</v>
      </c>
      <c r="Q411" s="1">
        <f>J411-'Passo 1'!J411</f>
        <v>2.555195006831501E-2</v>
      </c>
      <c r="R411" s="1">
        <f t="shared" si="25"/>
        <v>128.50949999999989</v>
      </c>
      <c r="S411">
        <f t="shared" si="24"/>
        <v>128.38499999999999</v>
      </c>
      <c r="T411" s="1">
        <f t="shared" si="26"/>
        <v>97.511338834951388</v>
      </c>
      <c r="U411" s="1">
        <f t="shared" si="27"/>
        <v>94.975161165048462</v>
      </c>
    </row>
    <row r="412" spans="1:21" x14ac:dyDescent="0.3">
      <c r="A412" t="s">
        <v>292</v>
      </c>
      <c r="B412" t="s">
        <v>707</v>
      </c>
      <c r="C412" t="s">
        <v>580</v>
      </c>
      <c r="D412" t="s">
        <v>581</v>
      </c>
      <c r="E412" s="2">
        <v>118.60299999999999</v>
      </c>
      <c r="F412" s="2">
        <v>0</v>
      </c>
      <c r="G412" s="2">
        <v>53.073999999999998</v>
      </c>
      <c r="H412" s="2">
        <v>-55.177999999999997</v>
      </c>
      <c r="I412" s="1">
        <v>0.947492896469735</v>
      </c>
      <c r="J412" s="1">
        <v>0.96523275127947805</v>
      </c>
      <c r="K412" s="1">
        <v>0.75289429787613504</v>
      </c>
      <c r="L412" s="1">
        <v>0.65983134987307801</v>
      </c>
      <c r="M412" s="2"/>
      <c r="N412" s="2"/>
      <c r="P412" s="1">
        <f>I412-'Passo 1'!I412</f>
        <v>8.4896672090924996E-2</v>
      </c>
      <c r="Q412" s="1">
        <f>J412-'Passo 1'!J412</f>
        <v>6.1785958196673096E-2</v>
      </c>
      <c r="R412" s="1">
        <f t="shared" si="25"/>
        <v>112.37549999999997</v>
      </c>
      <c r="S412">
        <f t="shared" si="24"/>
        <v>114.47949999999993</v>
      </c>
      <c r="T412" s="1">
        <f t="shared" si="26"/>
        <v>89.295522411003233</v>
      </c>
      <c r="U412" s="1">
        <f t="shared" si="27"/>
        <v>78.257977588996667</v>
      </c>
    </row>
    <row r="413" spans="1:21" x14ac:dyDescent="0.3">
      <c r="A413" t="s">
        <v>292</v>
      </c>
      <c r="B413" t="s">
        <v>305</v>
      </c>
      <c r="C413" t="s">
        <v>574</v>
      </c>
      <c r="D413" t="s">
        <v>575</v>
      </c>
      <c r="E413" s="2">
        <v>30.146999999999998</v>
      </c>
      <c r="F413" s="2">
        <v>0</v>
      </c>
      <c r="G413" s="2">
        <v>11.4605</v>
      </c>
      <c r="H413" s="2">
        <v>-10.058</v>
      </c>
      <c r="I413" s="1">
        <v>0.88015391249543895</v>
      </c>
      <c r="J413" s="1">
        <v>0.83363187050121001</v>
      </c>
      <c r="K413" s="1">
        <v>0.80181688609309498</v>
      </c>
      <c r="L413" s="1">
        <v>0.41196889690355398</v>
      </c>
      <c r="M413" s="2"/>
      <c r="N413" s="2"/>
      <c r="P413" s="1">
        <f>I413-'Passo 1'!I413</f>
        <v>0.15603542641058898</v>
      </c>
      <c r="Q413" s="1">
        <f>J413-'Passo 1'!J413</f>
        <v>0.13663051049855701</v>
      </c>
      <c r="R413" s="1">
        <f t="shared" si="25"/>
        <v>26.533999999999995</v>
      </c>
      <c r="S413">
        <f t="shared" si="24"/>
        <v>25.131499999999978</v>
      </c>
      <c r="T413" s="1">
        <f t="shared" si="26"/>
        <v>24.172373665048532</v>
      </c>
      <c r="U413" s="1">
        <f t="shared" si="27"/>
        <v>12.419626334951442</v>
      </c>
    </row>
    <row r="414" spans="1:21" x14ac:dyDescent="0.3">
      <c r="A414" t="s">
        <v>292</v>
      </c>
      <c r="B414" t="s">
        <v>306</v>
      </c>
      <c r="C414" t="s">
        <v>580</v>
      </c>
      <c r="D414" t="s">
        <v>581</v>
      </c>
      <c r="E414" s="2">
        <v>90.988</v>
      </c>
      <c r="F414" s="2">
        <v>0</v>
      </c>
      <c r="G414" s="2">
        <v>43.899000000000001</v>
      </c>
      <c r="H414" s="2">
        <v>-42.219499999999996</v>
      </c>
      <c r="I414" s="1">
        <v>0.98247021585263905</v>
      </c>
      <c r="J414" s="1">
        <v>0.96401173781157901</v>
      </c>
      <c r="K414" s="1">
        <v>0.86134259027080295</v>
      </c>
      <c r="L414" s="1">
        <v>0.58513936339341599</v>
      </c>
      <c r="M414" s="2"/>
      <c r="N414" s="2"/>
      <c r="P414" s="1">
        <f>I414-'Passo 1'!I414</f>
        <v>8.0428188332527073E-2</v>
      </c>
      <c r="Q414" s="1">
        <f>J414-'Passo 1'!J414</f>
        <v>5.0720974194399027E-2</v>
      </c>
      <c r="R414" s="1">
        <f t="shared" si="25"/>
        <v>89.392999999999915</v>
      </c>
      <c r="S414">
        <f t="shared" si="24"/>
        <v>87.713499999999954</v>
      </c>
      <c r="T414" s="1">
        <f t="shared" si="26"/>
        <v>78.37183960355982</v>
      </c>
      <c r="U414" s="1">
        <f t="shared" si="27"/>
        <v>53.240660396440134</v>
      </c>
    </row>
    <row r="415" spans="1:21" x14ac:dyDescent="0.3">
      <c r="A415" t="s">
        <v>292</v>
      </c>
      <c r="B415" t="s">
        <v>307</v>
      </c>
      <c r="C415" t="s">
        <v>580</v>
      </c>
      <c r="D415" t="s">
        <v>581</v>
      </c>
      <c r="E415" s="2">
        <v>151.41399999999999</v>
      </c>
      <c r="F415" s="2">
        <v>0</v>
      </c>
      <c r="G415" s="2">
        <v>64.524499999999904</v>
      </c>
      <c r="H415" s="2">
        <v>-60.575999999999901</v>
      </c>
      <c r="I415" s="1">
        <v>0.92614619519991503</v>
      </c>
      <c r="J415" s="1">
        <v>0.90006868585467603</v>
      </c>
      <c r="K415" s="1">
        <v>0.73515542889053997</v>
      </c>
      <c r="L415" s="1">
        <v>0.59105945216405098</v>
      </c>
      <c r="M415" s="2"/>
      <c r="N415" s="2"/>
      <c r="P415" s="1">
        <f>I415-'Passo 1'!I415</f>
        <v>4.0861479123463051E-2</v>
      </c>
      <c r="Q415" s="1">
        <f>J415-'Passo 1'!J415</f>
        <v>2.3019667930310073E-2</v>
      </c>
      <c r="R415" s="1">
        <f t="shared" si="25"/>
        <v>140.23149999999993</v>
      </c>
      <c r="S415">
        <f t="shared" si="24"/>
        <v>136.2829999999999</v>
      </c>
      <c r="T415" s="1">
        <f t="shared" si="26"/>
        <v>111.31282411003221</v>
      </c>
      <c r="U415" s="1">
        <f t="shared" si="27"/>
        <v>89.49467588996761</v>
      </c>
    </row>
    <row r="416" spans="1:21" x14ac:dyDescent="0.3">
      <c r="A416" t="s">
        <v>292</v>
      </c>
      <c r="B416" t="s">
        <v>708</v>
      </c>
      <c r="C416" t="s">
        <v>580</v>
      </c>
      <c r="D416" t="s">
        <v>581</v>
      </c>
      <c r="E416" s="2">
        <v>127.265</v>
      </c>
      <c r="F416" s="2">
        <v>0</v>
      </c>
      <c r="G416" s="2">
        <v>47.423999999999999</v>
      </c>
      <c r="H416" s="2">
        <v>-47.917000000000002</v>
      </c>
      <c r="I416" s="1">
        <v>0.87263976741445004</v>
      </c>
      <c r="J416" s="1">
        <v>0.876513574038423</v>
      </c>
      <c r="K416" s="1">
        <v>0.76076735578450205</v>
      </c>
      <c r="L416" s="1">
        <v>0.48838598566837099</v>
      </c>
      <c r="M416" s="2"/>
      <c r="N416" s="2"/>
      <c r="P416" s="1">
        <f>I416-'Passo 1'!I416</f>
        <v>6.9991749499077049E-2</v>
      </c>
      <c r="Q416" s="1">
        <f>J416-'Passo 1'!J416</f>
        <v>5.5494440733900974E-2</v>
      </c>
      <c r="R416" s="1">
        <f t="shared" si="25"/>
        <v>111.05649999999999</v>
      </c>
      <c r="S416">
        <f t="shared" si="24"/>
        <v>111.54949999999991</v>
      </c>
      <c r="T416" s="1">
        <f t="shared" si="26"/>
        <v>96.819057533914659</v>
      </c>
      <c r="U416" s="1">
        <f t="shared" si="27"/>
        <v>62.154442466085236</v>
      </c>
    </row>
    <row r="417" spans="1:21" x14ac:dyDescent="0.3">
      <c r="A417" t="s">
        <v>292</v>
      </c>
      <c r="B417" t="s">
        <v>308</v>
      </c>
      <c r="C417" t="s">
        <v>576</v>
      </c>
      <c r="D417" t="s">
        <v>598</v>
      </c>
      <c r="E417" s="2">
        <v>109.166</v>
      </c>
      <c r="F417" s="2">
        <v>0</v>
      </c>
      <c r="G417" s="2">
        <v>38.610500000000002</v>
      </c>
      <c r="H417" s="2">
        <v>-42.325000000000003</v>
      </c>
      <c r="I417" s="1">
        <v>0.85368612938094202</v>
      </c>
      <c r="J417" s="1">
        <v>0.88771229137277097</v>
      </c>
      <c r="K417" s="1">
        <v>0.78830734947940395</v>
      </c>
      <c r="L417" s="1">
        <v>0.45309107127430998</v>
      </c>
      <c r="M417" s="2"/>
      <c r="N417" s="2"/>
      <c r="P417" s="1">
        <f>I417-'Passo 1'!I417</f>
        <v>6.3046186541596994E-2</v>
      </c>
      <c r="Q417" s="1">
        <f>J417-'Passo 1'!J417</f>
        <v>3.5867394610042957E-2</v>
      </c>
      <c r="R417" s="1">
        <f t="shared" si="25"/>
        <v>93.193499999999915</v>
      </c>
      <c r="S417">
        <f t="shared" si="24"/>
        <v>96.907999999999916</v>
      </c>
      <c r="T417" s="1">
        <f t="shared" si="26"/>
        <v>86.05636011326861</v>
      </c>
      <c r="U417" s="1">
        <f t="shared" si="27"/>
        <v>49.462139886731322</v>
      </c>
    </row>
    <row r="418" spans="1:21" x14ac:dyDescent="0.3">
      <c r="A418" t="s">
        <v>292</v>
      </c>
      <c r="B418" t="s">
        <v>309</v>
      </c>
      <c r="C418" t="s">
        <v>580</v>
      </c>
      <c r="D418" t="s">
        <v>581</v>
      </c>
      <c r="E418" s="2">
        <v>313.82400000000001</v>
      </c>
      <c r="F418" s="2">
        <v>0</v>
      </c>
      <c r="G418" s="2">
        <v>146.20099999999999</v>
      </c>
      <c r="H418" s="2">
        <v>-119.41200000000001</v>
      </c>
      <c r="I418" s="1">
        <v>0.965869404506984</v>
      </c>
      <c r="J418" s="1">
        <v>0.88050627103089596</v>
      </c>
      <c r="K418" s="1">
        <v>0.82090611184617102</v>
      </c>
      <c r="L418" s="1">
        <v>0.52546956369170905</v>
      </c>
      <c r="M418" s="2"/>
      <c r="N418" s="2"/>
      <c r="P418" s="1">
        <f>I418-'Passo 1'!I418</f>
        <v>8.9744570204954965E-2</v>
      </c>
      <c r="Q418" s="1">
        <f>J418-'Passo 1'!J418</f>
        <v>0.11546121392882691</v>
      </c>
      <c r="R418" s="1">
        <f t="shared" si="25"/>
        <v>303.11299999999977</v>
      </c>
      <c r="S418">
        <f t="shared" si="24"/>
        <v>276.3239999999999</v>
      </c>
      <c r="T418" s="1">
        <f t="shared" si="26"/>
        <v>257.62003964401276</v>
      </c>
      <c r="U418" s="1">
        <f t="shared" si="27"/>
        <v>164.9049603559869</v>
      </c>
    </row>
    <row r="419" spans="1:21" x14ac:dyDescent="0.3">
      <c r="A419" t="s">
        <v>292</v>
      </c>
      <c r="B419" t="s">
        <v>310</v>
      </c>
      <c r="C419" t="s">
        <v>574</v>
      </c>
      <c r="D419" t="s">
        <v>575</v>
      </c>
      <c r="E419" s="2">
        <v>96.665000000000006</v>
      </c>
      <c r="F419" s="2">
        <v>0</v>
      </c>
      <c r="G419" s="2">
        <v>23.759999999999899</v>
      </c>
      <c r="H419" s="2">
        <v>-32.646000000000001</v>
      </c>
      <c r="I419" s="1">
        <v>0.74579734133347098</v>
      </c>
      <c r="J419" s="1">
        <v>0.83772306419076104</v>
      </c>
      <c r="K419" s="1">
        <v>0.50661906415527402</v>
      </c>
      <c r="L419" s="1">
        <v>0.57690134136895899</v>
      </c>
      <c r="M419" s="2"/>
      <c r="N419" s="2"/>
      <c r="P419" s="1">
        <f>I419-'Passo 1'!I419</f>
        <v>5.8801013810583003E-2</v>
      </c>
      <c r="Q419" s="1">
        <f>J419-'Passo 1'!J419</f>
        <v>8.0385868721874032E-2</v>
      </c>
      <c r="R419" s="1">
        <f t="shared" si="25"/>
        <v>72.092499999999973</v>
      </c>
      <c r="S419">
        <f t="shared" si="24"/>
        <v>80.978499999999926</v>
      </c>
      <c r="T419" s="1">
        <f t="shared" si="26"/>
        <v>48.972331836569566</v>
      </c>
      <c r="U419" s="1">
        <f t="shared" si="27"/>
        <v>55.766168163430422</v>
      </c>
    </row>
    <row r="420" spans="1:21" x14ac:dyDescent="0.3">
      <c r="A420" t="s">
        <v>292</v>
      </c>
      <c r="B420" t="s">
        <v>311</v>
      </c>
      <c r="C420" t="s">
        <v>580</v>
      </c>
      <c r="D420" t="s">
        <v>581</v>
      </c>
      <c r="E420" s="2">
        <v>237.26400000000001</v>
      </c>
      <c r="F420" s="2">
        <v>0</v>
      </c>
      <c r="G420" s="2">
        <v>96.786499999999904</v>
      </c>
      <c r="H420" s="2">
        <v>-85.438500000000005</v>
      </c>
      <c r="I420" s="1">
        <v>0.90792745633555805</v>
      </c>
      <c r="J420" s="1">
        <v>0.86009887720008005</v>
      </c>
      <c r="K420" s="1">
        <v>0.76478472554398802</v>
      </c>
      <c r="L420" s="1">
        <v>0.50324160799165096</v>
      </c>
      <c r="M420" s="2"/>
      <c r="N420" s="2"/>
      <c r="P420" s="1">
        <f>I420-'Passo 1'!I420</f>
        <v>0.10453334682041904</v>
      </c>
      <c r="Q420" s="1">
        <f>J420-'Passo 1'!J420</f>
        <v>7.2809191449187072E-2</v>
      </c>
      <c r="R420" s="1">
        <f t="shared" si="25"/>
        <v>215.41849999999985</v>
      </c>
      <c r="S420">
        <f t="shared" si="24"/>
        <v>204.07049999999981</v>
      </c>
      <c r="T420" s="1">
        <f t="shared" si="26"/>
        <v>181.45588312146879</v>
      </c>
      <c r="U420" s="1">
        <f t="shared" si="27"/>
        <v>119.40111687853108</v>
      </c>
    </row>
    <row r="421" spans="1:21" x14ac:dyDescent="0.3">
      <c r="A421" t="s">
        <v>292</v>
      </c>
      <c r="B421" t="s">
        <v>312</v>
      </c>
      <c r="C421" t="s">
        <v>580</v>
      </c>
      <c r="D421" t="s">
        <v>581</v>
      </c>
      <c r="E421" s="2">
        <v>200.74199999999999</v>
      </c>
      <c r="F421" s="2">
        <v>0</v>
      </c>
      <c r="G421" s="2">
        <v>97.390500000000003</v>
      </c>
      <c r="H421" s="2">
        <v>-98.634</v>
      </c>
      <c r="I421" s="1">
        <v>0.98515258391367999</v>
      </c>
      <c r="J421" s="1">
        <v>0.99134710225065004</v>
      </c>
      <c r="K421" s="1">
        <v>0.78544262880183702</v>
      </c>
      <c r="L421" s="1">
        <v>0.69105705736249201</v>
      </c>
      <c r="M421" s="2"/>
      <c r="N421" s="2"/>
      <c r="P421" s="1">
        <f>I421-'Passo 1'!I421</f>
        <v>9.5600322802402937E-2</v>
      </c>
      <c r="Q421" s="1">
        <f>J421-'Passo 1'!J421</f>
        <v>3.2793336720766009E-2</v>
      </c>
      <c r="R421" s="1">
        <f t="shared" si="25"/>
        <v>197.76149999999993</v>
      </c>
      <c r="S421">
        <f t="shared" si="24"/>
        <v>199.00499999999997</v>
      </c>
      <c r="T421" s="1">
        <f t="shared" si="26"/>
        <v>157.67132419093835</v>
      </c>
      <c r="U421" s="1">
        <f t="shared" si="27"/>
        <v>138.72417580906136</v>
      </c>
    </row>
    <row r="422" spans="1:21" x14ac:dyDescent="0.3">
      <c r="A422" t="s">
        <v>292</v>
      </c>
      <c r="B422" t="s">
        <v>313</v>
      </c>
      <c r="C422" t="s">
        <v>580</v>
      </c>
      <c r="D422" t="s">
        <v>581</v>
      </c>
      <c r="E422" s="2">
        <v>102.246</v>
      </c>
      <c r="F422" s="2">
        <v>1.7000000000000001E-2</v>
      </c>
      <c r="G422" s="2">
        <v>43.226999999999997</v>
      </c>
      <c r="H422" s="2">
        <v>-43.630499999999998</v>
      </c>
      <c r="I422" s="1">
        <v>0.92269135222893806</v>
      </c>
      <c r="J422" s="1">
        <v>0.92663771687889995</v>
      </c>
      <c r="K422" s="1">
        <v>0.74434911467722897</v>
      </c>
      <c r="L422" s="1">
        <v>0.60506308726710001</v>
      </c>
      <c r="M422" s="2"/>
      <c r="N422" s="2"/>
      <c r="P422" s="1">
        <f>I422-'Passo 1'!I422</f>
        <v>2.2895761203373111E-2</v>
      </c>
      <c r="Q422" s="1">
        <f>J422-'Passo 1'!J422</f>
        <v>7.61496782270219E-2</v>
      </c>
      <c r="R422" s="1">
        <f t="shared" si="25"/>
        <v>94.341499999999996</v>
      </c>
      <c r="S422">
        <f t="shared" si="24"/>
        <v>94.745000000000005</v>
      </c>
      <c r="T422" s="1">
        <f t="shared" si="26"/>
        <v>76.106719579287955</v>
      </c>
      <c r="U422" s="1">
        <f t="shared" si="27"/>
        <v>61.865280420711905</v>
      </c>
    </row>
    <row r="423" spans="1:21" x14ac:dyDescent="0.3">
      <c r="A423" t="s">
        <v>292</v>
      </c>
      <c r="B423" t="s">
        <v>314</v>
      </c>
      <c r="C423" t="s">
        <v>580</v>
      </c>
      <c r="D423" t="s">
        <v>581</v>
      </c>
      <c r="E423" s="2">
        <v>64.103999999999999</v>
      </c>
      <c r="F423" s="2">
        <v>0</v>
      </c>
      <c r="G423" s="2">
        <v>29.815999999999999</v>
      </c>
      <c r="H423" s="2">
        <v>-28.203499999999998</v>
      </c>
      <c r="I423" s="1">
        <v>0.96511918133033803</v>
      </c>
      <c r="J423" s="1">
        <v>0.93996474478971603</v>
      </c>
      <c r="K423" s="1">
        <v>0.79076490273996403</v>
      </c>
      <c r="L423" s="1">
        <v>0.61431902338008904</v>
      </c>
      <c r="M423" s="2"/>
      <c r="N423" s="2"/>
      <c r="P423" s="1">
        <f>I423-'Passo 1'!I423</f>
        <v>9.8036003993510978E-2</v>
      </c>
      <c r="Q423" s="1">
        <f>J423-'Passo 1'!J423</f>
        <v>3.4085236490702053E-2</v>
      </c>
      <c r="R423" s="1">
        <f t="shared" si="25"/>
        <v>61.867999999999988</v>
      </c>
      <c r="S423">
        <f t="shared" si="24"/>
        <v>60.255499999999955</v>
      </c>
      <c r="T423" s="1">
        <f t="shared" si="26"/>
        <v>50.691193325242651</v>
      </c>
      <c r="U423" s="1">
        <f t="shared" si="27"/>
        <v>39.380306674757229</v>
      </c>
    </row>
    <row r="424" spans="1:21" x14ac:dyDescent="0.3">
      <c r="A424" t="s">
        <v>292</v>
      </c>
      <c r="B424" t="s">
        <v>709</v>
      </c>
      <c r="C424" t="s">
        <v>580</v>
      </c>
      <c r="D424" t="s">
        <v>581</v>
      </c>
      <c r="E424" s="2">
        <v>560.98400000000004</v>
      </c>
      <c r="F424" s="2">
        <v>0</v>
      </c>
      <c r="G424" s="2">
        <v>247.02199999999999</v>
      </c>
      <c r="H424" s="2">
        <v>-254.23899999999901</v>
      </c>
      <c r="I424" s="1">
        <v>0.94033697930778704</v>
      </c>
      <c r="J424" s="1">
        <v>0.95320187385023403</v>
      </c>
      <c r="K424" s="1">
        <v>0.77009182824244005</v>
      </c>
      <c r="L424" s="1">
        <v>0.62344702491558102</v>
      </c>
      <c r="M424" s="2"/>
      <c r="N424" s="2"/>
      <c r="P424" s="1">
        <f>I424-'Passo 1'!I424</f>
        <v>4.1854134877287064E-2</v>
      </c>
      <c r="Q424" s="1">
        <f>J424-'Passo 1'!J424</f>
        <v>7.5551174365043994E-2</v>
      </c>
      <c r="R424" s="1">
        <f t="shared" si="25"/>
        <v>527.51399999999967</v>
      </c>
      <c r="S424">
        <f t="shared" si="24"/>
        <v>534.73099999999977</v>
      </c>
      <c r="T424" s="1">
        <f t="shared" si="26"/>
        <v>432.009194174757</v>
      </c>
      <c r="U424" s="1">
        <f t="shared" si="27"/>
        <v>349.7438058252423</v>
      </c>
    </row>
    <row r="425" spans="1:21" x14ac:dyDescent="0.3">
      <c r="A425" t="s">
        <v>292</v>
      </c>
      <c r="B425" t="s">
        <v>710</v>
      </c>
      <c r="C425" t="s">
        <v>580</v>
      </c>
      <c r="D425" t="s">
        <v>581</v>
      </c>
      <c r="E425" s="2">
        <v>58.96</v>
      </c>
      <c r="F425" s="2">
        <v>0</v>
      </c>
      <c r="G425" s="2">
        <v>27.787499999999898</v>
      </c>
      <c r="H425" s="2">
        <v>-26.881499999999999</v>
      </c>
      <c r="I425" s="1">
        <v>0.97129409769335096</v>
      </c>
      <c r="J425" s="1">
        <v>0.95592774762550803</v>
      </c>
      <c r="K425" s="1">
        <v>0.78778184321112799</v>
      </c>
      <c r="L425" s="1">
        <v>0.639440002107731</v>
      </c>
      <c r="M425" s="2"/>
      <c r="N425" s="2"/>
      <c r="P425" s="1">
        <f>I425-'Passo 1'!I425</f>
        <v>4.9211329715060925E-2</v>
      </c>
      <c r="Q425" s="1">
        <f>J425-'Passo 1'!J425</f>
        <v>5.8378561736770029E-2</v>
      </c>
      <c r="R425" s="1">
        <f t="shared" si="25"/>
        <v>57.26749999999997</v>
      </c>
      <c r="S425">
        <f t="shared" si="24"/>
        <v>56.361499999999957</v>
      </c>
      <c r="T425" s="1">
        <f t="shared" si="26"/>
        <v>46.447617475728109</v>
      </c>
      <c r="U425" s="1">
        <f t="shared" si="27"/>
        <v>37.701382524271821</v>
      </c>
    </row>
    <row r="426" spans="1:21" x14ac:dyDescent="0.3">
      <c r="A426" t="s">
        <v>292</v>
      </c>
      <c r="B426" t="s">
        <v>711</v>
      </c>
      <c r="C426" t="s">
        <v>580</v>
      </c>
      <c r="D426" t="s">
        <v>581</v>
      </c>
      <c r="E426" s="2">
        <v>127.253</v>
      </c>
      <c r="F426" s="2">
        <v>0</v>
      </c>
      <c r="G426" s="2">
        <v>48.121499999999997</v>
      </c>
      <c r="H426" s="2">
        <v>-59.595500000000001</v>
      </c>
      <c r="I426" s="1">
        <v>0.87815611419770001</v>
      </c>
      <c r="J426" s="1">
        <v>0.96832294719967305</v>
      </c>
      <c r="K426" s="1">
        <v>0.72132076151993096</v>
      </c>
      <c r="L426" s="1">
        <v>0.62515829987744198</v>
      </c>
      <c r="M426" s="2"/>
      <c r="N426" s="2"/>
      <c r="P426" s="1">
        <f>I426-'Passo 1'!I426</f>
        <v>1.1653949219271986E-2</v>
      </c>
      <c r="Q426" s="1">
        <f>J426-'Passo 1'!J426</f>
        <v>0.13197724218682505</v>
      </c>
      <c r="R426" s="1">
        <f t="shared" si="25"/>
        <v>111.74799999999992</v>
      </c>
      <c r="S426">
        <f t="shared" si="24"/>
        <v>123.22199999999999</v>
      </c>
      <c r="T426" s="1">
        <f t="shared" si="26"/>
        <v>91.790230865695776</v>
      </c>
      <c r="U426" s="1">
        <f t="shared" si="27"/>
        <v>79.553269134304131</v>
      </c>
    </row>
    <row r="427" spans="1:21" x14ac:dyDescent="0.3">
      <c r="A427" t="s">
        <v>292</v>
      </c>
      <c r="B427" t="s">
        <v>315</v>
      </c>
      <c r="C427" t="s">
        <v>574</v>
      </c>
      <c r="D427" t="s">
        <v>575</v>
      </c>
      <c r="E427" s="2">
        <v>124.45699999999999</v>
      </c>
      <c r="F427" s="2">
        <v>0</v>
      </c>
      <c r="G427" s="2">
        <v>61.347499999999997</v>
      </c>
      <c r="H427" s="2">
        <v>-53.030999999999999</v>
      </c>
      <c r="I427" s="1">
        <v>0.99292124990960695</v>
      </c>
      <c r="J427" s="1">
        <v>0.92609897394280705</v>
      </c>
      <c r="K427" s="1">
        <v>0.65039251901847395</v>
      </c>
      <c r="L427" s="1">
        <v>0.76862770483394105</v>
      </c>
      <c r="M427" s="2"/>
      <c r="N427" s="2"/>
      <c r="P427" s="1">
        <f>I427-'Passo 1'!I427</f>
        <v>9.6900937673249921E-3</v>
      </c>
      <c r="Q427" s="1">
        <f>J427-'Passo 1'!J427</f>
        <v>3.9889279028098024E-2</v>
      </c>
      <c r="R427" s="1">
        <f t="shared" si="25"/>
        <v>123.57599999999995</v>
      </c>
      <c r="S427">
        <f t="shared" si="24"/>
        <v>115.25949999999993</v>
      </c>
      <c r="T427" s="1">
        <f t="shared" si="26"/>
        <v>80.94590173948221</v>
      </c>
      <c r="U427" s="1">
        <f t="shared" si="27"/>
        <v>95.66109826051779</v>
      </c>
    </row>
    <row r="428" spans="1:21" x14ac:dyDescent="0.3">
      <c r="A428" t="s">
        <v>292</v>
      </c>
      <c r="B428" t="s">
        <v>712</v>
      </c>
      <c r="C428" t="s">
        <v>580</v>
      </c>
      <c r="D428" t="s">
        <v>581</v>
      </c>
      <c r="E428" s="2">
        <v>71.594999999999999</v>
      </c>
      <c r="F428" s="2">
        <v>0</v>
      </c>
      <c r="G428" s="2">
        <v>31.404</v>
      </c>
      <c r="H428" s="2">
        <v>-32.100999999999999</v>
      </c>
      <c r="I428" s="1">
        <v>0.93863398282002897</v>
      </c>
      <c r="J428" s="1">
        <v>0.94836929953209004</v>
      </c>
      <c r="K428" s="1">
        <v>0.78086250621811704</v>
      </c>
      <c r="L428" s="1">
        <v>0.60614077613400197</v>
      </c>
      <c r="M428" s="2"/>
      <c r="N428" s="2"/>
      <c r="P428" s="1">
        <f>I428-'Passo 1'!I428</f>
        <v>3.7691179551644916E-2</v>
      </c>
      <c r="Q428" s="1">
        <f>J428-'Passo 1'!J428</f>
        <v>9.4559675955025013E-2</v>
      </c>
      <c r="R428" s="1">
        <f t="shared" si="25"/>
        <v>67.201499999999967</v>
      </c>
      <c r="S428">
        <f t="shared" si="24"/>
        <v>67.898499999999984</v>
      </c>
      <c r="T428" s="1">
        <f t="shared" si="26"/>
        <v>55.905851132686088</v>
      </c>
      <c r="U428" s="1">
        <f t="shared" si="27"/>
        <v>43.396648867313871</v>
      </c>
    </row>
    <row r="429" spans="1:21" x14ac:dyDescent="0.3">
      <c r="A429" t="s">
        <v>292</v>
      </c>
      <c r="B429" t="s">
        <v>316</v>
      </c>
      <c r="C429" t="s">
        <v>576</v>
      </c>
      <c r="D429" t="s">
        <v>14</v>
      </c>
      <c r="E429" s="2">
        <v>1.3360000000000001</v>
      </c>
      <c r="F429" s="2">
        <v>0</v>
      </c>
      <c r="G429" s="2">
        <v>0.48499999999999999</v>
      </c>
      <c r="H429" s="2">
        <v>-0.56200000000000006</v>
      </c>
      <c r="I429" s="1">
        <v>0.86302395209580796</v>
      </c>
      <c r="J429" s="1">
        <v>0.92065868263473005</v>
      </c>
      <c r="K429" s="1">
        <v>0.77588138506092796</v>
      </c>
      <c r="L429" s="1">
        <v>0.50780124966961004</v>
      </c>
      <c r="M429" s="2"/>
      <c r="N429" s="2"/>
      <c r="P429" s="1">
        <f>I429-'Passo 1'!I429</f>
        <v>0</v>
      </c>
      <c r="Q429" s="1">
        <f>J429-'Passo 1'!J429</f>
        <v>5.7634730538922097E-2</v>
      </c>
      <c r="R429" s="1">
        <f t="shared" si="25"/>
        <v>1.1529999999999996</v>
      </c>
      <c r="S429">
        <f t="shared" si="24"/>
        <v>1.2299999999999993</v>
      </c>
      <c r="T429" s="1">
        <f t="shared" si="26"/>
        <v>1.0365775304413998</v>
      </c>
      <c r="U429" s="1">
        <f t="shared" si="27"/>
        <v>0.67842246955859908</v>
      </c>
    </row>
    <row r="430" spans="1:21" x14ac:dyDescent="0.3">
      <c r="A430" t="s">
        <v>292</v>
      </c>
      <c r="B430" t="s">
        <v>317</v>
      </c>
      <c r="C430" t="s">
        <v>574</v>
      </c>
      <c r="D430" t="s">
        <v>575</v>
      </c>
      <c r="E430" s="2">
        <v>17.3</v>
      </c>
      <c r="F430" s="2">
        <v>17.3</v>
      </c>
      <c r="G430" s="2">
        <v>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M430" s="2"/>
      <c r="N430" s="2"/>
      <c r="P430" s="1">
        <f>I430-'Passo 1'!I430</f>
        <v>0</v>
      </c>
      <c r="Q430" s="1">
        <f>J430-'Passo 1'!J430</f>
        <v>0</v>
      </c>
      <c r="R430" s="1">
        <f t="shared" si="25"/>
        <v>0</v>
      </c>
      <c r="S430">
        <f t="shared" si="24"/>
        <v>0</v>
      </c>
      <c r="T430" s="1">
        <f t="shared" si="26"/>
        <v>0</v>
      </c>
      <c r="U430" s="1">
        <f t="shared" si="27"/>
        <v>0</v>
      </c>
    </row>
    <row r="431" spans="1:21" x14ac:dyDescent="0.3">
      <c r="A431" t="s">
        <v>292</v>
      </c>
      <c r="B431" t="s">
        <v>318</v>
      </c>
      <c r="C431" t="s">
        <v>574</v>
      </c>
      <c r="D431" t="s">
        <v>575</v>
      </c>
      <c r="E431" s="2">
        <v>0</v>
      </c>
      <c r="F431" s="2">
        <v>0</v>
      </c>
      <c r="G431" s="2">
        <v>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M431" s="2"/>
      <c r="N431" s="2"/>
      <c r="P431" s="1">
        <f>I431-'Passo 1'!I431</f>
        <v>0</v>
      </c>
      <c r="Q431" s="1">
        <f>J431-'Passo 1'!J431</f>
        <v>0</v>
      </c>
      <c r="R431" s="1">
        <f t="shared" si="25"/>
        <v>0</v>
      </c>
      <c r="S431">
        <f t="shared" si="24"/>
        <v>0</v>
      </c>
      <c r="T431" s="1">
        <f t="shared" si="26"/>
        <v>0</v>
      </c>
      <c r="U431" s="1">
        <f t="shared" si="27"/>
        <v>0</v>
      </c>
    </row>
    <row r="432" spans="1:21" x14ac:dyDescent="0.3">
      <c r="A432" t="s">
        <v>292</v>
      </c>
      <c r="B432" t="s">
        <v>319</v>
      </c>
      <c r="C432" t="s">
        <v>576</v>
      </c>
      <c r="D432" t="s">
        <v>595</v>
      </c>
      <c r="E432" s="2">
        <v>18.574000000000002</v>
      </c>
      <c r="F432" s="2">
        <v>0</v>
      </c>
      <c r="G432" s="2">
        <v>2.4935</v>
      </c>
      <c r="H432" s="2">
        <v>-8.5470000000000006</v>
      </c>
      <c r="I432" s="1">
        <v>0.63424679659739402</v>
      </c>
      <c r="J432" s="1">
        <v>0.96015936254980006</v>
      </c>
      <c r="K432" s="1">
        <v>0.62860126231712599</v>
      </c>
      <c r="L432" s="1">
        <v>0.46580489683006698</v>
      </c>
      <c r="M432" s="2"/>
      <c r="N432" s="2"/>
      <c r="P432" s="1">
        <f>I432-'Passo 1'!I432</f>
        <v>2.7242381824055029E-2</v>
      </c>
      <c r="Q432" s="1">
        <f>J432-'Passo 1'!J432</f>
        <v>0.14878324539679111</v>
      </c>
      <c r="R432" s="1">
        <f t="shared" si="25"/>
        <v>11.780499999999998</v>
      </c>
      <c r="S432">
        <f t="shared" si="24"/>
        <v>17.833999999999989</v>
      </c>
      <c r="T432" s="1">
        <f t="shared" si="26"/>
        <v>11.675639846278299</v>
      </c>
      <c r="U432" s="1">
        <f t="shared" si="27"/>
        <v>8.6518601537216657</v>
      </c>
    </row>
    <row r="433" spans="1:21" x14ac:dyDescent="0.3">
      <c r="A433" t="s">
        <v>292</v>
      </c>
      <c r="B433" t="s">
        <v>713</v>
      </c>
      <c r="C433" t="s">
        <v>574</v>
      </c>
      <c r="D433" t="s">
        <v>575</v>
      </c>
      <c r="E433" s="2">
        <v>853.37199999999996</v>
      </c>
      <c r="F433" s="2">
        <v>0</v>
      </c>
      <c r="G433" s="2">
        <v>392.20100000000002</v>
      </c>
      <c r="H433" s="2">
        <v>-411.85449999999997</v>
      </c>
      <c r="I433" s="1">
        <v>0.95958972171573398</v>
      </c>
      <c r="J433" s="1">
        <v>0.98262012346315497</v>
      </c>
      <c r="K433" s="1">
        <v>0.66410522435633801</v>
      </c>
      <c r="L433" s="1">
        <v>0.77810462082255105</v>
      </c>
      <c r="M433" s="2"/>
      <c r="N433" s="2"/>
      <c r="P433" s="1">
        <f>I433-'Passo 1'!I433</f>
        <v>5.5375615792409016E-2</v>
      </c>
      <c r="Q433" s="1">
        <f>J433-'Passo 1'!J433</f>
        <v>0.19499057855190893</v>
      </c>
      <c r="R433" s="1">
        <f t="shared" si="25"/>
        <v>818.88699999999926</v>
      </c>
      <c r="S433">
        <f t="shared" si="24"/>
        <v>838.5404999999995</v>
      </c>
      <c r="T433" s="1">
        <f t="shared" si="26"/>
        <v>566.72880351941683</v>
      </c>
      <c r="U433" s="1">
        <f t="shared" si="27"/>
        <v>664.01269648058201</v>
      </c>
    </row>
    <row r="434" spans="1:21" x14ac:dyDescent="0.3">
      <c r="A434" t="s">
        <v>292</v>
      </c>
      <c r="B434" t="s">
        <v>714</v>
      </c>
      <c r="C434" t="s">
        <v>574</v>
      </c>
      <c r="D434" t="s">
        <v>575</v>
      </c>
      <c r="E434" s="2">
        <v>120.229</v>
      </c>
      <c r="F434" s="2">
        <v>0</v>
      </c>
      <c r="G434" s="2">
        <v>60.018500000000003</v>
      </c>
      <c r="H434" s="2">
        <v>-60.046500000000002</v>
      </c>
      <c r="I434" s="1">
        <v>0.99920152375882698</v>
      </c>
      <c r="J434" s="1">
        <v>0.99943441266250199</v>
      </c>
      <c r="K434" s="1">
        <v>0.73523317732307003</v>
      </c>
      <c r="L434" s="1">
        <v>0.76340275909825905</v>
      </c>
      <c r="M434" s="2"/>
      <c r="N434" s="2"/>
      <c r="P434" s="1">
        <f>I434-'Passo 1'!I434</f>
        <v>2.7747049380765998E-2</v>
      </c>
      <c r="Q434" s="1">
        <f>J434-'Passo 1'!J434</f>
        <v>1.0084921275232972E-2</v>
      </c>
      <c r="R434" s="1">
        <f t="shared" si="25"/>
        <v>120.13300000000001</v>
      </c>
      <c r="S434">
        <f t="shared" si="24"/>
        <v>120.16099999999994</v>
      </c>
      <c r="T434" s="1">
        <f t="shared" si="26"/>
        <v>88.39634967637538</v>
      </c>
      <c r="U434" s="1">
        <f t="shared" si="27"/>
        <v>91.783150323624582</v>
      </c>
    </row>
    <row r="435" spans="1:21" x14ac:dyDescent="0.3">
      <c r="A435" t="s">
        <v>292</v>
      </c>
      <c r="B435" t="s">
        <v>320</v>
      </c>
      <c r="C435" t="s">
        <v>574</v>
      </c>
      <c r="D435" t="s">
        <v>575</v>
      </c>
      <c r="E435" s="2">
        <v>189.28100000000001</v>
      </c>
      <c r="F435" s="2">
        <v>0</v>
      </c>
      <c r="G435" s="2">
        <v>93.992000000000004</v>
      </c>
      <c r="H435" s="2">
        <v>-72.025000000000006</v>
      </c>
      <c r="I435" s="1">
        <v>0.996573876934293</v>
      </c>
      <c r="J435" s="1">
        <v>0.88051891103702895</v>
      </c>
      <c r="K435" s="1">
        <v>0.72669569851874605</v>
      </c>
      <c r="L435" s="1">
        <v>0.65039708945257602</v>
      </c>
      <c r="M435" s="2"/>
      <c r="N435" s="2"/>
      <c r="P435" s="1">
        <f>I435-'Passo 1'!I435</f>
        <v>0.12862886396415896</v>
      </c>
      <c r="Q435" s="1">
        <f>J435-'Passo 1'!J435</f>
        <v>1.2869754491998897E-2</v>
      </c>
      <c r="R435" s="1">
        <f t="shared" si="25"/>
        <v>188.63249999999991</v>
      </c>
      <c r="S435">
        <f t="shared" si="24"/>
        <v>166.66549999999989</v>
      </c>
      <c r="T435" s="1">
        <f t="shared" si="26"/>
        <v>137.54968851132676</v>
      </c>
      <c r="U435" s="1">
        <f t="shared" si="27"/>
        <v>123.10781148867305</v>
      </c>
    </row>
    <row r="436" spans="1:21" x14ac:dyDescent="0.3">
      <c r="A436" t="s">
        <v>292</v>
      </c>
      <c r="B436" t="s">
        <v>321</v>
      </c>
      <c r="C436" t="s">
        <v>574</v>
      </c>
      <c r="D436" t="s">
        <v>575</v>
      </c>
      <c r="E436" s="2">
        <v>1674.9829999999999</v>
      </c>
      <c r="F436" s="2">
        <v>0</v>
      </c>
      <c r="G436" s="2">
        <v>786.02399999999898</v>
      </c>
      <c r="H436" s="2">
        <v>-744.28099999999995</v>
      </c>
      <c r="I436" s="1">
        <v>0.969272822470437</v>
      </c>
      <c r="J436" s="1">
        <v>0.94435137550649695</v>
      </c>
      <c r="K436" s="1">
        <v>0.74459373530578399</v>
      </c>
      <c r="L436" s="1">
        <v>0.66903046267114896</v>
      </c>
      <c r="M436" s="2"/>
      <c r="N436" s="2"/>
      <c r="P436" s="1">
        <f>I436-'Passo 1'!I436</f>
        <v>9.8616224761684967E-2</v>
      </c>
      <c r="Q436" s="1">
        <f>J436-'Passo 1'!J436</f>
        <v>9.3323335221908943E-2</v>
      </c>
      <c r="R436" s="1">
        <f t="shared" si="25"/>
        <v>1623.5155</v>
      </c>
      <c r="S436">
        <f t="shared" si="24"/>
        <v>1581.7724999999987</v>
      </c>
      <c r="T436" s="1">
        <f t="shared" si="26"/>
        <v>1247.1818485436879</v>
      </c>
      <c r="U436" s="1">
        <f t="shared" si="27"/>
        <v>1120.614651456309</v>
      </c>
    </row>
    <row r="437" spans="1:21" x14ac:dyDescent="0.3">
      <c r="A437" t="s">
        <v>292</v>
      </c>
      <c r="B437" t="s">
        <v>322</v>
      </c>
      <c r="C437" t="s">
        <v>574</v>
      </c>
      <c r="D437" t="s">
        <v>575</v>
      </c>
      <c r="E437" s="2">
        <v>363.28399999999999</v>
      </c>
      <c r="F437" s="2">
        <v>10.6</v>
      </c>
      <c r="G437" s="2">
        <v>109.92449999999999</v>
      </c>
      <c r="H437" s="2">
        <v>-112.7345</v>
      </c>
      <c r="I437" s="1">
        <v>0.78799644355380305</v>
      </c>
      <c r="J437" s="1">
        <v>0.79573143876416197</v>
      </c>
      <c r="K437" s="1">
        <v>0.56615770961187595</v>
      </c>
      <c r="L437" s="1">
        <v>0.53215930957972002</v>
      </c>
      <c r="M437" s="2"/>
      <c r="N437" s="2"/>
      <c r="P437" s="1">
        <f>I437-'Passo 1'!I437</f>
        <v>0.13233310577950008</v>
      </c>
      <c r="Q437" s="1">
        <f>J437-'Passo 1'!J437</f>
        <v>0.12767008731460794</v>
      </c>
      <c r="R437" s="1">
        <f t="shared" si="25"/>
        <v>286.26649999999978</v>
      </c>
      <c r="S437">
        <f t="shared" si="24"/>
        <v>289.07649999999978</v>
      </c>
      <c r="T437" s="1">
        <f t="shared" si="26"/>
        <v>205.67603737864073</v>
      </c>
      <c r="U437" s="1">
        <f t="shared" si="27"/>
        <v>193.32496262135899</v>
      </c>
    </row>
    <row r="438" spans="1:21" x14ac:dyDescent="0.3">
      <c r="A438" t="s">
        <v>292</v>
      </c>
      <c r="B438" t="s">
        <v>715</v>
      </c>
      <c r="C438" t="s">
        <v>574</v>
      </c>
      <c r="D438" t="s">
        <v>575</v>
      </c>
      <c r="E438" s="2">
        <v>1236.364</v>
      </c>
      <c r="F438" s="2">
        <v>0</v>
      </c>
      <c r="G438" s="2">
        <v>605.49950000000001</v>
      </c>
      <c r="H438" s="2">
        <v>-600.93449999999996</v>
      </c>
      <c r="I438" s="1">
        <v>0.98974209860526496</v>
      </c>
      <c r="J438" s="1">
        <v>0.98604982027946397</v>
      </c>
      <c r="K438" s="1">
        <v>0.69275915488760798</v>
      </c>
      <c r="L438" s="1">
        <v>0.78303276399712096</v>
      </c>
      <c r="M438" s="2"/>
      <c r="N438" s="2"/>
      <c r="P438" s="1">
        <f>I438-'Passo 1'!I438</f>
        <v>0.17257336836077397</v>
      </c>
      <c r="Q438" s="1">
        <f>J438-'Passo 1'!J438</f>
        <v>0.11157838630047401</v>
      </c>
      <c r="R438" s="1">
        <f t="shared" si="25"/>
        <v>1223.6814999999999</v>
      </c>
      <c r="S438">
        <f t="shared" si="24"/>
        <v>1219.1164999999992</v>
      </c>
      <c r="T438" s="1">
        <f t="shared" si="26"/>
        <v>856.5024797734626</v>
      </c>
      <c r="U438" s="1">
        <f t="shared" si="27"/>
        <v>968.11352022653648</v>
      </c>
    </row>
    <row r="439" spans="1:21" x14ac:dyDescent="0.3">
      <c r="A439" t="s">
        <v>292</v>
      </c>
      <c r="B439" t="s">
        <v>323</v>
      </c>
      <c r="C439" t="s">
        <v>574</v>
      </c>
      <c r="D439" t="s">
        <v>575</v>
      </c>
      <c r="E439" s="2">
        <v>1228.673</v>
      </c>
      <c r="F439" s="2">
        <v>0</v>
      </c>
      <c r="G439" s="2">
        <v>566.69050000000004</v>
      </c>
      <c r="H439" s="2">
        <v>-540.9325</v>
      </c>
      <c r="I439" s="1">
        <v>0.96122157807650999</v>
      </c>
      <c r="J439" s="1">
        <v>0.94025749731621</v>
      </c>
      <c r="K439" s="1">
        <v>0.64869560513067204</v>
      </c>
      <c r="L439" s="1">
        <v>0.75278347026204795</v>
      </c>
      <c r="M439" s="2"/>
      <c r="N439" s="2"/>
      <c r="P439" s="1">
        <f>I439-'Passo 1'!I439</f>
        <v>7.285502326493698E-2</v>
      </c>
      <c r="Q439" s="1">
        <f>J439-'Passo 1'!J439</f>
        <v>0.15133684877913001</v>
      </c>
      <c r="R439" s="1">
        <f t="shared" si="25"/>
        <v>1181.0269999999998</v>
      </c>
      <c r="S439">
        <f t="shared" si="24"/>
        <v>1155.2689999999998</v>
      </c>
      <c r="T439" s="1">
        <f t="shared" si="26"/>
        <v>797.03477524271818</v>
      </c>
      <c r="U439" s="1">
        <f t="shared" si="27"/>
        <v>924.9247247572813</v>
      </c>
    </row>
    <row r="440" spans="1:21" x14ac:dyDescent="0.3">
      <c r="A440" t="s">
        <v>292</v>
      </c>
      <c r="B440" t="s">
        <v>324</v>
      </c>
      <c r="C440" t="s">
        <v>574</v>
      </c>
      <c r="D440" t="s">
        <v>575</v>
      </c>
      <c r="E440" s="2">
        <v>261.23099999999999</v>
      </c>
      <c r="F440" s="2">
        <v>4.9729999999999999</v>
      </c>
      <c r="G440" s="2">
        <v>122.83799999999999</v>
      </c>
      <c r="H440" s="2">
        <v>-123.140999999999</v>
      </c>
      <c r="I440" s="1">
        <v>0.96070910420279299</v>
      </c>
      <c r="J440" s="1">
        <v>0.96186899717108598</v>
      </c>
      <c r="K440" s="1">
        <v>0.70305548738813495</v>
      </c>
      <c r="L440" s="1">
        <v>0.72904100958197904</v>
      </c>
      <c r="M440" s="2"/>
      <c r="N440" s="2"/>
      <c r="P440" s="1">
        <f>I440-'Passo 1'!I440</f>
        <v>2.207241866394094E-2</v>
      </c>
      <c r="Q440" s="1">
        <f>J440-'Passo 1'!J440</f>
        <v>2.7919733875382935E-2</v>
      </c>
      <c r="R440" s="1">
        <f t="shared" si="25"/>
        <v>250.96699999999981</v>
      </c>
      <c r="S440">
        <f t="shared" si="24"/>
        <v>251.26999999999995</v>
      </c>
      <c r="T440" s="1">
        <f t="shared" si="26"/>
        <v>183.65988802588987</v>
      </c>
      <c r="U440" s="1">
        <f t="shared" si="27"/>
        <v>190.44811197410996</v>
      </c>
    </row>
    <row r="441" spans="1:21" x14ac:dyDescent="0.3">
      <c r="A441" t="s">
        <v>292</v>
      </c>
      <c r="B441" t="s">
        <v>716</v>
      </c>
      <c r="C441" t="s">
        <v>574</v>
      </c>
      <c r="D441" t="s">
        <v>575</v>
      </c>
      <c r="E441" s="2">
        <v>498.84</v>
      </c>
      <c r="F441" s="2">
        <v>4.5999999999999999E-2</v>
      </c>
      <c r="G441" s="2">
        <v>240.14449999999999</v>
      </c>
      <c r="H441" s="2">
        <v>-238.6225</v>
      </c>
      <c r="I441" s="1">
        <v>0.98135975463074299</v>
      </c>
      <c r="J441" s="1">
        <v>0.97830867612861805</v>
      </c>
      <c r="K441" s="1">
        <v>0.75354479796039397</v>
      </c>
      <c r="L441" s="1">
        <v>0.70616973976713304</v>
      </c>
      <c r="M441" s="2"/>
      <c r="N441" s="2"/>
      <c r="P441" s="1">
        <f>I441-'Passo 1'!I441</f>
        <v>3.003367813326896E-2</v>
      </c>
      <c r="Q441" s="1">
        <f>J441-'Passo 1'!J441</f>
        <v>2.2993344559378071E-2</v>
      </c>
      <c r="R441" s="1">
        <f t="shared" si="25"/>
        <v>489.54149999999981</v>
      </c>
      <c r="S441">
        <f t="shared" si="24"/>
        <v>488.01949999999982</v>
      </c>
      <c r="T441" s="1">
        <f t="shared" si="26"/>
        <v>375.89828701456292</v>
      </c>
      <c r="U441" s="1">
        <f t="shared" si="27"/>
        <v>352.26571298543661</v>
      </c>
    </row>
    <row r="442" spans="1:21" x14ac:dyDescent="0.3">
      <c r="A442" t="s">
        <v>292</v>
      </c>
      <c r="B442" t="s">
        <v>717</v>
      </c>
      <c r="C442" t="s">
        <v>574</v>
      </c>
      <c r="D442" t="s">
        <v>575</v>
      </c>
      <c r="E442" s="2">
        <v>1452.2370000000001</v>
      </c>
      <c r="F442" s="2">
        <v>0</v>
      </c>
      <c r="G442" s="2">
        <v>625.01049999999998</v>
      </c>
      <c r="H442" s="2">
        <v>-617.22550000000001</v>
      </c>
      <c r="I442" s="1">
        <v>0.93037775514602605</v>
      </c>
      <c r="J442" s="1">
        <v>0.92501705988760696</v>
      </c>
      <c r="K442" s="1">
        <v>0.61844572128387398</v>
      </c>
      <c r="L442" s="1">
        <v>0.73694909374976003</v>
      </c>
      <c r="M442" s="2"/>
      <c r="N442" s="2"/>
      <c r="P442" s="1">
        <f>I442-'Passo 1'!I442</f>
        <v>0.11629300176210911</v>
      </c>
      <c r="Q442" s="1">
        <f>J442-'Passo 1'!J442</f>
        <v>0.15208468039307599</v>
      </c>
      <c r="R442" s="1">
        <f t="shared" si="25"/>
        <v>1351.1289999999995</v>
      </c>
      <c r="S442">
        <f t="shared" si="24"/>
        <v>1343.3439999999987</v>
      </c>
      <c r="T442" s="1">
        <f t="shared" si="26"/>
        <v>898.12975894012936</v>
      </c>
      <c r="U442" s="1">
        <f t="shared" si="27"/>
        <v>1070.2247410598702</v>
      </c>
    </row>
    <row r="443" spans="1:21" x14ac:dyDescent="0.3">
      <c r="A443" t="s">
        <v>292</v>
      </c>
      <c r="B443" t="s">
        <v>718</v>
      </c>
      <c r="C443" t="s">
        <v>574</v>
      </c>
      <c r="D443" t="s">
        <v>575</v>
      </c>
      <c r="E443" s="2">
        <v>176.815</v>
      </c>
      <c r="F443" s="2">
        <v>0</v>
      </c>
      <c r="G443" s="2">
        <v>82.64</v>
      </c>
      <c r="H443" s="2">
        <v>-82.077999999999903</v>
      </c>
      <c r="I443" s="1">
        <v>0.96738116110058503</v>
      </c>
      <c r="J443" s="1">
        <v>0.96420269773491996</v>
      </c>
      <c r="K443" s="1">
        <v>0.87212173795824599</v>
      </c>
      <c r="L443" s="1">
        <v>0.55946212087725899</v>
      </c>
      <c r="M443" s="2"/>
      <c r="N443" s="2"/>
      <c r="P443" s="1">
        <f>I443-'Passo 1'!I443</f>
        <v>3.2302123688601081E-2</v>
      </c>
      <c r="Q443" s="1">
        <f>J443-'Passo 1'!J443</f>
        <v>2.4491700364787983E-2</v>
      </c>
      <c r="R443" s="1">
        <f t="shared" si="25"/>
        <v>171.04749999999993</v>
      </c>
      <c r="S443">
        <f t="shared" si="24"/>
        <v>170.48549999999986</v>
      </c>
      <c r="T443" s="1">
        <f t="shared" si="26"/>
        <v>154.20420509708725</v>
      </c>
      <c r="U443" s="1">
        <f t="shared" si="27"/>
        <v>98.92129490291255</v>
      </c>
    </row>
    <row r="444" spans="1:21" x14ac:dyDescent="0.3">
      <c r="A444" t="s">
        <v>292</v>
      </c>
      <c r="B444" t="s">
        <v>325</v>
      </c>
      <c r="C444" t="s">
        <v>576</v>
      </c>
      <c r="D444" t="s">
        <v>595</v>
      </c>
      <c r="E444" s="2">
        <v>182.553</v>
      </c>
      <c r="F444" s="2">
        <v>0</v>
      </c>
      <c r="G444" s="2">
        <v>12.324999999999999</v>
      </c>
      <c r="H444" s="2">
        <v>-38.975999999999999</v>
      </c>
      <c r="I444" s="1">
        <v>0.56751463958411996</v>
      </c>
      <c r="J444" s="1">
        <v>0.71350511906131298</v>
      </c>
      <c r="K444" s="1">
        <v>0.47885940546141498</v>
      </c>
      <c r="L444" s="1">
        <v>0.30216035318401901</v>
      </c>
      <c r="M444" s="2"/>
      <c r="N444" s="2"/>
      <c r="P444" s="1">
        <f>I444-'Passo 1'!I444</f>
        <v>2.7959003686599981E-2</v>
      </c>
      <c r="Q444" s="1">
        <f>J444-'Passo 1'!J444</f>
        <v>7.3532070138535022E-2</v>
      </c>
      <c r="R444" s="1">
        <f t="shared" si="25"/>
        <v>103.60149999999985</v>
      </c>
      <c r="S444">
        <f t="shared" si="24"/>
        <v>130.25249999999986</v>
      </c>
      <c r="T444" s="1">
        <f t="shared" si="26"/>
        <v>87.417221045197692</v>
      </c>
      <c r="U444" s="1">
        <f t="shared" si="27"/>
        <v>55.160278954802223</v>
      </c>
    </row>
    <row r="445" spans="1:21" x14ac:dyDescent="0.3">
      <c r="A445" t="s">
        <v>292</v>
      </c>
      <c r="B445" t="s">
        <v>326</v>
      </c>
      <c r="C445" t="s">
        <v>576</v>
      </c>
      <c r="D445" t="s">
        <v>595</v>
      </c>
      <c r="E445" s="2">
        <v>221.489</v>
      </c>
      <c r="F445" s="2">
        <v>0</v>
      </c>
      <c r="G445" s="2">
        <v>47.564999999999998</v>
      </c>
      <c r="H445" s="2">
        <v>-55.52</v>
      </c>
      <c r="I445" s="1">
        <v>0.71475107115929004</v>
      </c>
      <c r="J445" s="1">
        <v>0.75066707601731897</v>
      </c>
      <c r="K445" s="1">
        <v>0.58926216776831397</v>
      </c>
      <c r="L445" s="1">
        <v>0.37615597940829398</v>
      </c>
      <c r="M445" s="2"/>
      <c r="N445" s="2"/>
      <c r="P445" s="1">
        <f>I445-'Passo 1'!I445</f>
        <v>8.2191440658453074E-2</v>
      </c>
      <c r="Q445" s="1">
        <f>J445-'Passo 1'!J445</f>
        <v>8.7444523204312952E-2</v>
      </c>
      <c r="R445" s="1">
        <f t="shared" si="25"/>
        <v>158.30949999999999</v>
      </c>
      <c r="S445">
        <f t="shared" si="24"/>
        <v>166.26449999999997</v>
      </c>
      <c r="T445" s="1">
        <f t="shared" si="26"/>
        <v>130.51508827683608</v>
      </c>
      <c r="U445" s="1">
        <f t="shared" si="27"/>
        <v>83.31441172316363</v>
      </c>
    </row>
    <row r="446" spans="1:21" x14ac:dyDescent="0.3">
      <c r="A446" t="s">
        <v>292</v>
      </c>
      <c r="B446" t="s">
        <v>327</v>
      </c>
      <c r="C446" t="s">
        <v>576</v>
      </c>
      <c r="D446" t="s">
        <v>595</v>
      </c>
      <c r="E446" s="2">
        <v>336.35899999999998</v>
      </c>
      <c r="F446" s="2">
        <v>0</v>
      </c>
      <c r="G446" s="2">
        <v>97.128999999999905</v>
      </c>
      <c r="H446" s="2">
        <v>-145.2415</v>
      </c>
      <c r="I446" s="1">
        <v>0.78876587217823801</v>
      </c>
      <c r="J446" s="1">
        <v>0.931805005960893</v>
      </c>
      <c r="K446" s="1">
        <v>0.41502662955471797</v>
      </c>
      <c r="L446" s="1">
        <v>0.80554424858441298</v>
      </c>
      <c r="M446" s="2"/>
      <c r="N446" s="2"/>
      <c r="P446" s="1">
        <f>I446-'Passo 1'!I446</f>
        <v>0.140495720346416</v>
      </c>
      <c r="Q446" s="1">
        <f>J446-'Passo 1'!J446</f>
        <v>8.1505177503798043E-2</v>
      </c>
      <c r="R446" s="1">
        <f t="shared" si="25"/>
        <v>265.30849999999992</v>
      </c>
      <c r="S446">
        <f t="shared" si="24"/>
        <v>313.42099999999999</v>
      </c>
      <c r="T446" s="1">
        <f t="shared" si="26"/>
        <v>139.59794209039538</v>
      </c>
      <c r="U446" s="1">
        <f t="shared" si="27"/>
        <v>270.95205790960455</v>
      </c>
    </row>
    <row r="447" spans="1:21" x14ac:dyDescent="0.3">
      <c r="A447" t="s">
        <v>292</v>
      </c>
      <c r="B447" t="s">
        <v>328</v>
      </c>
      <c r="C447" t="s">
        <v>576</v>
      </c>
      <c r="D447" t="s">
        <v>595</v>
      </c>
      <c r="E447" s="2">
        <v>192.94800000000001</v>
      </c>
      <c r="F447" s="2">
        <v>0</v>
      </c>
      <c r="G447" s="2">
        <v>21.178000000000001</v>
      </c>
      <c r="H447" s="2">
        <v>-72.504999999999995</v>
      </c>
      <c r="I447" s="1">
        <v>0.60976014262910205</v>
      </c>
      <c r="J447" s="1">
        <v>0.87577482015879904</v>
      </c>
      <c r="K447" s="1">
        <v>0.39397789859745502</v>
      </c>
      <c r="L447" s="1">
        <v>0.59155706419044496</v>
      </c>
      <c r="M447" s="2"/>
      <c r="N447" s="2"/>
      <c r="P447" s="1">
        <f>I447-'Passo 1'!I447</f>
        <v>4.9686962290358072E-2</v>
      </c>
      <c r="Q447" s="1">
        <f>J447-'Passo 1'!J447</f>
        <v>0.16256193378526906</v>
      </c>
      <c r="R447" s="1">
        <f t="shared" si="25"/>
        <v>117.65199999999999</v>
      </c>
      <c r="S447">
        <f t="shared" si="24"/>
        <v>168.97899999999996</v>
      </c>
      <c r="T447" s="1">
        <f t="shared" si="26"/>
        <v>76.01724757858176</v>
      </c>
      <c r="U447" s="1">
        <f t="shared" si="27"/>
        <v>114.13975242141798</v>
      </c>
    </row>
    <row r="448" spans="1:21" x14ac:dyDescent="0.3">
      <c r="A448" t="s">
        <v>292</v>
      </c>
      <c r="B448" t="s">
        <v>329</v>
      </c>
      <c r="C448" t="s">
        <v>576</v>
      </c>
      <c r="D448" t="s">
        <v>595</v>
      </c>
      <c r="E448" s="2">
        <v>224.57400000000001</v>
      </c>
      <c r="F448" s="2">
        <v>0</v>
      </c>
      <c r="G448" s="2">
        <v>64.025999999999996</v>
      </c>
      <c r="H448" s="2">
        <v>-110.4665</v>
      </c>
      <c r="I448" s="1">
        <v>0.78509978893371402</v>
      </c>
      <c r="J448" s="1">
        <v>0.99189354065920299</v>
      </c>
      <c r="K448" s="1">
        <v>0.49047509320701099</v>
      </c>
      <c r="L448" s="1">
        <v>0.78651823638590601</v>
      </c>
      <c r="M448" s="2"/>
      <c r="N448" s="2"/>
      <c r="P448" s="1">
        <f>I448-'Passo 1'!I448</f>
        <v>9.951508188837499E-2</v>
      </c>
      <c r="Q448" s="1">
        <f>J448-'Passo 1'!J448</f>
        <v>0.22175986534505299</v>
      </c>
      <c r="R448" s="1">
        <f t="shared" si="25"/>
        <v>176.3129999999999</v>
      </c>
      <c r="S448">
        <f t="shared" si="24"/>
        <v>222.75349999999986</v>
      </c>
      <c r="T448" s="1">
        <f t="shared" si="26"/>
        <v>110.14795358187129</v>
      </c>
      <c r="U448" s="1">
        <f t="shared" si="27"/>
        <v>176.63154641812847</v>
      </c>
    </row>
    <row r="449" spans="1:21" x14ac:dyDescent="0.3">
      <c r="A449" t="s">
        <v>292</v>
      </c>
      <c r="B449" t="s">
        <v>330</v>
      </c>
      <c r="C449" t="s">
        <v>576</v>
      </c>
      <c r="D449" t="s">
        <v>595</v>
      </c>
      <c r="E449" s="2">
        <v>335.33499999999998</v>
      </c>
      <c r="F449" s="2">
        <v>0</v>
      </c>
      <c r="G449" s="2">
        <v>123.8215</v>
      </c>
      <c r="H449" s="2">
        <v>-165.01650000000001</v>
      </c>
      <c r="I449" s="1">
        <v>0.86924717073970803</v>
      </c>
      <c r="J449" s="1">
        <v>0.99209447269148698</v>
      </c>
      <c r="K449" s="1">
        <v>0.52137262667506101</v>
      </c>
      <c r="L449" s="1">
        <v>0.839969016756133</v>
      </c>
      <c r="M449" s="2"/>
      <c r="N449" s="2"/>
      <c r="P449" s="1">
        <f>I449-'Passo 1'!I449</f>
        <v>0.13647099169487298</v>
      </c>
      <c r="Q449" s="1">
        <f>J449-'Passo 1'!J449</f>
        <v>0.11567835149924699</v>
      </c>
      <c r="R449" s="1">
        <f t="shared" si="25"/>
        <v>291.48899999999998</v>
      </c>
      <c r="S449">
        <f t="shared" si="24"/>
        <v>332.68399999999974</v>
      </c>
      <c r="T449" s="1">
        <f t="shared" si="26"/>
        <v>174.83448976608156</v>
      </c>
      <c r="U449" s="1">
        <f t="shared" si="27"/>
        <v>281.67101023391785</v>
      </c>
    </row>
    <row r="450" spans="1:21" x14ac:dyDescent="0.3">
      <c r="A450" t="s">
        <v>292</v>
      </c>
      <c r="B450" t="s">
        <v>331</v>
      </c>
      <c r="C450" t="s">
        <v>576</v>
      </c>
      <c r="D450" t="s">
        <v>598</v>
      </c>
      <c r="E450" s="2">
        <v>82.944999999999993</v>
      </c>
      <c r="F450" s="2">
        <v>0</v>
      </c>
      <c r="G450" s="2">
        <v>38.610500000000002</v>
      </c>
      <c r="H450" s="2">
        <v>-38.023000000000003</v>
      </c>
      <c r="I450" s="1">
        <v>0.965495207667731</v>
      </c>
      <c r="J450" s="1">
        <v>0.95841220085598799</v>
      </c>
      <c r="K450" s="1">
        <v>0.88622477354642104</v>
      </c>
      <c r="L450" s="1">
        <v>0.53768263497729896</v>
      </c>
      <c r="M450" s="2"/>
      <c r="N450" s="2"/>
      <c r="P450" s="1">
        <f>I450-'Passo 1'!I450</f>
        <v>0.13297968533365501</v>
      </c>
      <c r="Q450" s="1">
        <f>J450-'Passo 1'!J450</f>
        <v>-3.6711073602999633E-3</v>
      </c>
      <c r="R450" s="1">
        <f t="shared" si="25"/>
        <v>80.082999999999942</v>
      </c>
      <c r="S450">
        <f t="shared" ref="S450:S513" si="28">J450*E450</f>
        <v>79.495499999999922</v>
      </c>
      <c r="T450" s="1">
        <f t="shared" si="26"/>
        <v>73.507913841807891</v>
      </c>
      <c r="U450" s="1">
        <f t="shared" si="27"/>
        <v>44.598086158192061</v>
      </c>
    </row>
    <row r="451" spans="1:21" x14ac:dyDescent="0.3">
      <c r="A451" t="s">
        <v>292</v>
      </c>
      <c r="B451" t="s">
        <v>332</v>
      </c>
      <c r="C451" t="s">
        <v>574</v>
      </c>
      <c r="D451" t="s">
        <v>575</v>
      </c>
      <c r="E451" s="2">
        <v>1142.3309999999999</v>
      </c>
      <c r="F451" s="2">
        <v>0</v>
      </c>
      <c r="G451" s="2">
        <v>432.33749999999998</v>
      </c>
      <c r="H451" s="2">
        <v>-405.19499999999903</v>
      </c>
      <c r="I451" s="1">
        <v>0.87846955041927399</v>
      </c>
      <c r="J451" s="1">
        <v>0.85470892412094202</v>
      </c>
      <c r="K451" s="1">
        <v>0.58850646217688496</v>
      </c>
      <c r="L451" s="1">
        <v>0.64467201236333005</v>
      </c>
      <c r="M451" s="2"/>
      <c r="N451" s="2"/>
      <c r="P451" s="1">
        <f>I451-'Passo 1'!I451</f>
        <v>8.2469529409601949E-2</v>
      </c>
      <c r="Q451" s="1">
        <f>J451-'Passo 1'!J451</f>
        <v>5.5729031252762962E-2</v>
      </c>
      <c r="R451" s="1">
        <f t="shared" ref="R451:R514" si="29">I451*E451</f>
        <v>1003.5029999999996</v>
      </c>
      <c r="S451">
        <f t="shared" si="28"/>
        <v>976.36049999999977</v>
      </c>
      <c r="T451" s="1">
        <f t="shared" ref="T451:T514" si="30">K451*E451</f>
        <v>672.26917544498315</v>
      </c>
      <c r="U451" s="1">
        <f t="shared" ref="U451:U514" si="31">L451*E451</f>
        <v>736.42882455501513</v>
      </c>
    </row>
    <row r="452" spans="1:21" x14ac:dyDescent="0.3">
      <c r="A452" t="s">
        <v>292</v>
      </c>
      <c r="B452" t="s">
        <v>333</v>
      </c>
      <c r="C452" t="s">
        <v>574</v>
      </c>
      <c r="D452" t="s">
        <v>575</v>
      </c>
      <c r="E452" s="2">
        <v>76.515000000000001</v>
      </c>
      <c r="F452" s="2">
        <v>0</v>
      </c>
      <c r="G452" s="2">
        <v>38.177</v>
      </c>
      <c r="H452" s="2">
        <v>-38.195</v>
      </c>
      <c r="I452" s="1">
        <v>0.99894791870874899</v>
      </c>
      <c r="J452" s="1">
        <v>0.99918316669934004</v>
      </c>
      <c r="K452" s="1">
        <v>0.63638311237067302</v>
      </c>
      <c r="L452" s="1">
        <v>0.86174797303741602</v>
      </c>
      <c r="M452" s="2"/>
      <c r="N452" s="2"/>
      <c r="P452" s="1">
        <f>I452-'Passo 1'!I452</f>
        <v>1.6885577991243017E-2</v>
      </c>
      <c r="Q452" s="1">
        <f>J452-'Passo 1'!J452</f>
        <v>5.730902437431018E-3</v>
      </c>
      <c r="R452" s="1">
        <f t="shared" si="29"/>
        <v>76.434499999999929</v>
      </c>
      <c r="S452">
        <f t="shared" si="28"/>
        <v>76.452500000000001</v>
      </c>
      <c r="T452" s="1">
        <f t="shared" si="30"/>
        <v>48.692853843042045</v>
      </c>
      <c r="U452" s="1">
        <f t="shared" si="31"/>
        <v>65.936646156957892</v>
      </c>
    </row>
    <row r="453" spans="1:21" x14ac:dyDescent="0.3">
      <c r="A453" t="s">
        <v>292</v>
      </c>
      <c r="B453" t="s">
        <v>334</v>
      </c>
      <c r="C453" t="s">
        <v>574</v>
      </c>
      <c r="D453" t="s">
        <v>575</v>
      </c>
      <c r="E453" s="2">
        <v>128.464</v>
      </c>
      <c r="F453" s="2">
        <v>0</v>
      </c>
      <c r="G453" s="2">
        <v>59.56</v>
      </c>
      <c r="H453" s="2">
        <v>-45.125999999999998</v>
      </c>
      <c r="I453" s="1">
        <v>0.96363183459957602</v>
      </c>
      <c r="J453" s="1">
        <v>0.85127350853157302</v>
      </c>
      <c r="K453" s="1">
        <v>0.90732160056879096</v>
      </c>
      <c r="L453" s="1">
        <v>0.40758374256235702</v>
      </c>
      <c r="M453" s="2"/>
      <c r="N453" s="2"/>
      <c r="P453" s="1">
        <f>I453-'Passo 1'!I453</f>
        <v>7.6624579648773006E-2</v>
      </c>
      <c r="Q453" s="1">
        <f>J453-'Passo 1'!J453</f>
        <v>-1.1676422966699906E-4</v>
      </c>
      <c r="R453" s="1">
        <f t="shared" si="29"/>
        <v>123.79199999999993</v>
      </c>
      <c r="S453">
        <f t="shared" si="28"/>
        <v>109.35799999999999</v>
      </c>
      <c r="T453" s="1">
        <f t="shared" si="30"/>
        <v>116.55816209546916</v>
      </c>
      <c r="U453" s="1">
        <f t="shared" si="31"/>
        <v>52.359837904530629</v>
      </c>
    </row>
    <row r="454" spans="1:21" x14ac:dyDescent="0.3">
      <c r="A454" t="s">
        <v>292</v>
      </c>
      <c r="B454" t="s">
        <v>335</v>
      </c>
      <c r="C454" t="s">
        <v>580</v>
      </c>
      <c r="D454" t="s">
        <v>581</v>
      </c>
      <c r="E454" s="2">
        <v>1</v>
      </c>
      <c r="F454" s="2">
        <v>0</v>
      </c>
      <c r="G454" s="2">
        <v>0.5</v>
      </c>
      <c r="H454" s="2">
        <v>-0.5</v>
      </c>
      <c r="I454" s="1">
        <v>1</v>
      </c>
      <c r="J454" s="1">
        <v>1</v>
      </c>
      <c r="K454" s="1">
        <v>0.98153058252427094</v>
      </c>
      <c r="L454" s="1">
        <v>0.51846941747572795</v>
      </c>
      <c r="M454" s="2"/>
      <c r="N454" s="2"/>
      <c r="P454" s="1">
        <f>I454-'Passo 1'!I454</f>
        <v>0</v>
      </c>
      <c r="Q454" s="1">
        <f>J454-'Passo 1'!J454</f>
        <v>0</v>
      </c>
      <c r="R454" s="1">
        <f t="shared" si="29"/>
        <v>1</v>
      </c>
      <c r="S454">
        <f t="shared" si="28"/>
        <v>1</v>
      </c>
      <c r="T454" s="1">
        <f t="shared" si="30"/>
        <v>0.98153058252427094</v>
      </c>
      <c r="U454" s="1">
        <f t="shared" si="31"/>
        <v>0.51846941747572795</v>
      </c>
    </row>
    <row r="455" spans="1:21" x14ac:dyDescent="0.3">
      <c r="A455" t="s">
        <v>292</v>
      </c>
      <c r="B455" t="s">
        <v>336</v>
      </c>
      <c r="C455" t="s">
        <v>34</v>
      </c>
      <c r="D455" t="s">
        <v>35</v>
      </c>
      <c r="E455" s="2">
        <v>2488.42</v>
      </c>
      <c r="F455" s="2">
        <v>0</v>
      </c>
      <c r="G455" s="2">
        <v>585.12950000000001</v>
      </c>
      <c r="H455" s="2">
        <v>-634.67849999999999</v>
      </c>
      <c r="I455" s="1">
        <v>0.73514097298687497</v>
      </c>
      <c r="J455" s="1">
        <v>0.75505280459086399</v>
      </c>
      <c r="K455" s="1">
        <v>0.63951730052762901</v>
      </c>
      <c r="L455" s="1">
        <v>0.35067647705011001</v>
      </c>
      <c r="M455" s="2"/>
      <c r="N455" s="2"/>
      <c r="P455" s="1">
        <f>I455-'Passo 1'!I455</f>
        <v>5.701589763785897E-2</v>
      </c>
      <c r="Q455" s="1">
        <f>J455-'Passo 1'!J455</f>
        <v>9.1762242708223973E-2</v>
      </c>
      <c r="R455" s="1">
        <f t="shared" si="29"/>
        <v>1829.3394999999996</v>
      </c>
      <c r="S455">
        <f t="shared" si="28"/>
        <v>1878.8884999999977</v>
      </c>
      <c r="T455" s="1">
        <f t="shared" si="30"/>
        <v>1591.3876409789625</v>
      </c>
      <c r="U455" s="1">
        <f t="shared" si="31"/>
        <v>872.63035902103479</v>
      </c>
    </row>
    <row r="456" spans="1:21" x14ac:dyDescent="0.3">
      <c r="A456" t="s">
        <v>292</v>
      </c>
      <c r="B456" t="s">
        <v>337</v>
      </c>
      <c r="C456" t="s">
        <v>574</v>
      </c>
      <c r="D456" t="s">
        <v>575</v>
      </c>
      <c r="E456" s="2">
        <v>406</v>
      </c>
      <c r="F456" s="2">
        <v>1.224</v>
      </c>
      <c r="G456" s="2">
        <v>110.864499999999</v>
      </c>
      <c r="H456" s="2">
        <v>-134.88800000000001</v>
      </c>
      <c r="I456" s="1">
        <v>0.77155788177339901</v>
      </c>
      <c r="J456" s="1">
        <v>0.83072906403940805</v>
      </c>
      <c r="K456" s="1">
        <v>0.46337695171138399</v>
      </c>
      <c r="L456" s="1">
        <v>0.64041738326398501</v>
      </c>
      <c r="M456" s="2"/>
      <c r="N456" s="2"/>
      <c r="P456" s="1">
        <f>I456-'Passo 1'!I456</f>
        <v>0</v>
      </c>
      <c r="Q456" s="1">
        <f>J456-'Passo 1'!J456</f>
        <v>6.1576354679804268E-4</v>
      </c>
      <c r="R456" s="1">
        <f t="shared" si="29"/>
        <v>313.2525</v>
      </c>
      <c r="S456">
        <f t="shared" si="28"/>
        <v>337.27599999999967</v>
      </c>
      <c r="T456" s="1">
        <f t="shared" si="30"/>
        <v>188.13104239482189</v>
      </c>
      <c r="U456" s="1">
        <f t="shared" si="31"/>
        <v>260.00945760517789</v>
      </c>
    </row>
    <row r="457" spans="1:21" x14ac:dyDescent="0.3">
      <c r="A457" t="s">
        <v>292</v>
      </c>
      <c r="B457" t="s">
        <v>338</v>
      </c>
      <c r="C457" t="s">
        <v>576</v>
      </c>
      <c r="D457" t="s">
        <v>591</v>
      </c>
      <c r="E457" s="2">
        <v>172</v>
      </c>
      <c r="F457" s="2">
        <v>0.15</v>
      </c>
      <c r="G457" s="2">
        <v>69.438500000000005</v>
      </c>
      <c r="H457" s="2">
        <v>-73.938500000000005</v>
      </c>
      <c r="I457" s="1">
        <v>0.903276162790697</v>
      </c>
      <c r="J457" s="1">
        <v>0.92943895348837202</v>
      </c>
      <c r="K457" s="1">
        <v>0.68957572109957099</v>
      </c>
      <c r="L457" s="1">
        <v>0.64357544169112602</v>
      </c>
      <c r="M457" s="2"/>
      <c r="N457" s="2"/>
      <c r="P457" s="1">
        <f>I457-'Passo 1'!I457</f>
        <v>0.11392441860465097</v>
      </c>
      <c r="Q457" s="1">
        <f>J457-'Passo 1'!J457</f>
        <v>0</v>
      </c>
      <c r="R457" s="1">
        <f t="shared" si="29"/>
        <v>155.36349999999987</v>
      </c>
      <c r="S457">
        <f t="shared" si="28"/>
        <v>159.86349999999999</v>
      </c>
      <c r="T457" s="1">
        <f t="shared" si="30"/>
        <v>118.60702402912621</v>
      </c>
      <c r="U457" s="1">
        <f t="shared" si="31"/>
        <v>110.69497597087367</v>
      </c>
    </row>
    <row r="458" spans="1:21" x14ac:dyDescent="0.3">
      <c r="A458" t="s">
        <v>292</v>
      </c>
      <c r="B458" t="s">
        <v>339</v>
      </c>
      <c r="C458" t="s">
        <v>580</v>
      </c>
      <c r="D458" t="s">
        <v>581</v>
      </c>
      <c r="E458" s="2">
        <v>16.82</v>
      </c>
      <c r="F458" s="2">
        <v>3.0000000000000001E-3</v>
      </c>
      <c r="G458" s="2">
        <v>7.91</v>
      </c>
      <c r="H458" s="2">
        <v>-7.91</v>
      </c>
      <c r="I458" s="1">
        <v>0.97018430439952397</v>
      </c>
      <c r="J458" s="1">
        <v>0.97018430439952397</v>
      </c>
      <c r="K458" s="1">
        <v>0.91511345139281697</v>
      </c>
      <c r="L458" s="1">
        <v>0.52534433695438798</v>
      </c>
      <c r="M458" s="2"/>
      <c r="N458" s="2"/>
      <c r="P458" s="1">
        <f>I458-'Passo 1'!I458</f>
        <v>0</v>
      </c>
      <c r="Q458" s="1">
        <f>J458-'Passo 1'!J458</f>
        <v>0</v>
      </c>
      <c r="R458" s="1">
        <f t="shared" si="29"/>
        <v>16.318499999999993</v>
      </c>
      <c r="S458">
        <f t="shared" si="28"/>
        <v>16.318499999999993</v>
      </c>
      <c r="T458" s="1">
        <f t="shared" si="30"/>
        <v>15.392208252427181</v>
      </c>
      <c r="U458" s="1">
        <f t="shared" si="31"/>
        <v>8.8362917475728064</v>
      </c>
    </row>
    <row r="459" spans="1:21" x14ac:dyDescent="0.3">
      <c r="A459" t="s">
        <v>292</v>
      </c>
      <c r="B459" t="s">
        <v>340</v>
      </c>
      <c r="C459" t="s">
        <v>574</v>
      </c>
      <c r="D459" t="s">
        <v>575</v>
      </c>
      <c r="E459" s="2">
        <v>108</v>
      </c>
      <c r="F459" s="2">
        <v>7.9000000000000001E-2</v>
      </c>
      <c r="G459" s="2">
        <v>40.424999999999997</v>
      </c>
      <c r="H459" s="2">
        <v>-47.460500000000003</v>
      </c>
      <c r="I459" s="1">
        <v>0.87393981481481398</v>
      </c>
      <c r="J459" s="1">
        <v>0.93908333333333305</v>
      </c>
      <c r="K459" s="1">
        <v>0.55181036984597798</v>
      </c>
      <c r="L459" s="1">
        <v>0.76157851904290996</v>
      </c>
      <c r="M459" s="2"/>
      <c r="N459" s="2"/>
      <c r="P459" s="1">
        <f>I459-'Passo 1'!I459</f>
        <v>0</v>
      </c>
      <c r="Q459" s="1">
        <f>J459-'Passo 1'!J459</f>
        <v>0</v>
      </c>
      <c r="R459" s="1">
        <f t="shared" si="29"/>
        <v>94.385499999999908</v>
      </c>
      <c r="S459">
        <f t="shared" si="28"/>
        <v>101.42099999999996</v>
      </c>
      <c r="T459" s="1">
        <f t="shared" si="30"/>
        <v>59.595519943365623</v>
      </c>
      <c r="U459" s="1">
        <f t="shared" si="31"/>
        <v>82.250480056634274</v>
      </c>
    </row>
    <row r="460" spans="1:21" x14ac:dyDescent="0.3">
      <c r="A460" t="s">
        <v>292</v>
      </c>
      <c r="B460" t="s">
        <v>341</v>
      </c>
      <c r="C460" t="s">
        <v>580</v>
      </c>
      <c r="D460" t="s">
        <v>581</v>
      </c>
      <c r="E460" s="2">
        <v>40</v>
      </c>
      <c r="F460" s="2">
        <v>0</v>
      </c>
      <c r="G460" s="2">
        <v>12.49</v>
      </c>
      <c r="H460" s="2">
        <v>-13.75</v>
      </c>
      <c r="I460" s="1">
        <v>0.81225000000000003</v>
      </c>
      <c r="J460" s="1">
        <v>0.84375</v>
      </c>
      <c r="K460" s="1">
        <v>0.604565095064725</v>
      </c>
      <c r="L460" s="1">
        <v>0.55143490493527503</v>
      </c>
      <c r="M460" s="2"/>
      <c r="N460" s="2"/>
      <c r="P460" s="1">
        <f>I460-'Passo 1'!I460</f>
        <v>7.0150000000000046E-2</v>
      </c>
      <c r="Q460" s="1">
        <f>J460-'Passo 1'!J460</f>
        <v>1.9012499999999988E-2</v>
      </c>
      <c r="R460" s="1">
        <f t="shared" si="29"/>
        <v>32.49</v>
      </c>
      <c r="S460">
        <f t="shared" si="28"/>
        <v>33.75</v>
      </c>
      <c r="T460" s="1">
        <f t="shared" si="30"/>
        <v>24.182603802589</v>
      </c>
      <c r="U460" s="1">
        <f t="shared" si="31"/>
        <v>22.057396197411002</v>
      </c>
    </row>
    <row r="461" spans="1:21" x14ac:dyDescent="0.3">
      <c r="A461" t="s">
        <v>292</v>
      </c>
      <c r="B461" t="s">
        <v>342</v>
      </c>
      <c r="C461" t="s">
        <v>34</v>
      </c>
      <c r="D461" t="s">
        <v>35</v>
      </c>
      <c r="E461" s="2">
        <v>2556.5810000000001</v>
      </c>
      <c r="F461" s="2">
        <v>0</v>
      </c>
      <c r="G461" s="2">
        <v>589.59249999999997</v>
      </c>
      <c r="H461" s="2">
        <v>-638.76</v>
      </c>
      <c r="I461" s="1">
        <v>0.73061757088862</v>
      </c>
      <c r="J461" s="1">
        <v>0.74984931046581305</v>
      </c>
      <c r="K461" s="1">
        <v>0.64110923805096198</v>
      </c>
      <c r="L461" s="1">
        <v>0.33935764330347101</v>
      </c>
      <c r="M461" s="2"/>
      <c r="N461" s="2"/>
      <c r="P461" s="1">
        <f>I461-'Passo 1'!I461</f>
        <v>3.2383875183301991E-2</v>
      </c>
      <c r="Q461" s="1">
        <f>J461-'Passo 1'!J461</f>
        <v>9.495533292315006E-2</v>
      </c>
      <c r="R461" s="1">
        <f t="shared" si="29"/>
        <v>1867.8829999999991</v>
      </c>
      <c r="S461">
        <f t="shared" si="28"/>
        <v>1917.0504999999989</v>
      </c>
      <c r="T461" s="1">
        <f t="shared" si="30"/>
        <v>1639.0476969255665</v>
      </c>
      <c r="U461" s="1">
        <f t="shared" si="31"/>
        <v>867.59530307443129</v>
      </c>
    </row>
    <row r="462" spans="1:21" x14ac:dyDescent="0.3">
      <c r="A462" t="s">
        <v>292</v>
      </c>
      <c r="B462" t="s">
        <v>343</v>
      </c>
      <c r="C462" t="s">
        <v>574</v>
      </c>
      <c r="D462" t="s">
        <v>575</v>
      </c>
      <c r="E462" s="2">
        <v>407</v>
      </c>
      <c r="F462" s="2">
        <v>6.2050000000000001</v>
      </c>
      <c r="G462" s="2">
        <v>132.39750000000001</v>
      </c>
      <c r="H462" s="2">
        <v>-123.14749999999999</v>
      </c>
      <c r="I462" s="1">
        <v>0.81767813267813205</v>
      </c>
      <c r="J462" s="1">
        <v>0.79495085995086001</v>
      </c>
      <c r="K462" s="1">
        <v>0.55336767550869403</v>
      </c>
      <c r="L462" s="1">
        <v>0.56688416724314705</v>
      </c>
      <c r="M462" s="2"/>
      <c r="N462" s="2"/>
      <c r="P462" s="1">
        <f>I462-'Passo 1'!I462</f>
        <v>3.0828009828010039E-2</v>
      </c>
      <c r="Q462" s="1">
        <f>J462-'Passo 1'!J462</f>
        <v>6.1425061425102179E-4</v>
      </c>
      <c r="R462" s="1">
        <f t="shared" si="29"/>
        <v>332.79499999999973</v>
      </c>
      <c r="S462">
        <f t="shared" si="28"/>
        <v>323.54500000000002</v>
      </c>
      <c r="T462" s="1">
        <f t="shared" si="30"/>
        <v>225.22064393203848</v>
      </c>
      <c r="U462" s="1">
        <f t="shared" si="31"/>
        <v>230.72185606796086</v>
      </c>
    </row>
    <row r="463" spans="1:21" x14ac:dyDescent="0.3">
      <c r="A463" t="s">
        <v>292</v>
      </c>
      <c r="B463" t="s">
        <v>344</v>
      </c>
      <c r="C463" t="s">
        <v>576</v>
      </c>
      <c r="D463" t="s">
        <v>591</v>
      </c>
      <c r="E463" s="2">
        <v>23</v>
      </c>
      <c r="F463" s="2">
        <v>0.01</v>
      </c>
      <c r="G463" s="2">
        <v>6.4950000000000001</v>
      </c>
      <c r="H463" s="2">
        <v>-5.9950000000000001</v>
      </c>
      <c r="I463" s="1">
        <v>0.78217391304347805</v>
      </c>
      <c r="J463" s="1">
        <v>0.76043478260869501</v>
      </c>
      <c r="K463" s="1">
        <v>0.56684690973687901</v>
      </c>
      <c r="L463" s="1">
        <v>0.475979177219642</v>
      </c>
      <c r="M463" s="2"/>
      <c r="N463" s="2"/>
      <c r="P463" s="1">
        <f>I463-'Passo 1'!I463</f>
        <v>7.9673913043479039E-2</v>
      </c>
      <c r="Q463" s="1">
        <f>J463-'Passo 1'!J463</f>
        <v>0</v>
      </c>
      <c r="R463" s="1">
        <f t="shared" si="29"/>
        <v>17.989999999999995</v>
      </c>
      <c r="S463">
        <f t="shared" si="28"/>
        <v>17.489999999999984</v>
      </c>
      <c r="T463" s="1">
        <f t="shared" si="30"/>
        <v>13.037478923948218</v>
      </c>
      <c r="U463" s="1">
        <f t="shared" si="31"/>
        <v>10.947521076051766</v>
      </c>
    </row>
    <row r="464" spans="1:21" x14ac:dyDescent="0.3">
      <c r="A464" t="s">
        <v>292</v>
      </c>
      <c r="B464" t="s">
        <v>345</v>
      </c>
      <c r="C464" t="s">
        <v>574</v>
      </c>
      <c r="D464" t="s">
        <v>575</v>
      </c>
      <c r="E464" s="2">
        <v>34</v>
      </c>
      <c r="F464" s="2">
        <v>1.6E-2</v>
      </c>
      <c r="G464" s="2">
        <v>10.356</v>
      </c>
      <c r="H464" s="2">
        <v>-10.356</v>
      </c>
      <c r="I464" s="1">
        <v>0.80435294117647005</v>
      </c>
      <c r="J464" s="1">
        <v>0.80435294117647005</v>
      </c>
      <c r="K464" s="1">
        <v>0.58080353488482706</v>
      </c>
      <c r="L464" s="1">
        <v>0.52813764158576004</v>
      </c>
      <c r="M464" s="2"/>
      <c r="N464" s="2"/>
      <c r="P464" s="1">
        <f>I464-'Passo 1'!I464</f>
        <v>0.11475000000000002</v>
      </c>
      <c r="Q464" s="1">
        <f>J464-'Passo 1'!J464</f>
        <v>0</v>
      </c>
      <c r="R464" s="1">
        <f t="shared" si="29"/>
        <v>27.347999999999981</v>
      </c>
      <c r="S464">
        <f t="shared" si="28"/>
        <v>27.347999999999981</v>
      </c>
      <c r="T464" s="1">
        <f t="shared" si="30"/>
        <v>19.747320186084121</v>
      </c>
      <c r="U464" s="1">
        <f t="shared" si="31"/>
        <v>17.956679813915841</v>
      </c>
    </row>
    <row r="465" spans="1:21" x14ac:dyDescent="0.3">
      <c r="A465" t="s">
        <v>292</v>
      </c>
      <c r="B465" t="s">
        <v>346</v>
      </c>
      <c r="C465" t="s">
        <v>580</v>
      </c>
      <c r="D465" t="s">
        <v>581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M465" s="2"/>
      <c r="N465" s="2"/>
      <c r="P465" s="1">
        <f>I465-'Passo 1'!I465</f>
        <v>0</v>
      </c>
      <c r="Q465" s="1">
        <f>J465-'Passo 1'!J465</f>
        <v>0</v>
      </c>
      <c r="R465" s="1">
        <f t="shared" si="29"/>
        <v>0</v>
      </c>
      <c r="S465">
        <f t="shared" si="28"/>
        <v>0</v>
      </c>
      <c r="T465" s="1">
        <f t="shared" si="30"/>
        <v>0</v>
      </c>
      <c r="U465" s="1">
        <f t="shared" si="31"/>
        <v>0</v>
      </c>
    </row>
    <row r="466" spans="1:21" x14ac:dyDescent="0.3">
      <c r="A466" t="s">
        <v>292</v>
      </c>
      <c r="B466" t="s">
        <v>347</v>
      </c>
      <c r="C466" t="s">
        <v>34</v>
      </c>
      <c r="D466" t="s">
        <v>35</v>
      </c>
      <c r="E466" s="2">
        <v>3</v>
      </c>
      <c r="F466" s="2">
        <v>0</v>
      </c>
      <c r="G466" s="2">
        <v>1.5</v>
      </c>
      <c r="H466" s="2">
        <v>-1.5</v>
      </c>
      <c r="I466" s="1">
        <v>1</v>
      </c>
      <c r="J466" s="1">
        <v>1</v>
      </c>
      <c r="K466" s="1">
        <v>0.81837075242718404</v>
      </c>
      <c r="L466" s="1">
        <v>0.68162924757281496</v>
      </c>
      <c r="M466" s="2"/>
      <c r="N466" s="2"/>
      <c r="P466" s="1">
        <f>I466-'Passo 1'!I466</f>
        <v>0</v>
      </c>
      <c r="Q466" s="1">
        <f>J466-'Passo 1'!J466</f>
        <v>0</v>
      </c>
      <c r="R466" s="1">
        <f t="shared" si="29"/>
        <v>3</v>
      </c>
      <c r="S466">
        <f t="shared" si="28"/>
        <v>3</v>
      </c>
      <c r="T466" s="1">
        <f t="shared" si="30"/>
        <v>2.4551122572815522</v>
      </c>
      <c r="U466" s="1">
        <f t="shared" si="31"/>
        <v>2.0448877427184451</v>
      </c>
    </row>
    <row r="467" spans="1:21" x14ac:dyDescent="0.3">
      <c r="A467" t="s">
        <v>292</v>
      </c>
      <c r="B467" t="s">
        <v>348</v>
      </c>
      <c r="C467" t="s">
        <v>34</v>
      </c>
      <c r="D467" t="s">
        <v>35</v>
      </c>
      <c r="E467" s="2">
        <v>1126.22</v>
      </c>
      <c r="F467" s="2">
        <v>0</v>
      </c>
      <c r="G467" s="2">
        <v>260.59199999999998</v>
      </c>
      <c r="H467" s="2">
        <v>-363.46499999999997</v>
      </c>
      <c r="I467" s="1">
        <v>0.73138640762906004</v>
      </c>
      <c r="J467" s="1">
        <v>0.822730017225764</v>
      </c>
      <c r="K467" s="1">
        <v>0.63417354920653002</v>
      </c>
      <c r="L467" s="1">
        <v>0.41994287564829302</v>
      </c>
      <c r="M467" s="2"/>
      <c r="N467" s="2"/>
      <c r="P467" s="1">
        <f>I467-'Passo 1'!I467</f>
        <v>3.150760952567E-2</v>
      </c>
      <c r="Q467" s="1">
        <f>J467-'Passo 1'!J467</f>
        <v>0.10443607820852097</v>
      </c>
      <c r="R467" s="1">
        <f t="shared" si="29"/>
        <v>823.702</v>
      </c>
      <c r="S467">
        <f t="shared" si="28"/>
        <v>926.57499999999993</v>
      </c>
      <c r="T467" s="1">
        <f t="shared" si="30"/>
        <v>714.21893458737827</v>
      </c>
      <c r="U467" s="1">
        <f t="shared" si="31"/>
        <v>472.94806541262056</v>
      </c>
    </row>
    <row r="468" spans="1:21" x14ac:dyDescent="0.3">
      <c r="A468" t="s">
        <v>292</v>
      </c>
      <c r="B468" t="s">
        <v>349</v>
      </c>
      <c r="C468" t="s">
        <v>574</v>
      </c>
      <c r="D468" t="s">
        <v>575</v>
      </c>
      <c r="E468" s="2">
        <v>618</v>
      </c>
      <c r="F468" s="2">
        <v>8.3940000000000001</v>
      </c>
      <c r="G468" s="2">
        <v>175.303</v>
      </c>
      <c r="H468" s="2">
        <v>-236.803</v>
      </c>
      <c r="I468" s="1">
        <v>0.77687055016181195</v>
      </c>
      <c r="J468" s="1">
        <v>0.87638511326860802</v>
      </c>
      <c r="K468" s="1">
        <v>0.49427166419235202</v>
      </c>
      <c r="L468" s="1">
        <v>0.66577526137399001</v>
      </c>
      <c r="M468" s="2"/>
      <c r="N468" s="2"/>
      <c r="P468" s="1">
        <f>I468-'Passo 1'!I468</f>
        <v>7.5040453074433966E-2</v>
      </c>
      <c r="Q468" s="1">
        <f>J468-'Passo 1'!J468</f>
        <v>4.0453074433699499E-4</v>
      </c>
      <c r="R468" s="1">
        <f t="shared" si="29"/>
        <v>480.10599999999977</v>
      </c>
      <c r="S468">
        <f t="shared" si="28"/>
        <v>541.60599999999977</v>
      </c>
      <c r="T468" s="1">
        <f t="shared" si="30"/>
        <v>305.45988847087352</v>
      </c>
      <c r="U468" s="1">
        <f t="shared" si="31"/>
        <v>411.44911152912584</v>
      </c>
    </row>
    <row r="469" spans="1:21" x14ac:dyDescent="0.3">
      <c r="A469" t="s">
        <v>292</v>
      </c>
      <c r="B469" t="s">
        <v>350</v>
      </c>
      <c r="C469" t="s">
        <v>576</v>
      </c>
      <c r="D469" t="s">
        <v>591</v>
      </c>
      <c r="E469" s="2">
        <v>28</v>
      </c>
      <c r="F469" s="2">
        <v>0</v>
      </c>
      <c r="G469" s="2">
        <v>9</v>
      </c>
      <c r="H469" s="2">
        <v>-5</v>
      </c>
      <c r="I469" s="1">
        <v>0.82142857142857095</v>
      </c>
      <c r="J469" s="1">
        <v>0.67857142857142805</v>
      </c>
      <c r="K469" s="1">
        <v>0.65669827207581999</v>
      </c>
      <c r="L469" s="1">
        <v>0.34330172792417901</v>
      </c>
      <c r="M469" s="2"/>
      <c r="N469" s="2"/>
      <c r="P469" s="1">
        <f>I469-'Passo 1'!I469</f>
        <v>2.6785714285693096E-4</v>
      </c>
      <c r="Q469" s="1">
        <f>J469-'Passo 1'!J469</f>
        <v>1.4285714285700024E-4</v>
      </c>
      <c r="R469" s="1">
        <f t="shared" si="29"/>
        <v>22.999999999999986</v>
      </c>
      <c r="S469">
        <f t="shared" si="28"/>
        <v>18.999999999999986</v>
      </c>
      <c r="T469" s="1">
        <f t="shared" si="30"/>
        <v>18.387551618122959</v>
      </c>
      <c r="U469" s="1">
        <f t="shared" si="31"/>
        <v>9.6124483818770123</v>
      </c>
    </row>
    <row r="470" spans="1:21" x14ac:dyDescent="0.3">
      <c r="A470" t="s">
        <v>292</v>
      </c>
      <c r="B470" t="s">
        <v>351</v>
      </c>
      <c r="C470" t="s">
        <v>576</v>
      </c>
      <c r="D470" t="s">
        <v>595</v>
      </c>
      <c r="E470" s="2">
        <v>347.46899999999999</v>
      </c>
      <c r="F470" s="2">
        <v>0</v>
      </c>
      <c r="G470" s="2">
        <v>77.509</v>
      </c>
      <c r="H470" s="2">
        <v>-172.31549999999999</v>
      </c>
      <c r="I470" s="1">
        <v>0.72306738155058403</v>
      </c>
      <c r="J470" s="1">
        <v>0.99591618245080804</v>
      </c>
      <c r="K470" s="1">
        <v>0.38769453680676103</v>
      </c>
      <c r="L470" s="1">
        <v>0.83128902719463105</v>
      </c>
      <c r="M470" s="2"/>
      <c r="N470" s="2"/>
      <c r="P470" s="1">
        <f>I470-'Passo 1'!I470</f>
        <v>7.9851727780032022E-2</v>
      </c>
      <c r="Q470" s="1">
        <f>J470-'Passo 1'!J470</f>
        <v>0.12494352014136501</v>
      </c>
      <c r="R470" s="1">
        <f t="shared" si="29"/>
        <v>251.24349999999987</v>
      </c>
      <c r="S470">
        <f t="shared" si="28"/>
        <v>346.04999999999984</v>
      </c>
      <c r="T470" s="1">
        <f t="shared" si="30"/>
        <v>134.71183300970844</v>
      </c>
      <c r="U470" s="1">
        <f t="shared" si="31"/>
        <v>288.84716699029127</v>
      </c>
    </row>
    <row r="471" spans="1:21" x14ac:dyDescent="0.3">
      <c r="A471" t="s">
        <v>292</v>
      </c>
      <c r="B471" t="s">
        <v>352</v>
      </c>
      <c r="C471" t="s">
        <v>574</v>
      </c>
      <c r="D471" t="s">
        <v>575</v>
      </c>
      <c r="E471" s="2">
        <v>226.97800000000001</v>
      </c>
      <c r="F471" s="2">
        <v>0</v>
      </c>
      <c r="G471" s="2">
        <v>113.44499999999999</v>
      </c>
      <c r="H471" s="2">
        <v>-112.633</v>
      </c>
      <c r="I471" s="1">
        <v>0.99980614861352202</v>
      </c>
      <c r="J471" s="1">
        <v>0.99622870939033703</v>
      </c>
      <c r="K471" s="1">
        <v>0.66144410770916795</v>
      </c>
      <c r="L471" s="1">
        <v>0.83459075029468999</v>
      </c>
      <c r="M471" s="2"/>
      <c r="N471" s="2"/>
      <c r="P471" s="1">
        <f>I471-'Passo 1'!I471</f>
        <v>1.9429195781089037E-2</v>
      </c>
      <c r="Q471" s="1">
        <f>J471-'Passo 1'!J471</f>
        <v>3.0518376230296074E-2</v>
      </c>
      <c r="R471" s="1">
        <f t="shared" si="29"/>
        <v>226.934</v>
      </c>
      <c r="S471">
        <f t="shared" si="28"/>
        <v>226.12199999999993</v>
      </c>
      <c r="T471" s="1">
        <f t="shared" si="30"/>
        <v>150.13326067961154</v>
      </c>
      <c r="U471" s="1">
        <f t="shared" si="31"/>
        <v>189.43373932038816</v>
      </c>
    </row>
    <row r="472" spans="1:21" x14ac:dyDescent="0.3">
      <c r="A472" t="s">
        <v>292</v>
      </c>
      <c r="B472" t="s">
        <v>353</v>
      </c>
      <c r="C472" t="s">
        <v>574</v>
      </c>
      <c r="D472" t="s">
        <v>575</v>
      </c>
      <c r="E472" s="2">
        <v>158.75200000000001</v>
      </c>
      <c r="F472" s="2">
        <v>0</v>
      </c>
      <c r="G472" s="2">
        <v>78.14</v>
      </c>
      <c r="H472" s="2">
        <v>-77.760999999999996</v>
      </c>
      <c r="I472" s="1">
        <v>0.99221427131626605</v>
      </c>
      <c r="J472" s="1">
        <v>0.98982689981858496</v>
      </c>
      <c r="K472" s="1">
        <v>0.71130913153340303</v>
      </c>
      <c r="L472" s="1">
        <v>0.77073203960144698</v>
      </c>
      <c r="M472" s="2"/>
      <c r="N472" s="2"/>
      <c r="P472" s="1">
        <f>I472-'Passo 1'!I472</f>
        <v>9.6502721225560917E-3</v>
      </c>
      <c r="Q472" s="1">
        <f>J472-'Passo 1'!J472</f>
        <v>3.1098820802258009E-2</v>
      </c>
      <c r="R472" s="1">
        <f t="shared" si="29"/>
        <v>157.51599999999988</v>
      </c>
      <c r="S472">
        <f t="shared" si="28"/>
        <v>157.137</v>
      </c>
      <c r="T472" s="1">
        <f t="shared" si="30"/>
        <v>112.9217472491908</v>
      </c>
      <c r="U472" s="1">
        <f t="shared" si="31"/>
        <v>122.35525275080892</v>
      </c>
    </row>
    <row r="473" spans="1:21" x14ac:dyDescent="0.3">
      <c r="A473" t="s">
        <v>292</v>
      </c>
      <c r="B473" t="s">
        <v>719</v>
      </c>
      <c r="C473" t="s">
        <v>574</v>
      </c>
      <c r="D473" t="s">
        <v>575</v>
      </c>
      <c r="E473" s="2">
        <v>77.637</v>
      </c>
      <c r="F473" s="2">
        <v>0</v>
      </c>
      <c r="G473" s="2">
        <v>38.408000000000001</v>
      </c>
      <c r="H473" s="2">
        <v>-38.167499999999997</v>
      </c>
      <c r="I473" s="1">
        <v>0.99471257261357304</v>
      </c>
      <c r="J473" s="1">
        <v>0.99161482282932001</v>
      </c>
      <c r="K473" s="1">
        <v>0.72825037485671495</v>
      </c>
      <c r="L473" s="1">
        <v>0.75807702058617898</v>
      </c>
      <c r="M473" s="2"/>
      <c r="N473" s="2"/>
      <c r="P473" s="1">
        <f>I473-'Passo 1'!I473</f>
        <v>8.6163813645556031E-2</v>
      </c>
      <c r="Q473" s="1">
        <f>J473-'Passo 1'!J473</f>
        <v>0.140454937722992</v>
      </c>
      <c r="R473" s="1">
        <f t="shared" si="29"/>
        <v>77.226499999999973</v>
      </c>
      <c r="S473">
        <f t="shared" si="28"/>
        <v>76.985999999999919</v>
      </c>
      <c r="T473" s="1">
        <f t="shared" si="30"/>
        <v>56.539174352750777</v>
      </c>
      <c r="U473" s="1">
        <f t="shared" si="31"/>
        <v>58.854825647249179</v>
      </c>
    </row>
    <row r="474" spans="1:21" x14ac:dyDescent="0.3">
      <c r="A474" t="s">
        <v>292</v>
      </c>
      <c r="B474" t="s">
        <v>720</v>
      </c>
      <c r="C474" t="s">
        <v>574</v>
      </c>
      <c r="D474" t="s">
        <v>575</v>
      </c>
      <c r="E474" s="2">
        <v>0</v>
      </c>
      <c r="F474" s="2">
        <v>0</v>
      </c>
      <c r="G474" s="2">
        <v>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M474" s="2"/>
      <c r="N474" s="2"/>
      <c r="P474" s="1">
        <f>I474-'Passo 1'!I474</f>
        <v>0</v>
      </c>
      <c r="Q474" s="1">
        <f>J474-'Passo 1'!J474</f>
        <v>0</v>
      </c>
      <c r="R474" s="1">
        <f t="shared" si="29"/>
        <v>0</v>
      </c>
      <c r="S474">
        <f t="shared" si="28"/>
        <v>0</v>
      </c>
      <c r="T474" s="1">
        <f t="shared" si="30"/>
        <v>0</v>
      </c>
      <c r="U474" s="1">
        <f t="shared" si="31"/>
        <v>0</v>
      </c>
    </row>
    <row r="475" spans="1:21" x14ac:dyDescent="0.3">
      <c r="A475" t="s">
        <v>292</v>
      </c>
      <c r="B475" t="s">
        <v>354</v>
      </c>
      <c r="C475" t="s">
        <v>576</v>
      </c>
      <c r="D475" t="s">
        <v>598</v>
      </c>
      <c r="E475" s="2">
        <v>0</v>
      </c>
      <c r="F475" s="2">
        <v>0</v>
      </c>
      <c r="G475" s="2">
        <v>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M475" s="2"/>
      <c r="N475" s="2"/>
      <c r="P475" s="1">
        <f>I475-'Passo 1'!I475</f>
        <v>0</v>
      </c>
      <c r="Q475" s="1">
        <f>J475-'Passo 1'!J475</f>
        <v>0</v>
      </c>
      <c r="R475" s="1">
        <f t="shared" si="29"/>
        <v>0</v>
      </c>
      <c r="S475">
        <f t="shared" si="28"/>
        <v>0</v>
      </c>
      <c r="T475" s="1">
        <f t="shared" si="30"/>
        <v>0</v>
      </c>
      <c r="U475" s="1">
        <f t="shared" si="31"/>
        <v>0</v>
      </c>
    </row>
    <row r="476" spans="1:21" x14ac:dyDescent="0.3">
      <c r="A476" t="s">
        <v>292</v>
      </c>
      <c r="B476" t="s">
        <v>355</v>
      </c>
      <c r="C476" t="s">
        <v>574</v>
      </c>
      <c r="D476" t="s">
        <v>575</v>
      </c>
      <c r="E476" s="2">
        <v>122.598</v>
      </c>
      <c r="F476" s="2">
        <v>0</v>
      </c>
      <c r="G476" s="2">
        <v>61.125</v>
      </c>
      <c r="H476" s="2">
        <v>-61.298999999999999</v>
      </c>
      <c r="I476" s="1">
        <v>0.99858072725492997</v>
      </c>
      <c r="J476" s="1">
        <v>1</v>
      </c>
      <c r="K476" s="1">
        <v>0.70017750346318197</v>
      </c>
      <c r="L476" s="1">
        <v>0.798403223791748</v>
      </c>
      <c r="M476" s="2"/>
      <c r="N476" s="2"/>
      <c r="P476" s="1">
        <f>I476-'Passo 1'!I476</f>
        <v>6.2399060343559798E-3</v>
      </c>
      <c r="Q476" s="1">
        <f>J476-'Passo 1'!J476</f>
        <v>1.4926834042970016E-2</v>
      </c>
      <c r="R476" s="1">
        <f t="shared" si="29"/>
        <v>122.42399999999991</v>
      </c>
      <c r="S476">
        <f t="shared" si="28"/>
        <v>122.598</v>
      </c>
      <c r="T476" s="1">
        <f t="shared" si="30"/>
        <v>85.840361569579187</v>
      </c>
      <c r="U476" s="1">
        <f t="shared" si="31"/>
        <v>97.882638430420727</v>
      </c>
    </row>
    <row r="477" spans="1:21" x14ac:dyDescent="0.3">
      <c r="A477" t="s">
        <v>292</v>
      </c>
      <c r="B477" t="s">
        <v>721</v>
      </c>
      <c r="C477" t="s">
        <v>574</v>
      </c>
      <c r="D477" t="s">
        <v>575</v>
      </c>
      <c r="E477" s="2">
        <v>1099.386</v>
      </c>
      <c r="F477" s="2">
        <v>0</v>
      </c>
      <c r="G477" s="2">
        <v>419.63749999999999</v>
      </c>
      <c r="H477" s="2">
        <v>-386.2165</v>
      </c>
      <c r="I477" s="1">
        <v>0.88170169530992704</v>
      </c>
      <c r="J477" s="1">
        <v>0.85130199947970897</v>
      </c>
      <c r="K477" s="1">
        <v>0.592110099973014</v>
      </c>
      <c r="L477" s="1">
        <v>0.640893594816623</v>
      </c>
      <c r="M477" s="2"/>
      <c r="N477" s="2"/>
      <c r="P477" s="1">
        <f>I477-'Passo 1'!I477</f>
        <v>0.10348549099224502</v>
      </c>
      <c r="Q477" s="1">
        <f>J477-'Passo 1'!J477</f>
        <v>9.4926167879160972E-2</v>
      </c>
      <c r="R477" s="1">
        <f t="shared" si="29"/>
        <v>969.33049999999946</v>
      </c>
      <c r="S477">
        <f t="shared" si="28"/>
        <v>935.9094999999993</v>
      </c>
      <c r="T477" s="1">
        <f t="shared" si="30"/>
        <v>650.95755436893194</v>
      </c>
      <c r="U477" s="1">
        <f t="shared" si="31"/>
        <v>704.58944563106786</v>
      </c>
    </row>
    <row r="478" spans="1:21" x14ac:dyDescent="0.3">
      <c r="A478" t="s">
        <v>292</v>
      </c>
      <c r="B478" t="s">
        <v>722</v>
      </c>
      <c r="C478" t="s">
        <v>574</v>
      </c>
      <c r="D478" t="s">
        <v>575</v>
      </c>
      <c r="E478" s="2">
        <v>192.047</v>
      </c>
      <c r="F478" s="2">
        <v>0</v>
      </c>
      <c r="G478" s="2">
        <v>95.62</v>
      </c>
      <c r="H478" s="2">
        <v>-95.478499999999997</v>
      </c>
      <c r="I478" s="1">
        <v>0.99789895181908606</v>
      </c>
      <c r="J478" s="1">
        <v>0.99716215301462596</v>
      </c>
      <c r="K478" s="1">
        <v>0.67783632636414803</v>
      </c>
      <c r="L478" s="1">
        <v>0.81722477846956298</v>
      </c>
      <c r="M478" s="2"/>
      <c r="N478" s="2"/>
      <c r="P478" s="1">
        <f>I478-'Passo 1'!I478</f>
        <v>6.4767999500123019E-2</v>
      </c>
      <c r="Q478" s="1">
        <f>J478-'Passo 1'!J478</f>
        <v>5.1396272787390007E-2</v>
      </c>
      <c r="R478" s="1">
        <f t="shared" si="29"/>
        <v>191.64350000000002</v>
      </c>
      <c r="S478">
        <f t="shared" si="28"/>
        <v>191.50199999999987</v>
      </c>
      <c r="T478" s="1">
        <f t="shared" si="30"/>
        <v>130.17643296925553</v>
      </c>
      <c r="U478" s="1">
        <f t="shared" si="31"/>
        <v>156.94556703074417</v>
      </c>
    </row>
    <row r="479" spans="1:21" x14ac:dyDescent="0.3">
      <c r="A479" t="s">
        <v>292</v>
      </c>
      <c r="B479" t="s">
        <v>356</v>
      </c>
      <c r="C479" t="s">
        <v>574</v>
      </c>
      <c r="D479" t="s">
        <v>575</v>
      </c>
      <c r="E479" s="2">
        <v>1421.5260000000001</v>
      </c>
      <c r="F479" s="2">
        <v>0</v>
      </c>
      <c r="G479" s="2">
        <v>664.48749999999995</v>
      </c>
      <c r="H479" s="2">
        <v>-676.68499999999995</v>
      </c>
      <c r="I479" s="1">
        <v>0.96744660315745101</v>
      </c>
      <c r="J479" s="1">
        <v>0.97602717080095602</v>
      </c>
      <c r="K479" s="1">
        <v>0.65616834729710904</v>
      </c>
      <c r="L479" s="1">
        <v>0.78730542666129799</v>
      </c>
      <c r="M479" s="2"/>
      <c r="N479" s="2"/>
      <c r="P479" s="1">
        <f>I479-'Passo 1'!I479</f>
        <v>6.4507086046965978E-2</v>
      </c>
      <c r="Q479" s="1">
        <f>J479-'Passo 1'!J479</f>
        <v>0.13209712660901107</v>
      </c>
      <c r="R479" s="1">
        <f t="shared" si="29"/>
        <v>1375.2504999999987</v>
      </c>
      <c r="S479">
        <f t="shared" si="28"/>
        <v>1387.4479999999999</v>
      </c>
      <c r="T479" s="1">
        <f t="shared" si="30"/>
        <v>932.76036605987031</v>
      </c>
      <c r="U479" s="1">
        <f t="shared" si="31"/>
        <v>1119.1751339401283</v>
      </c>
    </row>
    <row r="480" spans="1:21" x14ac:dyDescent="0.3">
      <c r="A480" t="s">
        <v>292</v>
      </c>
      <c r="B480" t="s">
        <v>357</v>
      </c>
      <c r="C480" t="s">
        <v>574</v>
      </c>
      <c r="D480" t="s">
        <v>575</v>
      </c>
      <c r="E480" s="2">
        <v>121.19</v>
      </c>
      <c r="F480" s="2">
        <v>0</v>
      </c>
      <c r="G480" s="2">
        <v>60.531999999999996</v>
      </c>
      <c r="H480" s="2">
        <v>-60.392499999999998</v>
      </c>
      <c r="I480" s="1">
        <v>0.99948015512831001</v>
      </c>
      <c r="J480" s="1">
        <v>0.99832907005528504</v>
      </c>
      <c r="K480" s="1">
        <v>0.74389342599320396</v>
      </c>
      <c r="L480" s="1">
        <v>0.75391579919039098</v>
      </c>
      <c r="M480" s="2"/>
      <c r="N480" s="2"/>
      <c r="P480" s="1">
        <f>I480-'Passo 1'!I480</f>
        <v>3.714827956101896E-2</v>
      </c>
      <c r="Q480" s="1">
        <f>J480-'Passo 1'!J480</f>
        <v>1.0413400445582033E-2</v>
      </c>
      <c r="R480" s="1">
        <f t="shared" si="29"/>
        <v>121.12699999999988</v>
      </c>
      <c r="S480">
        <f t="shared" si="28"/>
        <v>120.9875</v>
      </c>
      <c r="T480" s="1">
        <f t="shared" si="30"/>
        <v>90.152444296116386</v>
      </c>
      <c r="U480" s="1">
        <f t="shared" si="31"/>
        <v>91.36705570388348</v>
      </c>
    </row>
    <row r="481" spans="1:21" x14ac:dyDescent="0.3">
      <c r="A481" t="s">
        <v>292</v>
      </c>
      <c r="B481" t="s">
        <v>723</v>
      </c>
      <c r="C481" t="s">
        <v>574</v>
      </c>
      <c r="D481" t="s">
        <v>575</v>
      </c>
      <c r="E481" s="2">
        <v>50.994</v>
      </c>
      <c r="F481" s="2">
        <v>0</v>
      </c>
      <c r="G481" s="2">
        <v>25.074000000000002</v>
      </c>
      <c r="H481" s="2">
        <v>-25.102499999999999</v>
      </c>
      <c r="I481" s="1">
        <v>0.99170490645958298</v>
      </c>
      <c r="J481" s="1">
        <v>0.99226379574067503</v>
      </c>
      <c r="K481" s="1">
        <v>0.83277189908417204</v>
      </c>
      <c r="L481" s="1">
        <v>0.65119680311608596</v>
      </c>
      <c r="M481" s="2"/>
      <c r="N481" s="2"/>
      <c r="P481" s="1">
        <f>I481-'Passo 1'!I481</f>
        <v>-8.2950935404170201E-3</v>
      </c>
      <c r="Q481" s="1">
        <f>J481-'Passo 1'!J481</f>
        <v>-7.7362042593249747E-3</v>
      </c>
      <c r="R481" s="1">
        <f t="shared" si="29"/>
        <v>50.570999999999977</v>
      </c>
      <c r="S481">
        <f t="shared" si="28"/>
        <v>50.599499999999985</v>
      </c>
      <c r="T481" s="1">
        <f t="shared" si="30"/>
        <v>42.466370221898266</v>
      </c>
      <c r="U481" s="1">
        <f t="shared" si="31"/>
        <v>33.207129778101688</v>
      </c>
    </row>
    <row r="482" spans="1:21" x14ac:dyDescent="0.3">
      <c r="A482" t="s">
        <v>292</v>
      </c>
      <c r="B482" t="s">
        <v>724</v>
      </c>
      <c r="C482" t="s">
        <v>574</v>
      </c>
      <c r="D482" t="s">
        <v>575</v>
      </c>
      <c r="E482" s="2">
        <v>142.078</v>
      </c>
      <c r="F482" s="2">
        <v>0</v>
      </c>
      <c r="G482" s="2">
        <v>70.167000000000002</v>
      </c>
      <c r="H482" s="2">
        <v>-70.260999999999996</v>
      </c>
      <c r="I482" s="1">
        <v>0.99386252621799298</v>
      </c>
      <c r="J482" s="1">
        <v>0.994524134630273</v>
      </c>
      <c r="K482" s="1">
        <v>0.67641145662000401</v>
      </c>
      <c r="L482" s="1">
        <v>0.81197520422826197</v>
      </c>
      <c r="M482" s="2"/>
      <c r="N482" s="2"/>
      <c r="P482" s="1">
        <f>I482-'Passo 1'!I482</f>
        <v>4.840298990695302E-2</v>
      </c>
      <c r="Q482" s="1">
        <f>J482-'Passo 1'!J482</f>
        <v>5.9850926955616002E-2</v>
      </c>
      <c r="R482" s="1">
        <f t="shared" si="29"/>
        <v>141.20600000000002</v>
      </c>
      <c r="S482">
        <f t="shared" si="28"/>
        <v>141.29999999999993</v>
      </c>
      <c r="T482" s="1">
        <f t="shared" si="30"/>
        <v>96.103186933656929</v>
      </c>
      <c r="U482" s="1">
        <f t="shared" si="31"/>
        <v>115.36381306634301</v>
      </c>
    </row>
    <row r="483" spans="1:21" x14ac:dyDescent="0.3">
      <c r="A483" t="s">
        <v>292</v>
      </c>
      <c r="B483" t="s">
        <v>725</v>
      </c>
      <c r="C483" t="s">
        <v>576</v>
      </c>
      <c r="D483" t="s">
        <v>14</v>
      </c>
      <c r="E483" s="2">
        <v>8.1859999999999999</v>
      </c>
      <c r="F483" s="2">
        <v>0</v>
      </c>
      <c r="G483" s="2">
        <v>3.9624999999999999</v>
      </c>
      <c r="H483" s="2">
        <v>-4.093</v>
      </c>
      <c r="I483" s="1">
        <v>0.98405814805765901</v>
      </c>
      <c r="J483" s="1">
        <v>1</v>
      </c>
      <c r="K483" s="1">
        <v>0.84234253840917095</v>
      </c>
      <c r="L483" s="1">
        <v>0.64171560964848795</v>
      </c>
      <c r="M483" s="2"/>
      <c r="N483" s="2"/>
      <c r="P483" s="1">
        <f>I483-'Passo 1'!I483</f>
        <v>0.10340825800146602</v>
      </c>
      <c r="Q483" s="1">
        <f>J483-'Passo 1'!J483</f>
        <v>5.8819936476911971E-2</v>
      </c>
      <c r="R483" s="1">
        <f t="shared" si="29"/>
        <v>8.0554999999999968</v>
      </c>
      <c r="S483">
        <f t="shared" si="28"/>
        <v>8.1859999999999999</v>
      </c>
      <c r="T483" s="1">
        <f t="shared" si="30"/>
        <v>6.895416019417473</v>
      </c>
      <c r="U483" s="1">
        <f t="shared" si="31"/>
        <v>5.253083980582522</v>
      </c>
    </row>
    <row r="484" spans="1:21" x14ac:dyDescent="0.3">
      <c r="A484" t="s">
        <v>292</v>
      </c>
      <c r="B484" t="s">
        <v>358</v>
      </c>
      <c r="C484" t="s">
        <v>576</v>
      </c>
      <c r="D484" t="s">
        <v>577</v>
      </c>
      <c r="E484" s="2">
        <v>0.2</v>
      </c>
      <c r="F484" s="2">
        <v>0</v>
      </c>
      <c r="G484" s="2">
        <v>0.05</v>
      </c>
      <c r="H484" s="2">
        <v>-0.05</v>
      </c>
      <c r="I484" s="1">
        <v>0.75</v>
      </c>
      <c r="J484" s="1">
        <v>0.75</v>
      </c>
      <c r="K484" s="1">
        <v>0.74863309061488603</v>
      </c>
      <c r="L484" s="1">
        <v>0.25136690938511302</v>
      </c>
      <c r="M484" s="2"/>
      <c r="N484" s="2"/>
      <c r="P484" s="1">
        <f>I484-'Passo 1'!I484</f>
        <v>0</v>
      </c>
      <c r="Q484" s="1">
        <f>J484-'Passo 1'!J484</f>
        <v>0</v>
      </c>
      <c r="R484" s="1">
        <f t="shared" si="29"/>
        <v>0.15000000000000002</v>
      </c>
      <c r="S484">
        <f t="shared" si="28"/>
        <v>0.15000000000000002</v>
      </c>
      <c r="T484" s="1">
        <f t="shared" si="30"/>
        <v>0.14972661812297722</v>
      </c>
      <c r="U484" s="1">
        <f t="shared" si="31"/>
        <v>5.0273381877022606E-2</v>
      </c>
    </row>
    <row r="485" spans="1:21" x14ac:dyDescent="0.3">
      <c r="A485" t="s">
        <v>292</v>
      </c>
      <c r="B485" t="s">
        <v>726</v>
      </c>
      <c r="C485" t="s">
        <v>580</v>
      </c>
      <c r="D485" t="s">
        <v>581</v>
      </c>
      <c r="E485" s="2">
        <v>30.155000000000001</v>
      </c>
      <c r="F485" s="2">
        <v>0</v>
      </c>
      <c r="G485" s="2">
        <v>14.211</v>
      </c>
      <c r="H485" s="2">
        <v>-13.8799999999999</v>
      </c>
      <c r="I485" s="1">
        <v>0.97126513016083504</v>
      </c>
      <c r="J485" s="1">
        <v>0.96028850936826304</v>
      </c>
      <c r="K485" s="1">
        <v>0.81845544111626001</v>
      </c>
      <c r="L485" s="1">
        <v>0.61309819841283797</v>
      </c>
      <c r="M485" s="2"/>
      <c r="N485" s="2"/>
      <c r="P485" s="1">
        <f>I485-'Passo 1'!I485</f>
        <v>4.9892223511855072E-2</v>
      </c>
      <c r="Q485" s="1">
        <f>J485-'Passo 1'!J485</f>
        <v>7.9472724258000005E-2</v>
      </c>
      <c r="R485" s="1">
        <f t="shared" si="29"/>
        <v>29.288499999999981</v>
      </c>
      <c r="S485">
        <f t="shared" si="28"/>
        <v>28.957499999999975</v>
      </c>
      <c r="T485" s="1">
        <f t="shared" si="30"/>
        <v>24.680523826860821</v>
      </c>
      <c r="U485" s="1">
        <f t="shared" si="31"/>
        <v>18.487976173139131</v>
      </c>
    </row>
    <row r="486" spans="1:21" x14ac:dyDescent="0.3">
      <c r="A486" t="s">
        <v>359</v>
      </c>
      <c r="B486" t="s">
        <v>727</v>
      </c>
      <c r="C486" t="s">
        <v>574</v>
      </c>
      <c r="D486" t="s">
        <v>575</v>
      </c>
      <c r="E486" s="2">
        <v>315.86099999999999</v>
      </c>
      <c r="F486" s="2">
        <v>0</v>
      </c>
      <c r="G486" s="2">
        <v>137.22300000000001</v>
      </c>
      <c r="H486" s="2">
        <v>-148.35300000000001</v>
      </c>
      <c r="I486" s="1">
        <v>0.93444109909105499</v>
      </c>
      <c r="J486" s="1">
        <v>0.96967811790629399</v>
      </c>
      <c r="K486" s="1">
        <v>0.75661790159140596</v>
      </c>
      <c r="L486" s="1">
        <v>0.64750131540594402</v>
      </c>
      <c r="M486" s="2"/>
      <c r="N486" s="2"/>
      <c r="P486" s="1">
        <f>I486-'Passo 1'!I486</f>
        <v>0.17565163157211494</v>
      </c>
      <c r="Q486" s="1">
        <f>J486-'Passo 1'!J486</f>
        <v>6.5278714371195035E-2</v>
      </c>
      <c r="R486" s="1">
        <f t="shared" si="29"/>
        <v>295.15349999999972</v>
      </c>
      <c r="S486">
        <f t="shared" si="28"/>
        <v>306.28349999999989</v>
      </c>
      <c r="T486" s="1">
        <f t="shared" si="30"/>
        <v>238.98608701456308</v>
      </c>
      <c r="U486" s="1">
        <f t="shared" si="31"/>
        <v>204.52041298543688</v>
      </c>
    </row>
    <row r="487" spans="1:21" x14ac:dyDescent="0.3">
      <c r="A487" t="s">
        <v>359</v>
      </c>
      <c r="B487" t="s">
        <v>360</v>
      </c>
      <c r="C487" t="s">
        <v>576</v>
      </c>
      <c r="D487" t="s">
        <v>14</v>
      </c>
      <c r="E487" s="2">
        <v>1</v>
      </c>
      <c r="F487" s="2">
        <v>0</v>
      </c>
      <c r="G487" s="2">
        <v>0.5</v>
      </c>
      <c r="H487" s="2">
        <v>-0.5</v>
      </c>
      <c r="I487" s="1">
        <v>1</v>
      </c>
      <c r="J487" s="1">
        <v>1</v>
      </c>
      <c r="K487" s="1">
        <v>0.99995954692556599</v>
      </c>
      <c r="L487" s="1">
        <v>0.50004045307443301</v>
      </c>
      <c r="M487" s="2"/>
      <c r="N487" s="2"/>
      <c r="P487" s="1">
        <f>I487-'Passo 1'!I487</f>
        <v>0</v>
      </c>
      <c r="Q487" s="1">
        <f>J487-'Passo 1'!J487</f>
        <v>0</v>
      </c>
      <c r="R487" s="1">
        <f t="shared" si="29"/>
        <v>1</v>
      </c>
      <c r="S487">
        <f t="shared" si="28"/>
        <v>1</v>
      </c>
      <c r="T487" s="1">
        <f t="shared" si="30"/>
        <v>0.99995954692556599</v>
      </c>
      <c r="U487" s="1">
        <f t="shared" si="31"/>
        <v>0.50004045307443301</v>
      </c>
    </row>
    <row r="488" spans="1:21" x14ac:dyDescent="0.3">
      <c r="A488" t="s">
        <v>359</v>
      </c>
      <c r="B488" t="s">
        <v>361</v>
      </c>
      <c r="C488" t="s">
        <v>574</v>
      </c>
      <c r="D488" t="s">
        <v>575</v>
      </c>
      <c r="E488" s="2">
        <v>245.01300000000001</v>
      </c>
      <c r="F488" s="2">
        <v>0</v>
      </c>
      <c r="G488" s="2">
        <v>97.407499999999999</v>
      </c>
      <c r="H488" s="2">
        <v>-90.029499999999999</v>
      </c>
      <c r="I488" s="1">
        <v>0.89756053760412702</v>
      </c>
      <c r="J488" s="1">
        <v>0.86744784970593303</v>
      </c>
      <c r="K488" s="1">
        <v>0.62714261466371901</v>
      </c>
      <c r="L488" s="1">
        <v>0.63786577264634103</v>
      </c>
      <c r="M488" s="2"/>
      <c r="N488" s="2"/>
      <c r="P488" s="1">
        <f>I488-'Passo 1'!I488</f>
        <v>5.8445878381964023E-2</v>
      </c>
      <c r="Q488" s="1">
        <f>J488-'Passo 1'!J488</f>
        <v>1.2140172154129991E-2</v>
      </c>
      <c r="R488" s="1">
        <f t="shared" si="29"/>
        <v>219.91399999999999</v>
      </c>
      <c r="S488">
        <f t="shared" si="28"/>
        <v>212.53599999999977</v>
      </c>
      <c r="T488" s="1">
        <f t="shared" si="30"/>
        <v>153.65809344660178</v>
      </c>
      <c r="U488" s="1">
        <f t="shared" si="31"/>
        <v>156.28540655339796</v>
      </c>
    </row>
    <row r="489" spans="1:21" x14ac:dyDescent="0.3">
      <c r="A489" t="s">
        <v>359</v>
      </c>
      <c r="B489" t="s">
        <v>362</v>
      </c>
      <c r="C489" t="s">
        <v>574</v>
      </c>
      <c r="D489" t="s">
        <v>575</v>
      </c>
      <c r="E489" s="2">
        <v>211.64099999999999</v>
      </c>
      <c r="F489" s="2">
        <v>21.594000000000001</v>
      </c>
      <c r="G489" s="2">
        <v>86.334500000000006</v>
      </c>
      <c r="H489" s="2">
        <v>-81.587000000000003</v>
      </c>
      <c r="I489" s="1">
        <v>0.85691335799774104</v>
      </c>
      <c r="J489" s="1">
        <v>0.83448150405639698</v>
      </c>
      <c r="K489" s="1">
        <v>0.65493681375842705</v>
      </c>
      <c r="L489" s="1">
        <v>0.58747368326247096</v>
      </c>
      <c r="M489" s="2"/>
      <c r="N489" s="2"/>
      <c r="P489" s="1">
        <f>I489-'Passo 1'!I489</f>
        <v>5.828502038829908E-2</v>
      </c>
      <c r="Q489" s="1">
        <f>J489-'Passo 1'!J489</f>
        <v>2.0891509679126008E-2</v>
      </c>
      <c r="R489" s="1">
        <f t="shared" si="29"/>
        <v>181.35799999999989</v>
      </c>
      <c r="S489">
        <f t="shared" si="28"/>
        <v>176.61049999999992</v>
      </c>
      <c r="T489" s="1">
        <f t="shared" si="30"/>
        <v>138.61148220064726</v>
      </c>
      <c r="U489" s="1">
        <f t="shared" si="31"/>
        <v>124.33351779935261</v>
      </c>
    </row>
    <row r="490" spans="1:21" x14ac:dyDescent="0.3">
      <c r="A490" t="s">
        <v>359</v>
      </c>
      <c r="B490" t="s">
        <v>363</v>
      </c>
      <c r="C490" t="s">
        <v>576</v>
      </c>
      <c r="D490" t="s">
        <v>14</v>
      </c>
      <c r="E490" s="2">
        <v>38.283999999999999</v>
      </c>
      <c r="F490" s="2">
        <v>0</v>
      </c>
      <c r="G490" s="2">
        <v>13.757</v>
      </c>
      <c r="H490" s="2">
        <v>-16.143999999999998</v>
      </c>
      <c r="I490" s="1">
        <v>0.85934071674851098</v>
      </c>
      <c r="J490" s="1">
        <v>0.921690523456274</v>
      </c>
      <c r="K490" s="1">
        <v>0.57638812027505404</v>
      </c>
      <c r="L490" s="1">
        <v>0.70464311992973105</v>
      </c>
      <c r="M490" s="2"/>
      <c r="N490" s="2"/>
      <c r="P490" s="1">
        <f>I490-'Passo 1'!I490</f>
        <v>0.10337216591787701</v>
      </c>
      <c r="Q490" s="1">
        <f>J490-'Passo 1'!J490</f>
        <v>2.7113154320343003E-2</v>
      </c>
      <c r="R490" s="1">
        <f t="shared" si="29"/>
        <v>32.898999999999994</v>
      </c>
      <c r="S490">
        <f t="shared" si="28"/>
        <v>35.285999999999994</v>
      </c>
      <c r="T490" s="1">
        <f t="shared" si="30"/>
        <v>22.066442796610168</v>
      </c>
      <c r="U490" s="1">
        <f t="shared" si="31"/>
        <v>26.976557203389824</v>
      </c>
    </row>
    <row r="491" spans="1:21" x14ac:dyDescent="0.3">
      <c r="A491" t="s">
        <v>359</v>
      </c>
      <c r="B491" t="s">
        <v>364</v>
      </c>
      <c r="C491" t="s">
        <v>576</v>
      </c>
      <c r="D491" t="s">
        <v>14</v>
      </c>
      <c r="E491" s="2">
        <v>38.283999999999999</v>
      </c>
      <c r="F491" s="2">
        <v>0</v>
      </c>
      <c r="G491" s="2">
        <v>13.757</v>
      </c>
      <c r="H491" s="2">
        <v>-16.143999999999998</v>
      </c>
      <c r="I491" s="1">
        <v>0.85934071674851098</v>
      </c>
      <c r="J491" s="1">
        <v>0.921690523456274</v>
      </c>
      <c r="K491" s="1">
        <v>0.57638811105168797</v>
      </c>
      <c r="L491" s="1">
        <v>0.70464312915309701</v>
      </c>
      <c r="M491" s="2"/>
      <c r="N491" s="2"/>
      <c r="P491" s="1">
        <f>I491-'Passo 1'!I491</f>
        <v>0.10337216591787701</v>
      </c>
      <c r="Q491" s="1">
        <f>J491-'Passo 1'!J491</f>
        <v>2.7113154320343003E-2</v>
      </c>
      <c r="R491" s="1">
        <f t="shared" si="29"/>
        <v>32.898999999999994</v>
      </c>
      <c r="S491">
        <f t="shared" si="28"/>
        <v>35.285999999999994</v>
      </c>
      <c r="T491" s="1">
        <f t="shared" si="30"/>
        <v>22.066442443502822</v>
      </c>
      <c r="U491" s="1">
        <f t="shared" si="31"/>
        <v>26.976557556497166</v>
      </c>
    </row>
    <row r="492" spans="1:21" x14ac:dyDescent="0.3">
      <c r="A492" t="s">
        <v>359</v>
      </c>
      <c r="B492" t="s">
        <v>365</v>
      </c>
      <c r="C492" t="s">
        <v>366</v>
      </c>
      <c r="D492" t="s">
        <v>367</v>
      </c>
      <c r="E492" s="2">
        <v>651.34699999999998</v>
      </c>
      <c r="F492" s="2">
        <v>0</v>
      </c>
      <c r="G492" s="2">
        <v>322.048</v>
      </c>
      <c r="H492" s="2">
        <v>-322.13049999999998</v>
      </c>
      <c r="I492" s="1">
        <v>0.99443384248334599</v>
      </c>
      <c r="J492" s="1">
        <v>0.994560503080539</v>
      </c>
      <c r="K492" s="1">
        <v>0.58420868954002203</v>
      </c>
      <c r="L492" s="1">
        <v>0.90478565602386196</v>
      </c>
      <c r="M492" s="2"/>
      <c r="N492" s="2"/>
      <c r="P492" s="1">
        <f>I492-'Passo 1'!I492</f>
        <v>0</v>
      </c>
      <c r="Q492" s="1">
        <f>J492-'Passo 1'!J492</f>
        <v>1.1361071748205998E-4</v>
      </c>
      <c r="R492" s="1">
        <f t="shared" si="29"/>
        <v>647.72149999999999</v>
      </c>
      <c r="S492">
        <f t="shared" si="28"/>
        <v>647.80399999999986</v>
      </c>
      <c r="T492" s="1">
        <f t="shared" si="30"/>
        <v>380.52257730582471</v>
      </c>
      <c r="U492" s="1">
        <f t="shared" si="31"/>
        <v>589.32942269417435</v>
      </c>
    </row>
    <row r="493" spans="1:21" x14ac:dyDescent="0.3">
      <c r="A493" t="s">
        <v>359</v>
      </c>
      <c r="B493" t="s">
        <v>368</v>
      </c>
      <c r="C493" t="s">
        <v>366</v>
      </c>
      <c r="D493" t="s">
        <v>367</v>
      </c>
      <c r="E493" s="2">
        <v>1367.24</v>
      </c>
      <c r="F493" s="2">
        <v>0</v>
      </c>
      <c r="G493" s="2">
        <v>382.029</v>
      </c>
      <c r="H493" s="2">
        <v>-609.39499999999998</v>
      </c>
      <c r="I493" s="1">
        <v>0.77941619613235402</v>
      </c>
      <c r="J493" s="1">
        <v>0.94571179895263402</v>
      </c>
      <c r="K493" s="1">
        <v>0.32892280676782598</v>
      </c>
      <c r="L493" s="1">
        <v>0.896205188317162</v>
      </c>
      <c r="M493" s="2"/>
      <c r="N493" s="2"/>
      <c r="P493" s="1">
        <f>I493-'Passo 1'!I493</f>
        <v>0.122605394809982</v>
      </c>
      <c r="Q493" s="1">
        <f>J493-'Passo 1'!J493</f>
        <v>5.3619335303239035E-2</v>
      </c>
      <c r="R493" s="1">
        <f t="shared" si="29"/>
        <v>1065.6489999999997</v>
      </c>
      <c r="S493">
        <f t="shared" si="28"/>
        <v>1293.0149999999994</v>
      </c>
      <c r="T493" s="1">
        <f t="shared" si="30"/>
        <v>449.71641832524239</v>
      </c>
      <c r="U493" s="1">
        <f t="shared" si="31"/>
        <v>1225.3275816747566</v>
      </c>
    </row>
    <row r="494" spans="1:21" x14ac:dyDescent="0.3">
      <c r="A494" t="s">
        <v>359</v>
      </c>
      <c r="B494" t="s">
        <v>728</v>
      </c>
      <c r="C494" t="s">
        <v>576</v>
      </c>
      <c r="D494" t="s">
        <v>14</v>
      </c>
      <c r="E494" s="2">
        <v>62.94</v>
      </c>
      <c r="F494" s="2">
        <v>62.94</v>
      </c>
      <c r="G494" s="2">
        <v>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M494" s="2"/>
      <c r="N494" s="2"/>
      <c r="P494" s="1">
        <f>I494-'Passo 1'!I494</f>
        <v>0</v>
      </c>
      <c r="Q494" s="1">
        <f>J494-'Passo 1'!J494</f>
        <v>0</v>
      </c>
      <c r="R494" s="1">
        <f t="shared" si="29"/>
        <v>0</v>
      </c>
      <c r="S494">
        <f t="shared" si="28"/>
        <v>0</v>
      </c>
      <c r="T494" s="1">
        <f t="shared" si="30"/>
        <v>0</v>
      </c>
      <c r="U494" s="1">
        <f t="shared" si="31"/>
        <v>0</v>
      </c>
    </row>
    <row r="495" spans="1:21" x14ac:dyDescent="0.3">
      <c r="A495" t="s">
        <v>359</v>
      </c>
      <c r="B495" t="s">
        <v>369</v>
      </c>
      <c r="C495" t="s">
        <v>574</v>
      </c>
      <c r="D495" t="s">
        <v>575</v>
      </c>
      <c r="E495" s="2">
        <v>27.7</v>
      </c>
      <c r="F495" s="2">
        <v>0</v>
      </c>
      <c r="G495" s="2">
        <v>10.4815</v>
      </c>
      <c r="H495" s="2">
        <v>-13.185499999999999</v>
      </c>
      <c r="I495" s="1">
        <v>0.87839350180505404</v>
      </c>
      <c r="J495" s="1">
        <v>0.97601083032490898</v>
      </c>
      <c r="K495" s="1">
        <v>0.62646575654551195</v>
      </c>
      <c r="L495" s="1">
        <v>0.72793857558445196</v>
      </c>
      <c r="M495" s="2"/>
      <c r="N495" s="2"/>
      <c r="P495" s="1">
        <f>I495-'Passo 1'!I495</f>
        <v>-1.9855595667869208E-3</v>
      </c>
      <c r="Q495" s="1">
        <f>J495-'Passo 1'!J495</f>
        <v>0.12478339350180501</v>
      </c>
      <c r="R495" s="1">
        <f t="shared" si="29"/>
        <v>24.331499999999995</v>
      </c>
      <c r="S495">
        <f t="shared" si="28"/>
        <v>27.035499999999978</v>
      </c>
      <c r="T495" s="1">
        <f t="shared" si="30"/>
        <v>17.353101456310682</v>
      </c>
      <c r="U495" s="1">
        <f t="shared" si="31"/>
        <v>20.163898543689317</v>
      </c>
    </row>
    <row r="496" spans="1:21" x14ac:dyDescent="0.3">
      <c r="A496" t="s">
        <v>359</v>
      </c>
      <c r="B496" t="s">
        <v>370</v>
      </c>
      <c r="C496" t="s">
        <v>574</v>
      </c>
      <c r="D496" t="s">
        <v>575</v>
      </c>
      <c r="E496" s="2">
        <v>134.56</v>
      </c>
      <c r="F496" s="2">
        <v>0</v>
      </c>
      <c r="G496" s="2">
        <v>44.0565</v>
      </c>
      <c r="H496" s="2">
        <v>-47.128</v>
      </c>
      <c r="I496" s="1">
        <v>0.82741156361474399</v>
      </c>
      <c r="J496" s="1">
        <v>0.85023781212841798</v>
      </c>
      <c r="K496" s="1">
        <v>0.61012263781222398</v>
      </c>
      <c r="L496" s="1">
        <v>0.567526737930938</v>
      </c>
      <c r="M496" s="2"/>
      <c r="N496" s="2"/>
      <c r="P496" s="1">
        <f>I496-'Passo 1'!I496</f>
        <v>0.10755796670630202</v>
      </c>
      <c r="Q496" s="1">
        <f>J496-'Passo 1'!J496</f>
        <v>5.3816141498216008E-2</v>
      </c>
      <c r="R496" s="1">
        <f t="shared" si="29"/>
        <v>111.33649999999996</v>
      </c>
      <c r="S496">
        <f t="shared" si="28"/>
        <v>114.40799999999993</v>
      </c>
      <c r="T496" s="1">
        <f t="shared" si="30"/>
        <v>82.098102144012856</v>
      </c>
      <c r="U496" s="1">
        <f t="shared" si="31"/>
        <v>76.366397855987017</v>
      </c>
    </row>
    <row r="497" spans="1:21" x14ac:dyDescent="0.3">
      <c r="A497" t="s">
        <v>359</v>
      </c>
      <c r="B497" t="s">
        <v>371</v>
      </c>
      <c r="C497" t="s">
        <v>576</v>
      </c>
      <c r="D497" t="s">
        <v>577</v>
      </c>
      <c r="E497" s="2">
        <v>538.18899999999996</v>
      </c>
      <c r="F497" s="2">
        <v>0</v>
      </c>
      <c r="G497" s="2">
        <v>261.71199999999999</v>
      </c>
      <c r="H497" s="2">
        <v>-260.16899999999998</v>
      </c>
      <c r="I497" s="1">
        <v>0.98628269994369999</v>
      </c>
      <c r="J497" s="1">
        <v>0.98341567739214297</v>
      </c>
      <c r="K497" s="1">
        <v>0.87553160537778796</v>
      </c>
      <c r="L497" s="1">
        <v>0.59416677195805401</v>
      </c>
      <c r="M497" s="2"/>
      <c r="N497" s="2"/>
      <c r="P497" s="1">
        <f>I497-'Passo 1'!I497</f>
        <v>0</v>
      </c>
      <c r="Q497" s="1">
        <f>J497-'Passo 1'!J497</f>
        <v>0.12138951186293301</v>
      </c>
      <c r="R497" s="1">
        <f t="shared" si="29"/>
        <v>530.80649999999991</v>
      </c>
      <c r="S497">
        <f t="shared" si="28"/>
        <v>529.26350000000002</v>
      </c>
      <c r="T497" s="1">
        <f t="shared" si="30"/>
        <v>471.20147916666627</v>
      </c>
      <c r="U497" s="1">
        <f t="shared" si="31"/>
        <v>319.77402083333311</v>
      </c>
    </row>
    <row r="498" spans="1:21" x14ac:dyDescent="0.3">
      <c r="A498" t="s">
        <v>359</v>
      </c>
      <c r="B498" t="s">
        <v>372</v>
      </c>
      <c r="C498" t="s">
        <v>574</v>
      </c>
      <c r="D498" t="s">
        <v>575</v>
      </c>
      <c r="E498" s="2">
        <v>140.85599999999999</v>
      </c>
      <c r="F498" s="2">
        <v>7.0000000000000007E-2</v>
      </c>
      <c r="G498" s="2">
        <v>58.725499999999997</v>
      </c>
      <c r="H498" s="2">
        <v>-68.441999999999993</v>
      </c>
      <c r="I498" s="1">
        <v>0.91667021639120805</v>
      </c>
      <c r="J498" s="1">
        <v>0.98565201340375896</v>
      </c>
      <c r="K498" s="1">
        <v>0.71817432715603102</v>
      </c>
      <c r="L498" s="1">
        <v>0.68439638335683195</v>
      </c>
      <c r="M498" s="2"/>
      <c r="N498" s="2"/>
      <c r="P498" s="1">
        <f>I498-'Passo 1'!I498</f>
        <v>6.3820497529392006E-2</v>
      </c>
      <c r="Q498" s="1">
        <f>J498-'Passo 1'!J498</f>
        <v>0.10115295053103801</v>
      </c>
      <c r="R498" s="1">
        <f t="shared" si="29"/>
        <v>129.11849999999998</v>
      </c>
      <c r="S498">
        <f t="shared" si="28"/>
        <v>138.83499999999987</v>
      </c>
      <c r="T498" s="1">
        <f t="shared" si="30"/>
        <v>101.1591630258899</v>
      </c>
      <c r="U498" s="1">
        <f t="shared" si="31"/>
        <v>96.401336974109924</v>
      </c>
    </row>
    <row r="499" spans="1:21" x14ac:dyDescent="0.3">
      <c r="A499" t="s">
        <v>359</v>
      </c>
      <c r="B499" t="s">
        <v>373</v>
      </c>
      <c r="C499" t="s">
        <v>576</v>
      </c>
      <c r="D499" t="s">
        <v>14</v>
      </c>
      <c r="E499" s="2">
        <v>25.407</v>
      </c>
      <c r="F499" s="2">
        <v>0</v>
      </c>
      <c r="G499" s="2">
        <v>9.8809999999999896</v>
      </c>
      <c r="H499" s="2">
        <v>-8.86099999999999</v>
      </c>
      <c r="I499" s="1">
        <v>0.88890856850474198</v>
      </c>
      <c r="J499" s="1">
        <v>0.84876215216278905</v>
      </c>
      <c r="K499" s="1">
        <v>0.84108960332900096</v>
      </c>
      <c r="L499" s="1">
        <v>0.39658111733853102</v>
      </c>
      <c r="M499" s="2"/>
      <c r="N499" s="2"/>
      <c r="P499" s="1">
        <f>I499-'Passo 1'!I499</f>
        <v>0.11658204431849495</v>
      </c>
      <c r="Q499" s="1">
        <f>J499-'Passo 1'!J499</f>
        <v>-4.1917581768809997E-3</v>
      </c>
      <c r="R499" s="1">
        <f t="shared" si="29"/>
        <v>22.584499999999981</v>
      </c>
      <c r="S499">
        <f t="shared" si="28"/>
        <v>21.564499999999981</v>
      </c>
      <c r="T499" s="1">
        <f t="shared" si="30"/>
        <v>21.369563551779926</v>
      </c>
      <c r="U499" s="1">
        <f t="shared" si="31"/>
        <v>10.075936448220057</v>
      </c>
    </row>
    <row r="500" spans="1:21" x14ac:dyDescent="0.3">
      <c r="A500" t="s">
        <v>359</v>
      </c>
      <c r="B500" t="s">
        <v>374</v>
      </c>
      <c r="C500" t="s">
        <v>574</v>
      </c>
      <c r="D500" t="s">
        <v>575</v>
      </c>
      <c r="E500" s="2">
        <v>137.071</v>
      </c>
      <c r="F500" s="2">
        <v>1.9E-2</v>
      </c>
      <c r="G500" s="2">
        <v>52.688499999999998</v>
      </c>
      <c r="H500" s="2">
        <v>-51.654000000000003</v>
      </c>
      <c r="I500" s="1">
        <v>0.88431907551560796</v>
      </c>
      <c r="J500" s="1">
        <v>0.87677189193921401</v>
      </c>
      <c r="K500" s="1">
        <v>0.74367758651476301</v>
      </c>
      <c r="L500" s="1">
        <v>0.51748268808745002</v>
      </c>
      <c r="M500" s="2"/>
      <c r="N500" s="2"/>
      <c r="P500" s="1">
        <f>I500-'Passo 1'!I500</f>
        <v>7.4548956380269926E-2</v>
      </c>
      <c r="Q500" s="1">
        <f>J500-'Passo 1'!J500</f>
        <v>1.8056335767595022E-2</v>
      </c>
      <c r="R500" s="1">
        <f t="shared" si="29"/>
        <v>121.2144999999999</v>
      </c>
      <c r="S500">
        <f t="shared" si="28"/>
        <v>120.18</v>
      </c>
      <c r="T500" s="1">
        <f t="shared" si="30"/>
        <v>101.93663046116508</v>
      </c>
      <c r="U500" s="1">
        <f t="shared" si="31"/>
        <v>70.93186953883486</v>
      </c>
    </row>
    <row r="501" spans="1:21" x14ac:dyDescent="0.3">
      <c r="A501" t="s">
        <v>359</v>
      </c>
      <c r="B501" t="s">
        <v>729</v>
      </c>
      <c r="C501" t="s">
        <v>574</v>
      </c>
      <c r="D501" t="s">
        <v>575</v>
      </c>
      <c r="E501" s="2">
        <v>38.701999999999998</v>
      </c>
      <c r="F501" s="2">
        <v>0</v>
      </c>
      <c r="G501" s="2">
        <v>6.6609999999999996</v>
      </c>
      <c r="H501" s="2">
        <v>-6.5174999999999903</v>
      </c>
      <c r="I501" s="1">
        <v>0.67210996847708104</v>
      </c>
      <c r="J501" s="1">
        <v>0.66840214975970202</v>
      </c>
      <c r="K501" s="1">
        <v>0.436514789632306</v>
      </c>
      <c r="L501" s="1">
        <v>0.40399732860447701</v>
      </c>
      <c r="M501" s="2"/>
      <c r="N501" s="2"/>
      <c r="P501" s="1">
        <f>I501-'Passo 1'!I501</f>
        <v>1.8319466694228015E-2</v>
      </c>
      <c r="Q501" s="1">
        <f>J501-'Passo 1'!J501</f>
        <v>1.0865071572529028E-2</v>
      </c>
      <c r="R501" s="1">
        <f t="shared" si="29"/>
        <v>26.01199999999999</v>
      </c>
      <c r="S501">
        <f t="shared" si="28"/>
        <v>25.868499999999987</v>
      </c>
      <c r="T501" s="1">
        <f t="shared" si="30"/>
        <v>16.893995388349506</v>
      </c>
      <c r="U501" s="1">
        <f t="shared" si="31"/>
        <v>15.635504611650468</v>
      </c>
    </row>
    <row r="502" spans="1:21" x14ac:dyDescent="0.3">
      <c r="A502" t="s">
        <v>359</v>
      </c>
      <c r="B502" t="s">
        <v>375</v>
      </c>
      <c r="C502" t="s">
        <v>574</v>
      </c>
      <c r="D502" t="s">
        <v>575</v>
      </c>
      <c r="E502" s="2">
        <v>90.290999999999997</v>
      </c>
      <c r="F502" s="2">
        <v>0</v>
      </c>
      <c r="G502" s="2">
        <v>34.345999999999997</v>
      </c>
      <c r="H502" s="2">
        <v>-38.6265</v>
      </c>
      <c r="I502" s="1">
        <v>0.88039228716040296</v>
      </c>
      <c r="J502" s="1">
        <v>0.92780011296806897</v>
      </c>
      <c r="K502" s="1">
        <v>0.61434619487604902</v>
      </c>
      <c r="L502" s="1">
        <v>0.69384620525242302</v>
      </c>
      <c r="M502" s="2"/>
      <c r="N502" s="2"/>
      <c r="P502" s="1">
        <f>I502-'Passo 1'!I502</f>
        <v>9.628312899402991E-2</v>
      </c>
      <c r="Q502" s="1">
        <f>J502-'Passo 1'!J502</f>
        <v>4.5225991516319008E-2</v>
      </c>
      <c r="R502" s="1">
        <f t="shared" si="29"/>
        <v>79.491499999999945</v>
      </c>
      <c r="S502">
        <f t="shared" si="28"/>
        <v>83.771999999999906</v>
      </c>
      <c r="T502" s="1">
        <f t="shared" si="30"/>
        <v>55.469932281553341</v>
      </c>
      <c r="U502" s="1">
        <f t="shared" si="31"/>
        <v>62.648067718446526</v>
      </c>
    </row>
    <row r="503" spans="1:21" x14ac:dyDescent="0.3">
      <c r="A503" t="s">
        <v>359</v>
      </c>
      <c r="B503" t="s">
        <v>376</v>
      </c>
      <c r="C503" t="s">
        <v>574</v>
      </c>
      <c r="D503" t="s">
        <v>575</v>
      </c>
      <c r="E503" s="2">
        <v>52.1</v>
      </c>
      <c r="F503" s="2">
        <v>0</v>
      </c>
      <c r="G503" s="2">
        <v>19.630500000000001</v>
      </c>
      <c r="H503" s="2">
        <v>-25.945</v>
      </c>
      <c r="I503" s="1">
        <v>0.87678502879078701</v>
      </c>
      <c r="J503" s="1">
        <v>0.99798464491362704</v>
      </c>
      <c r="K503" s="1">
        <v>0.63890007081229105</v>
      </c>
      <c r="L503" s="1">
        <v>0.735869602892123</v>
      </c>
      <c r="M503" s="2"/>
      <c r="N503" s="2"/>
      <c r="P503" s="1">
        <f>I503-'Passo 1'!I503</f>
        <v>5.813819577735202E-2</v>
      </c>
      <c r="Q503" s="1">
        <f>J503-'Passo 1'!J503</f>
        <v>2.1746641074856021E-2</v>
      </c>
      <c r="R503" s="1">
        <f t="shared" si="29"/>
        <v>45.680500000000002</v>
      </c>
      <c r="S503">
        <f t="shared" si="28"/>
        <v>51.994999999999969</v>
      </c>
      <c r="T503" s="1">
        <f t="shared" si="30"/>
        <v>33.286693689320366</v>
      </c>
      <c r="U503" s="1">
        <f t="shared" si="31"/>
        <v>38.338806310679608</v>
      </c>
    </row>
    <row r="504" spans="1:21" x14ac:dyDescent="0.3">
      <c r="A504" t="s">
        <v>359</v>
      </c>
      <c r="B504" t="s">
        <v>377</v>
      </c>
      <c r="C504" t="s">
        <v>576</v>
      </c>
      <c r="D504" t="s">
        <v>589</v>
      </c>
      <c r="E504" s="2">
        <v>0</v>
      </c>
      <c r="F504" s="2">
        <v>0</v>
      </c>
      <c r="G504" s="2">
        <v>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M504" s="2"/>
      <c r="N504" s="2"/>
      <c r="P504" s="1">
        <f>I504-'Passo 1'!I504</f>
        <v>0</v>
      </c>
      <c r="Q504" s="1">
        <f>J504-'Passo 1'!J504</f>
        <v>0</v>
      </c>
      <c r="R504" s="1">
        <f t="shared" si="29"/>
        <v>0</v>
      </c>
      <c r="S504">
        <f t="shared" si="28"/>
        <v>0</v>
      </c>
      <c r="T504" s="1">
        <f t="shared" si="30"/>
        <v>0</v>
      </c>
      <c r="U504" s="1">
        <f t="shared" si="31"/>
        <v>0</v>
      </c>
    </row>
    <row r="505" spans="1:21" x14ac:dyDescent="0.3">
      <c r="A505" t="s">
        <v>359</v>
      </c>
      <c r="B505" t="s">
        <v>378</v>
      </c>
      <c r="C505" t="s">
        <v>576</v>
      </c>
      <c r="D505" t="s">
        <v>14</v>
      </c>
      <c r="E505" s="2">
        <v>0</v>
      </c>
      <c r="F505" s="2">
        <v>0</v>
      </c>
      <c r="G505" s="2">
        <v>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M505" s="2"/>
      <c r="N505" s="2"/>
      <c r="P505" s="1">
        <f>I505-'Passo 1'!I505</f>
        <v>0</v>
      </c>
      <c r="Q505" s="1">
        <f>J505-'Passo 1'!J505</f>
        <v>0</v>
      </c>
      <c r="R505" s="1">
        <f t="shared" si="29"/>
        <v>0</v>
      </c>
      <c r="S505">
        <f t="shared" si="28"/>
        <v>0</v>
      </c>
      <c r="T505" s="1">
        <f t="shared" si="30"/>
        <v>0</v>
      </c>
      <c r="U505" s="1">
        <f t="shared" si="31"/>
        <v>0</v>
      </c>
    </row>
    <row r="506" spans="1:21" x14ac:dyDescent="0.3">
      <c r="A506" t="s">
        <v>359</v>
      </c>
      <c r="B506" t="s">
        <v>730</v>
      </c>
      <c r="C506" t="s">
        <v>574</v>
      </c>
      <c r="D506" t="s">
        <v>575</v>
      </c>
      <c r="E506" s="2">
        <v>10.712999999999999</v>
      </c>
      <c r="F506" s="2">
        <v>0</v>
      </c>
      <c r="G506" s="2">
        <v>0</v>
      </c>
      <c r="H506" s="2">
        <v>-5.3564999999999996</v>
      </c>
      <c r="I506" s="1">
        <v>0.5</v>
      </c>
      <c r="J506" s="1">
        <v>1</v>
      </c>
      <c r="K506" s="1">
        <v>0.15728155339805799</v>
      </c>
      <c r="L506" s="1">
        <v>0.84271844660194095</v>
      </c>
      <c r="M506" s="2"/>
      <c r="N506" s="2"/>
      <c r="P506" s="1">
        <f>I506-'Passo 1'!I506</f>
        <v>0</v>
      </c>
      <c r="Q506" s="1">
        <f>J506-'Passo 1'!J506</f>
        <v>0</v>
      </c>
      <c r="R506" s="1">
        <f t="shared" si="29"/>
        <v>5.3564999999999996</v>
      </c>
      <c r="S506">
        <f t="shared" si="28"/>
        <v>10.712999999999999</v>
      </c>
      <c r="T506" s="1">
        <f t="shared" si="30"/>
        <v>1.6849572815533951</v>
      </c>
      <c r="U506" s="1">
        <f t="shared" si="31"/>
        <v>9.0280427184465921</v>
      </c>
    </row>
    <row r="507" spans="1:21" x14ac:dyDescent="0.3">
      <c r="A507" t="s">
        <v>359</v>
      </c>
      <c r="B507" t="s">
        <v>379</v>
      </c>
      <c r="C507" t="s">
        <v>576</v>
      </c>
      <c r="D507" t="s">
        <v>14</v>
      </c>
      <c r="E507" s="2">
        <v>0</v>
      </c>
      <c r="F507" s="2">
        <v>0</v>
      </c>
      <c r="G507" s="2">
        <v>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M507" s="2"/>
      <c r="N507" s="2"/>
      <c r="P507" s="1">
        <f>I507-'Passo 1'!I507</f>
        <v>0</v>
      </c>
      <c r="Q507" s="1">
        <f>J507-'Passo 1'!J507</f>
        <v>0</v>
      </c>
      <c r="R507" s="1">
        <f t="shared" si="29"/>
        <v>0</v>
      </c>
      <c r="S507">
        <f t="shared" si="28"/>
        <v>0</v>
      </c>
      <c r="T507" s="1">
        <f t="shared" si="30"/>
        <v>0</v>
      </c>
      <c r="U507" s="1">
        <f t="shared" si="31"/>
        <v>0</v>
      </c>
    </row>
    <row r="508" spans="1:21" x14ac:dyDescent="0.3">
      <c r="A508" t="s">
        <v>359</v>
      </c>
      <c r="B508" t="s">
        <v>731</v>
      </c>
      <c r="C508" t="s">
        <v>576</v>
      </c>
      <c r="D508" t="s">
        <v>14</v>
      </c>
      <c r="E508" s="2">
        <v>27.82</v>
      </c>
      <c r="F508" s="2">
        <v>0</v>
      </c>
      <c r="G508" s="2">
        <v>0</v>
      </c>
      <c r="H508" s="2">
        <v>-13.91</v>
      </c>
      <c r="I508" s="1">
        <v>0.5</v>
      </c>
      <c r="J508" s="1">
        <v>1</v>
      </c>
      <c r="K508" s="1">
        <v>0.15728155339805799</v>
      </c>
      <c r="L508" s="1">
        <v>0.84271844660194095</v>
      </c>
      <c r="M508" s="2"/>
      <c r="N508" s="2"/>
      <c r="P508" s="1">
        <f>I508-'Passo 1'!I508</f>
        <v>0</v>
      </c>
      <c r="Q508" s="1">
        <f>J508-'Passo 1'!J508</f>
        <v>0</v>
      </c>
      <c r="R508" s="1">
        <f t="shared" si="29"/>
        <v>13.91</v>
      </c>
      <c r="S508">
        <f t="shared" si="28"/>
        <v>27.82</v>
      </c>
      <c r="T508" s="1">
        <f t="shared" si="30"/>
        <v>4.3755728155339737</v>
      </c>
      <c r="U508" s="1">
        <f t="shared" si="31"/>
        <v>23.444427184465997</v>
      </c>
    </row>
    <row r="509" spans="1:21" x14ac:dyDescent="0.3">
      <c r="A509" t="s">
        <v>359</v>
      </c>
      <c r="B509" t="s">
        <v>380</v>
      </c>
      <c r="C509" t="s">
        <v>574</v>
      </c>
      <c r="D509" t="s">
        <v>575</v>
      </c>
      <c r="E509" s="2">
        <v>633.30100000000004</v>
      </c>
      <c r="F509" s="2">
        <v>2.8260000000000001</v>
      </c>
      <c r="G509" s="2">
        <v>266.21600000000001</v>
      </c>
      <c r="H509" s="2">
        <v>-268.25699999999898</v>
      </c>
      <c r="I509" s="1">
        <v>0.91813134670559504</v>
      </c>
      <c r="J509" s="1">
        <v>0.92135414281676398</v>
      </c>
      <c r="K509" s="1">
        <v>0.68867227816674004</v>
      </c>
      <c r="L509" s="1">
        <v>0.65304437789412095</v>
      </c>
      <c r="M509" s="2"/>
      <c r="N509" s="2"/>
      <c r="P509" s="1">
        <f>I509-'Passo 1'!I509</f>
        <v>2.5539988094130051E-2</v>
      </c>
      <c r="Q509" s="1">
        <f>J509-'Passo 1'!J509</f>
        <v>2.660899003791195E-2</v>
      </c>
      <c r="R509" s="1">
        <f t="shared" si="29"/>
        <v>581.45350000000008</v>
      </c>
      <c r="S509">
        <f t="shared" si="28"/>
        <v>583.49449999999945</v>
      </c>
      <c r="T509" s="1">
        <f t="shared" si="30"/>
        <v>436.13684243527467</v>
      </c>
      <c r="U509" s="1">
        <f t="shared" si="31"/>
        <v>413.57365756472473</v>
      </c>
    </row>
    <row r="510" spans="1:21" x14ac:dyDescent="0.3">
      <c r="A510" t="s">
        <v>359</v>
      </c>
      <c r="B510" t="s">
        <v>381</v>
      </c>
      <c r="C510" t="s">
        <v>574</v>
      </c>
      <c r="D510" t="s">
        <v>575</v>
      </c>
      <c r="E510" s="2">
        <v>69.984999999999999</v>
      </c>
      <c r="F510" s="2">
        <v>0</v>
      </c>
      <c r="G510" s="2">
        <v>20.363999999999901</v>
      </c>
      <c r="H510" s="2">
        <v>-20.391999999999999</v>
      </c>
      <c r="I510" s="1">
        <v>0.79097663785096795</v>
      </c>
      <c r="J510" s="1">
        <v>0.79137672358362499</v>
      </c>
      <c r="K510" s="1">
        <v>0.59531126064230599</v>
      </c>
      <c r="L510" s="1">
        <v>0.48704210079228699</v>
      </c>
      <c r="M510" s="2"/>
      <c r="N510" s="2"/>
      <c r="P510" s="1">
        <f>I510-'Passo 1'!I510</f>
        <v>1.4660284346645902E-2</v>
      </c>
      <c r="Q510" s="1">
        <f>J510-'Passo 1'!J510</f>
        <v>2.0011431020932946E-2</v>
      </c>
      <c r="R510" s="1">
        <f t="shared" si="29"/>
        <v>55.35649999999999</v>
      </c>
      <c r="S510">
        <f t="shared" si="28"/>
        <v>55.384499999999996</v>
      </c>
      <c r="T510" s="1">
        <f t="shared" si="30"/>
        <v>41.662858576051782</v>
      </c>
      <c r="U510" s="1">
        <f t="shared" si="31"/>
        <v>34.085641423948204</v>
      </c>
    </row>
    <row r="511" spans="1:21" x14ac:dyDescent="0.3">
      <c r="A511" t="s">
        <v>359</v>
      </c>
      <c r="B511" t="s">
        <v>382</v>
      </c>
      <c r="C511" t="s">
        <v>574</v>
      </c>
      <c r="D511" t="s">
        <v>575</v>
      </c>
      <c r="E511" s="2">
        <v>47.781999999999996</v>
      </c>
      <c r="F511" s="2">
        <v>0</v>
      </c>
      <c r="G511" s="2">
        <v>10.939500000000001</v>
      </c>
      <c r="H511" s="2">
        <v>-10.8325</v>
      </c>
      <c r="I511" s="1">
        <v>0.72894604662843698</v>
      </c>
      <c r="J511" s="1">
        <v>0.72670670963961304</v>
      </c>
      <c r="K511" s="1">
        <v>0.53874280984741996</v>
      </c>
      <c r="L511" s="1">
        <v>0.41690994642063001</v>
      </c>
      <c r="M511" s="2"/>
      <c r="N511" s="2"/>
      <c r="P511" s="1">
        <f>I511-'Passo 1'!I511</f>
        <v>1.2787242057679005E-2</v>
      </c>
      <c r="Q511" s="1">
        <f>J511-'Passo 1'!J511</f>
        <v>7.9946423339339878E-3</v>
      </c>
      <c r="R511" s="1">
        <f t="shared" si="29"/>
        <v>34.830499999999972</v>
      </c>
      <c r="S511">
        <f t="shared" si="28"/>
        <v>34.723499999999987</v>
      </c>
      <c r="T511" s="1">
        <f t="shared" si="30"/>
        <v>25.742208940129419</v>
      </c>
      <c r="U511" s="1">
        <f t="shared" si="31"/>
        <v>19.920791059870542</v>
      </c>
    </row>
    <row r="512" spans="1:21" x14ac:dyDescent="0.3">
      <c r="A512" t="s">
        <v>359</v>
      </c>
      <c r="B512" t="s">
        <v>383</v>
      </c>
      <c r="C512" t="s">
        <v>576</v>
      </c>
      <c r="D512" t="s">
        <v>577</v>
      </c>
      <c r="E512" s="2">
        <v>3.6779999999999999</v>
      </c>
      <c r="F512" s="2">
        <v>0</v>
      </c>
      <c r="G512" s="2">
        <v>1.839</v>
      </c>
      <c r="H512" s="2">
        <v>-1.839</v>
      </c>
      <c r="I512" s="1">
        <v>1</v>
      </c>
      <c r="J512" s="1">
        <v>1</v>
      </c>
      <c r="K512" s="1">
        <v>0.99995954692556599</v>
      </c>
      <c r="L512" s="1">
        <v>0.50004045307443301</v>
      </c>
      <c r="M512" s="2"/>
      <c r="N512" s="2"/>
      <c r="P512" s="1">
        <f>I512-'Passo 1'!I512</f>
        <v>0</v>
      </c>
      <c r="Q512" s="1">
        <f>J512-'Passo 1'!J512</f>
        <v>0</v>
      </c>
      <c r="R512" s="1">
        <f t="shared" si="29"/>
        <v>3.6779999999999999</v>
      </c>
      <c r="S512">
        <f t="shared" si="28"/>
        <v>3.6779999999999999</v>
      </c>
      <c r="T512" s="1">
        <f t="shared" si="30"/>
        <v>3.6778512135922314</v>
      </c>
      <c r="U512" s="1">
        <f t="shared" si="31"/>
        <v>1.8391487864077647</v>
      </c>
    </row>
    <row r="513" spans="1:21" x14ac:dyDescent="0.3">
      <c r="A513" t="s">
        <v>359</v>
      </c>
      <c r="B513" t="s">
        <v>384</v>
      </c>
      <c r="C513" t="s">
        <v>574</v>
      </c>
      <c r="D513" t="s">
        <v>575</v>
      </c>
      <c r="E513" s="2">
        <v>456.41699999999997</v>
      </c>
      <c r="F513" s="2">
        <v>0</v>
      </c>
      <c r="G513" s="2">
        <v>160.07300000000001</v>
      </c>
      <c r="H513" s="2">
        <v>-159.959</v>
      </c>
      <c r="I513" s="1">
        <v>0.85071655963734905</v>
      </c>
      <c r="J513" s="1">
        <v>0.85046678804689502</v>
      </c>
      <c r="K513" s="1">
        <v>0.5599832786833</v>
      </c>
      <c r="L513" s="1">
        <v>0.64120006900094395</v>
      </c>
      <c r="M513" s="2"/>
      <c r="N513" s="2"/>
      <c r="P513" s="1">
        <f>I513-'Passo 1'!I513</f>
        <v>1.1107167349157065E-2</v>
      </c>
      <c r="Q513" s="1">
        <f>J513-'Passo 1'!J513</f>
        <v>9.9755267660930347E-3</v>
      </c>
      <c r="R513" s="1">
        <f t="shared" si="29"/>
        <v>388.28149999999994</v>
      </c>
      <c r="S513">
        <f t="shared" si="28"/>
        <v>388.16749999999968</v>
      </c>
      <c r="T513" s="1">
        <f t="shared" si="30"/>
        <v>255.58588810679572</v>
      </c>
      <c r="U513" s="1">
        <f t="shared" si="31"/>
        <v>292.65461189320382</v>
      </c>
    </row>
    <row r="514" spans="1:21" x14ac:dyDescent="0.3">
      <c r="A514" t="s">
        <v>359</v>
      </c>
      <c r="B514" t="s">
        <v>385</v>
      </c>
      <c r="C514" t="s">
        <v>574</v>
      </c>
      <c r="D514" t="s">
        <v>575</v>
      </c>
      <c r="E514" s="2">
        <v>80.709000000000003</v>
      </c>
      <c r="F514" s="2">
        <v>8.9999999999999993E-3</v>
      </c>
      <c r="G514" s="2">
        <v>24.538</v>
      </c>
      <c r="H514" s="2">
        <v>-23.751999999999999</v>
      </c>
      <c r="I514" s="1">
        <v>0.80397477356924196</v>
      </c>
      <c r="J514" s="1">
        <v>0.79423608271692103</v>
      </c>
      <c r="K514" s="1">
        <v>0.56073136375794996</v>
      </c>
      <c r="L514" s="1">
        <v>0.53753524839187095</v>
      </c>
      <c r="M514" s="2"/>
      <c r="N514" s="2"/>
      <c r="P514" s="1">
        <f>I514-'Passo 1'!I514</f>
        <v>5.0558178146178911E-2</v>
      </c>
      <c r="Q514" s="1">
        <f>J514-'Passo 1'!J514</f>
        <v>1.2817653545454055E-2</v>
      </c>
      <c r="R514" s="1">
        <f t="shared" si="29"/>
        <v>64.887999999999948</v>
      </c>
      <c r="S514">
        <f t="shared" ref="S514:S577" si="32">J514*E514</f>
        <v>64.101999999999975</v>
      </c>
      <c r="T514" s="1">
        <f t="shared" si="30"/>
        <v>45.256067637540383</v>
      </c>
      <c r="U514" s="1">
        <f t="shared" si="31"/>
        <v>43.383932362459511</v>
      </c>
    </row>
    <row r="515" spans="1:21" x14ac:dyDescent="0.3">
      <c r="A515" t="s">
        <v>359</v>
      </c>
      <c r="B515" t="s">
        <v>386</v>
      </c>
      <c r="C515" t="s">
        <v>574</v>
      </c>
      <c r="D515" t="s">
        <v>575</v>
      </c>
      <c r="E515" s="2">
        <v>70.248000000000005</v>
      </c>
      <c r="F515" s="2">
        <v>0.36799999999999999</v>
      </c>
      <c r="G515" s="2">
        <v>24.225499999999901</v>
      </c>
      <c r="H515" s="2">
        <v>-24.103499999999901</v>
      </c>
      <c r="I515" s="1">
        <v>0.84223750142352805</v>
      </c>
      <c r="J515" s="1">
        <v>0.84050079717572002</v>
      </c>
      <c r="K515" s="1">
        <v>0.60969273641806698</v>
      </c>
      <c r="L515" s="1">
        <v>0.57566485383361099</v>
      </c>
      <c r="M515" s="2"/>
      <c r="N515" s="2"/>
      <c r="P515" s="1">
        <f>I515-'Passo 1'!I515</f>
        <v>4.0741373419884042E-2</v>
      </c>
      <c r="Q515" s="1">
        <f>J515-'Passo 1'!J515</f>
        <v>2.1545097369319977E-2</v>
      </c>
      <c r="R515" s="1">
        <f t="shared" ref="R515:R578" si="33">I515*E515</f>
        <v>59.165500000000002</v>
      </c>
      <c r="S515">
        <f t="shared" si="32"/>
        <v>59.04349999999998</v>
      </c>
      <c r="T515" s="1">
        <f t="shared" ref="T515:T578" si="34">K515*E515</f>
        <v>42.829695347896376</v>
      </c>
      <c r="U515" s="1">
        <f t="shared" ref="U515:U578" si="35">L515*E515</f>
        <v>40.439304652103509</v>
      </c>
    </row>
    <row r="516" spans="1:21" x14ac:dyDescent="0.3">
      <c r="A516" t="s">
        <v>359</v>
      </c>
      <c r="B516" t="s">
        <v>387</v>
      </c>
      <c r="C516" t="s">
        <v>574</v>
      </c>
      <c r="D516" t="s">
        <v>575</v>
      </c>
      <c r="E516" s="2">
        <v>609.96500000000003</v>
      </c>
      <c r="F516" s="2">
        <v>0</v>
      </c>
      <c r="G516" s="2">
        <v>218.53699999999901</v>
      </c>
      <c r="H516" s="2">
        <v>-251.99600000000001</v>
      </c>
      <c r="I516" s="1">
        <v>0.858277933979818</v>
      </c>
      <c r="J516" s="1">
        <v>0.91313190101071295</v>
      </c>
      <c r="K516" s="1">
        <v>0.63633057451410302</v>
      </c>
      <c r="L516" s="1">
        <v>0.63507926047642804</v>
      </c>
      <c r="M516" s="2"/>
      <c r="N516" s="2"/>
      <c r="P516" s="1">
        <f>I516-'Passo 1'!I516</f>
        <v>5.270220422483296E-2</v>
      </c>
      <c r="Q516" s="1">
        <f>J516-'Passo 1'!J516</f>
        <v>6.3103620699548002E-2</v>
      </c>
      <c r="R516" s="1">
        <f t="shared" si="33"/>
        <v>523.51949999999977</v>
      </c>
      <c r="S516">
        <f t="shared" si="32"/>
        <v>556.9784999999996</v>
      </c>
      <c r="T516" s="1">
        <f t="shared" si="34"/>
        <v>388.13937888349489</v>
      </c>
      <c r="U516" s="1">
        <f t="shared" si="35"/>
        <v>387.37612111650446</v>
      </c>
    </row>
    <row r="517" spans="1:21" x14ac:dyDescent="0.3">
      <c r="A517" t="s">
        <v>359</v>
      </c>
      <c r="B517" t="s">
        <v>388</v>
      </c>
      <c r="C517" t="s">
        <v>576</v>
      </c>
      <c r="D517" t="s">
        <v>14</v>
      </c>
      <c r="E517" s="2">
        <v>7.0750000000000002</v>
      </c>
      <c r="F517" s="2">
        <v>0</v>
      </c>
      <c r="G517" s="2">
        <v>3.5375000000000001</v>
      </c>
      <c r="H517" s="2">
        <v>0</v>
      </c>
      <c r="I517" s="1">
        <v>1</v>
      </c>
      <c r="J517" s="1">
        <v>0.5</v>
      </c>
      <c r="K517" s="1">
        <v>0.79417475728155296</v>
      </c>
      <c r="L517" s="1">
        <v>0.20582524271844599</v>
      </c>
      <c r="M517" s="2"/>
      <c r="N517" s="2"/>
      <c r="P517" s="1">
        <f>I517-'Passo 1'!I517</f>
        <v>0</v>
      </c>
      <c r="Q517" s="1">
        <f>J517-'Passo 1'!J517</f>
        <v>0</v>
      </c>
      <c r="R517" s="1">
        <f t="shared" si="33"/>
        <v>7.0750000000000002</v>
      </c>
      <c r="S517">
        <f t="shared" si="32"/>
        <v>3.5375000000000001</v>
      </c>
      <c r="T517" s="1">
        <f t="shared" si="34"/>
        <v>5.6187864077669873</v>
      </c>
      <c r="U517" s="1">
        <f t="shared" si="35"/>
        <v>1.4562135922330055</v>
      </c>
    </row>
    <row r="518" spans="1:21" x14ac:dyDescent="0.3">
      <c r="A518" t="s">
        <v>359</v>
      </c>
      <c r="B518" t="s">
        <v>732</v>
      </c>
      <c r="C518" t="s">
        <v>574</v>
      </c>
      <c r="D518" t="s">
        <v>575</v>
      </c>
      <c r="E518" s="2">
        <v>63.926000000000002</v>
      </c>
      <c r="F518" s="2">
        <v>0</v>
      </c>
      <c r="G518" s="2">
        <v>29.989000000000001</v>
      </c>
      <c r="H518" s="2">
        <v>-31.585999999999999</v>
      </c>
      <c r="I518" s="1">
        <v>0.96912054563088501</v>
      </c>
      <c r="J518" s="1">
        <v>0.99410255608046805</v>
      </c>
      <c r="K518" s="1">
        <v>0.69361256547948202</v>
      </c>
      <c r="L518" s="1">
        <v>0.76961053623187003</v>
      </c>
      <c r="M518" s="2"/>
      <c r="N518" s="2"/>
      <c r="P518" s="1">
        <f>I518-'Passo 1'!I518</f>
        <v>8.1516128023025991E-2</v>
      </c>
      <c r="Q518" s="1">
        <f>J518-'Passo 1'!J518</f>
        <v>0.11661139442480406</v>
      </c>
      <c r="R518" s="1">
        <f t="shared" si="33"/>
        <v>61.951999999999956</v>
      </c>
      <c r="S518">
        <f t="shared" si="32"/>
        <v>63.548999999999999</v>
      </c>
      <c r="T518" s="1">
        <f t="shared" si="34"/>
        <v>44.339876860841372</v>
      </c>
      <c r="U518" s="1">
        <f t="shared" si="35"/>
        <v>49.198123139158525</v>
      </c>
    </row>
    <row r="519" spans="1:21" x14ac:dyDescent="0.3">
      <c r="A519" t="s">
        <v>359</v>
      </c>
      <c r="B519" t="s">
        <v>733</v>
      </c>
      <c r="C519" t="s">
        <v>576</v>
      </c>
      <c r="D519" t="s">
        <v>14</v>
      </c>
      <c r="E519" s="2">
        <v>65.418999999999997</v>
      </c>
      <c r="F519" s="2">
        <v>0</v>
      </c>
      <c r="G519" s="2">
        <v>21.0945</v>
      </c>
      <c r="H519" s="2">
        <v>-27.158999999999999</v>
      </c>
      <c r="I519" s="1">
        <v>0.82245219278802795</v>
      </c>
      <c r="J519" s="1">
        <v>0.91515461868876002</v>
      </c>
      <c r="K519" s="1">
        <v>0.70413592383891699</v>
      </c>
      <c r="L519" s="1">
        <v>0.53347088763786998</v>
      </c>
      <c r="M519" s="2"/>
      <c r="N519" s="2"/>
      <c r="P519" s="1">
        <f>I519-'Passo 1'!I519</f>
        <v>9.8587566303367957E-2</v>
      </c>
      <c r="Q519" s="1">
        <f>J519-'Passo 1'!J519</f>
        <v>0.10788914535532501</v>
      </c>
      <c r="R519" s="1">
        <f t="shared" si="33"/>
        <v>53.803999999999995</v>
      </c>
      <c r="S519">
        <f t="shared" si="32"/>
        <v>59.86849999999999</v>
      </c>
      <c r="T519" s="1">
        <f t="shared" si="34"/>
        <v>46.063868001618111</v>
      </c>
      <c r="U519" s="1">
        <f t="shared" si="35"/>
        <v>34.899131998381812</v>
      </c>
    </row>
    <row r="520" spans="1:21" x14ac:dyDescent="0.3">
      <c r="A520" t="s">
        <v>359</v>
      </c>
      <c r="B520" t="s">
        <v>389</v>
      </c>
      <c r="C520" t="s">
        <v>574</v>
      </c>
      <c r="D520" t="s">
        <v>575</v>
      </c>
      <c r="E520" s="2">
        <v>400.846</v>
      </c>
      <c r="F520" s="2">
        <v>0.223</v>
      </c>
      <c r="G520" s="2">
        <v>154.70099999999999</v>
      </c>
      <c r="H520" s="2">
        <v>-125.8635</v>
      </c>
      <c r="I520" s="1">
        <v>0.88565808315412897</v>
      </c>
      <c r="J520" s="1">
        <v>0.81371648962444398</v>
      </c>
      <c r="K520" s="1">
        <v>0.73596009740773605</v>
      </c>
      <c r="L520" s="1">
        <v>0.46369263705886599</v>
      </c>
      <c r="M520" s="2"/>
      <c r="N520" s="2"/>
      <c r="P520" s="1">
        <f>I520-'Passo 1'!I520</f>
        <v>0.15118150112512097</v>
      </c>
      <c r="Q520" s="1">
        <f>J520-'Passo 1'!J520</f>
        <v>5.2713510924400353E-3</v>
      </c>
      <c r="R520" s="1">
        <f t="shared" si="33"/>
        <v>355.01249999999999</v>
      </c>
      <c r="S520">
        <f t="shared" si="32"/>
        <v>326.1749999999999</v>
      </c>
      <c r="T520" s="1">
        <f t="shared" si="34"/>
        <v>295.00666120550136</v>
      </c>
      <c r="U520" s="1">
        <f t="shared" si="35"/>
        <v>185.86933879449819</v>
      </c>
    </row>
    <row r="521" spans="1:21" x14ac:dyDescent="0.3">
      <c r="A521" t="s">
        <v>359</v>
      </c>
      <c r="B521" t="s">
        <v>390</v>
      </c>
      <c r="C521" t="s">
        <v>576</v>
      </c>
      <c r="D521" t="s">
        <v>14</v>
      </c>
      <c r="E521" s="2">
        <v>0</v>
      </c>
      <c r="F521" s="2">
        <v>0</v>
      </c>
      <c r="G521" s="2">
        <v>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M521" s="2"/>
      <c r="N521" s="2"/>
      <c r="P521" s="1">
        <f>I521-'Passo 1'!I521</f>
        <v>0</v>
      </c>
      <c r="Q521" s="1">
        <f>J521-'Passo 1'!J521</f>
        <v>0</v>
      </c>
      <c r="R521" s="1">
        <f t="shared" si="33"/>
        <v>0</v>
      </c>
      <c r="S521">
        <f t="shared" si="32"/>
        <v>0</v>
      </c>
      <c r="T521" s="1">
        <f t="shared" si="34"/>
        <v>0</v>
      </c>
      <c r="U521" s="1">
        <f t="shared" si="35"/>
        <v>0</v>
      </c>
    </row>
    <row r="522" spans="1:21" x14ac:dyDescent="0.3">
      <c r="A522" t="s">
        <v>359</v>
      </c>
      <c r="B522" t="s">
        <v>391</v>
      </c>
      <c r="C522" t="s">
        <v>576</v>
      </c>
      <c r="D522" t="s">
        <v>14</v>
      </c>
      <c r="E522" s="2">
        <v>34.356000000000002</v>
      </c>
      <c r="F522" s="2">
        <v>0</v>
      </c>
      <c r="G522" s="2">
        <v>13.489000000000001</v>
      </c>
      <c r="H522" s="2">
        <v>-16.098500000000001</v>
      </c>
      <c r="I522" s="1">
        <v>0.89262428687856499</v>
      </c>
      <c r="J522" s="1">
        <v>0.96857899639073197</v>
      </c>
      <c r="K522" s="1">
        <v>0.70815881380602297</v>
      </c>
      <c r="L522" s="1">
        <v>0.65304446946327399</v>
      </c>
      <c r="M522" s="2"/>
      <c r="N522" s="2"/>
      <c r="P522" s="1">
        <f>I522-'Passo 1'!I522</f>
        <v>0.11481255093724496</v>
      </c>
      <c r="Q522" s="1">
        <f>J522-'Passo 1'!J522</f>
        <v>6.6596809873094021E-2</v>
      </c>
      <c r="R522" s="1">
        <f t="shared" si="33"/>
        <v>30.66699999999998</v>
      </c>
      <c r="S522">
        <f t="shared" si="32"/>
        <v>33.276499999999992</v>
      </c>
      <c r="T522" s="1">
        <f t="shared" si="34"/>
        <v>24.329504207119726</v>
      </c>
      <c r="U522" s="1">
        <f t="shared" si="35"/>
        <v>22.435995792880242</v>
      </c>
    </row>
    <row r="523" spans="1:21" x14ac:dyDescent="0.3">
      <c r="A523" t="s">
        <v>359</v>
      </c>
      <c r="B523" t="s">
        <v>734</v>
      </c>
      <c r="C523" t="s">
        <v>574</v>
      </c>
      <c r="D523" t="s">
        <v>575</v>
      </c>
      <c r="E523" s="2">
        <v>301.02600000000001</v>
      </c>
      <c r="F523" s="2">
        <v>0</v>
      </c>
      <c r="G523" s="2">
        <v>94.073499999999996</v>
      </c>
      <c r="H523" s="2">
        <v>-124.578499999999</v>
      </c>
      <c r="I523" s="1">
        <v>0.81250955067004105</v>
      </c>
      <c r="J523" s="1">
        <v>0.91384631227867297</v>
      </c>
      <c r="K523" s="1">
        <v>0.54411186208108897</v>
      </c>
      <c r="L523" s="1">
        <v>0.68224400086762504</v>
      </c>
      <c r="M523" s="2"/>
      <c r="N523" s="2"/>
      <c r="P523" s="1">
        <f>I523-'Passo 1'!I523</f>
        <v>0.130146565412954</v>
      </c>
      <c r="Q523" s="1">
        <f>J523-'Passo 1'!J523</f>
        <v>0.12656714037990102</v>
      </c>
      <c r="R523" s="1">
        <f t="shared" si="33"/>
        <v>244.58649999999977</v>
      </c>
      <c r="S523">
        <f t="shared" si="32"/>
        <v>275.09149999999983</v>
      </c>
      <c r="T523" s="1">
        <f t="shared" si="34"/>
        <v>163.79181739482189</v>
      </c>
      <c r="U523" s="1">
        <f t="shared" si="35"/>
        <v>205.3731826051777</v>
      </c>
    </row>
    <row r="524" spans="1:21" x14ac:dyDescent="0.3">
      <c r="A524" t="s">
        <v>359</v>
      </c>
      <c r="B524" t="s">
        <v>392</v>
      </c>
      <c r="C524" t="s">
        <v>576</v>
      </c>
      <c r="D524" t="s">
        <v>14</v>
      </c>
      <c r="E524" s="2">
        <v>0</v>
      </c>
      <c r="F524" s="2">
        <v>0</v>
      </c>
      <c r="G524" s="2">
        <v>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M524" s="2"/>
      <c r="N524" s="2"/>
      <c r="P524" s="1">
        <f>I524-'Passo 1'!I524</f>
        <v>0</v>
      </c>
      <c r="Q524" s="1">
        <f>J524-'Passo 1'!J524</f>
        <v>0</v>
      </c>
      <c r="R524" s="1">
        <f t="shared" si="33"/>
        <v>0</v>
      </c>
      <c r="S524">
        <f t="shared" si="32"/>
        <v>0</v>
      </c>
      <c r="T524" s="1">
        <f t="shared" si="34"/>
        <v>0</v>
      </c>
      <c r="U524" s="1">
        <f t="shared" si="35"/>
        <v>0</v>
      </c>
    </row>
    <row r="525" spans="1:21" x14ac:dyDescent="0.3">
      <c r="A525" t="s">
        <v>359</v>
      </c>
      <c r="B525" t="s">
        <v>735</v>
      </c>
      <c r="C525" t="s">
        <v>34</v>
      </c>
      <c r="D525" t="s">
        <v>35</v>
      </c>
      <c r="E525" s="2">
        <v>88.128</v>
      </c>
      <c r="F525" s="2">
        <v>0</v>
      </c>
      <c r="G525" s="2">
        <v>42.083500000000001</v>
      </c>
      <c r="H525" s="2">
        <v>-42.153999999999897</v>
      </c>
      <c r="I525" s="1">
        <v>0.97752700617283905</v>
      </c>
      <c r="J525" s="1">
        <v>0.97832697893972298</v>
      </c>
      <c r="K525" s="1">
        <v>0.85646866959694401</v>
      </c>
      <c r="L525" s="1">
        <v>0.59938531551561902</v>
      </c>
      <c r="M525" s="2"/>
      <c r="N525" s="2"/>
      <c r="P525" s="1">
        <f>I525-'Passo 1'!I525</f>
        <v>3.6446986201888021E-2</v>
      </c>
      <c r="Q525" s="1">
        <f>J525-'Passo 1'!J525</f>
        <v>6.0894380900508027E-2</v>
      </c>
      <c r="R525" s="1">
        <f t="shared" si="33"/>
        <v>86.147499999999965</v>
      </c>
      <c r="S525">
        <f t="shared" si="32"/>
        <v>86.217999999999904</v>
      </c>
      <c r="T525" s="1">
        <f t="shared" si="34"/>
        <v>75.478870914239479</v>
      </c>
      <c r="U525" s="1">
        <f t="shared" si="35"/>
        <v>52.822629085760475</v>
      </c>
    </row>
    <row r="526" spans="1:21" x14ac:dyDescent="0.3">
      <c r="A526" t="s">
        <v>359</v>
      </c>
      <c r="B526" t="s">
        <v>393</v>
      </c>
      <c r="C526" t="s">
        <v>34</v>
      </c>
      <c r="D526" t="s">
        <v>35</v>
      </c>
      <c r="E526" s="2">
        <v>1166.4860000000001</v>
      </c>
      <c r="F526" s="2">
        <v>0</v>
      </c>
      <c r="G526" s="2">
        <v>525.26400000000001</v>
      </c>
      <c r="H526" s="2">
        <v>-496.62900000000002</v>
      </c>
      <c r="I526" s="1">
        <v>0.95029601726895996</v>
      </c>
      <c r="J526" s="1">
        <v>0.92574793010803302</v>
      </c>
      <c r="K526" s="1">
        <v>0.87712754419295502</v>
      </c>
      <c r="L526" s="1">
        <v>0.49891640318403802</v>
      </c>
      <c r="M526" s="2"/>
      <c r="N526" s="2"/>
      <c r="P526" s="1">
        <f>I526-'Passo 1'!I526</f>
        <v>9.6788988466213977E-2</v>
      </c>
      <c r="Q526" s="1">
        <f>J526-'Passo 1'!J526</f>
        <v>9.5783832810681035E-2</v>
      </c>
      <c r="R526" s="1">
        <f t="shared" si="33"/>
        <v>1108.5070000000001</v>
      </c>
      <c r="S526">
        <f t="shared" si="32"/>
        <v>1079.8719999999992</v>
      </c>
      <c r="T526" s="1">
        <f t="shared" si="34"/>
        <v>1023.1570005154634</v>
      </c>
      <c r="U526" s="1">
        <f t="shared" si="35"/>
        <v>581.97899948453585</v>
      </c>
    </row>
    <row r="527" spans="1:21" x14ac:dyDescent="0.3">
      <c r="A527" t="s">
        <v>359</v>
      </c>
      <c r="B527" t="s">
        <v>736</v>
      </c>
      <c r="C527" t="s">
        <v>576</v>
      </c>
      <c r="D527" t="s">
        <v>14</v>
      </c>
      <c r="E527" s="2">
        <v>47.787999999999997</v>
      </c>
      <c r="F527" s="2">
        <v>0</v>
      </c>
      <c r="G527" s="2">
        <v>20.584999999999901</v>
      </c>
      <c r="H527" s="2">
        <v>-23.035499999999999</v>
      </c>
      <c r="I527" s="1">
        <v>0.93075667531597805</v>
      </c>
      <c r="J527" s="1">
        <v>0.98203523897212597</v>
      </c>
      <c r="K527" s="1">
        <v>0.64873321893243097</v>
      </c>
      <c r="L527" s="1">
        <v>0.76405869535567394</v>
      </c>
      <c r="M527" s="2"/>
      <c r="N527" s="2"/>
      <c r="P527" s="1">
        <f>I527-'Passo 1'!I527</f>
        <v>2.1229178873357069E-2</v>
      </c>
      <c r="Q527" s="1">
        <f>J527-'Passo 1'!J527</f>
        <v>0.11692265840796801</v>
      </c>
      <c r="R527" s="1">
        <f t="shared" si="33"/>
        <v>44.478999999999957</v>
      </c>
      <c r="S527">
        <f t="shared" si="32"/>
        <v>46.929499999999955</v>
      </c>
      <c r="T527" s="1">
        <f t="shared" si="34"/>
        <v>31.00166306634301</v>
      </c>
      <c r="U527" s="1">
        <f t="shared" si="35"/>
        <v>36.512836933656942</v>
      </c>
    </row>
    <row r="528" spans="1:21" x14ac:dyDescent="0.3">
      <c r="A528" t="s">
        <v>359</v>
      </c>
      <c r="B528" t="s">
        <v>394</v>
      </c>
      <c r="C528" t="s">
        <v>576</v>
      </c>
      <c r="D528" t="s">
        <v>14</v>
      </c>
      <c r="E528" s="2">
        <v>0</v>
      </c>
      <c r="F528" s="2">
        <v>0</v>
      </c>
      <c r="G528" s="2">
        <v>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M528" s="2"/>
      <c r="N528" s="2"/>
      <c r="P528" s="1">
        <f>I528-'Passo 1'!I528</f>
        <v>0</v>
      </c>
      <c r="Q528" s="1">
        <f>J528-'Passo 1'!J528</f>
        <v>0</v>
      </c>
      <c r="R528" s="1">
        <f t="shared" si="33"/>
        <v>0</v>
      </c>
      <c r="S528">
        <f t="shared" si="32"/>
        <v>0</v>
      </c>
      <c r="T528" s="1">
        <f t="shared" si="34"/>
        <v>0</v>
      </c>
      <c r="U528" s="1">
        <f t="shared" si="35"/>
        <v>0</v>
      </c>
    </row>
    <row r="529" spans="1:21" x14ac:dyDescent="0.3">
      <c r="A529" t="s">
        <v>359</v>
      </c>
      <c r="B529" t="s">
        <v>395</v>
      </c>
      <c r="C529" t="s">
        <v>34</v>
      </c>
      <c r="D529" t="s">
        <v>35</v>
      </c>
      <c r="E529" s="2">
        <v>202.44300000000001</v>
      </c>
      <c r="F529" s="2">
        <v>0</v>
      </c>
      <c r="G529" s="2">
        <v>90.4495</v>
      </c>
      <c r="H529" s="2">
        <v>-89.762</v>
      </c>
      <c r="I529" s="1">
        <v>0.94678996063089305</v>
      </c>
      <c r="J529" s="1">
        <v>0.94339394298641999</v>
      </c>
      <c r="K529" s="1">
        <v>0.85937270276741096</v>
      </c>
      <c r="L529" s="1">
        <v>0.53081120084990296</v>
      </c>
      <c r="M529" s="2"/>
      <c r="N529" s="2"/>
      <c r="P529" s="1">
        <f>I529-'Passo 1'!I529</f>
        <v>0.14455673942788805</v>
      </c>
      <c r="Q529" s="1">
        <f>J529-'Passo 1'!J529</f>
        <v>0.10020351407556694</v>
      </c>
      <c r="R529" s="1">
        <f t="shared" si="33"/>
        <v>191.67099999999988</v>
      </c>
      <c r="S529">
        <f t="shared" si="32"/>
        <v>190.98349999999982</v>
      </c>
      <c r="T529" s="1">
        <f t="shared" si="34"/>
        <v>173.973988066343</v>
      </c>
      <c r="U529" s="1">
        <f t="shared" si="35"/>
        <v>107.45901193365691</v>
      </c>
    </row>
    <row r="530" spans="1:21" x14ac:dyDescent="0.3">
      <c r="A530" t="s">
        <v>359</v>
      </c>
      <c r="B530" t="s">
        <v>396</v>
      </c>
      <c r="C530" t="s">
        <v>34</v>
      </c>
      <c r="D530" t="s">
        <v>35</v>
      </c>
      <c r="E530" s="2">
        <v>358.60700000000003</v>
      </c>
      <c r="F530" s="2">
        <v>0</v>
      </c>
      <c r="G530" s="2">
        <v>163.935</v>
      </c>
      <c r="H530" s="2">
        <v>-173.38550000000001</v>
      </c>
      <c r="I530" s="1">
        <v>0.95714389289668</v>
      </c>
      <c r="J530" s="1">
        <v>0.98349725465481697</v>
      </c>
      <c r="K530" s="1">
        <v>0.83635892751006802</v>
      </c>
      <c r="L530" s="1">
        <v>0.60428222004142895</v>
      </c>
      <c r="M530" s="2"/>
      <c r="N530" s="2"/>
      <c r="P530" s="1">
        <f>I530-'Passo 1'!I530</f>
        <v>7.7770372580567959E-2</v>
      </c>
      <c r="Q530" s="1">
        <f>J530-'Passo 1'!J530</f>
        <v>0</v>
      </c>
      <c r="R530" s="1">
        <f t="shared" si="33"/>
        <v>343.23849999999976</v>
      </c>
      <c r="S530">
        <f t="shared" si="32"/>
        <v>352.68899999999996</v>
      </c>
      <c r="T530" s="1">
        <f t="shared" si="34"/>
        <v>299.92416591760298</v>
      </c>
      <c r="U530" s="1">
        <f t="shared" si="35"/>
        <v>216.69983408239673</v>
      </c>
    </row>
    <row r="531" spans="1:21" x14ac:dyDescent="0.3">
      <c r="A531" t="s">
        <v>359</v>
      </c>
      <c r="B531" t="s">
        <v>397</v>
      </c>
      <c r="C531" t="s">
        <v>576</v>
      </c>
      <c r="D531" t="s">
        <v>14</v>
      </c>
      <c r="E531" s="2">
        <v>154.38499999999999</v>
      </c>
      <c r="F531" s="2">
        <v>0</v>
      </c>
      <c r="G531" s="2">
        <v>59.399500000000003</v>
      </c>
      <c r="H531" s="2">
        <v>-39.317999999999998</v>
      </c>
      <c r="I531" s="1">
        <v>0.88474916604592402</v>
      </c>
      <c r="J531" s="1">
        <v>0.75467500080966399</v>
      </c>
      <c r="K531" s="1">
        <v>0.62591525903016598</v>
      </c>
      <c r="L531" s="1">
        <v>0.51350890782542202</v>
      </c>
      <c r="M531" s="2"/>
      <c r="N531" s="2"/>
      <c r="P531" s="1">
        <f>I531-'Passo 1'!I531</f>
        <v>5.7722576675194981E-2</v>
      </c>
      <c r="Q531" s="1">
        <f>J531-'Passo 1'!J531</f>
        <v>9.2178644298344992E-2</v>
      </c>
      <c r="R531" s="1">
        <f t="shared" si="33"/>
        <v>136.59199999999998</v>
      </c>
      <c r="S531">
        <f t="shared" si="32"/>
        <v>116.51049999999996</v>
      </c>
      <c r="T531" s="1">
        <f t="shared" si="34"/>
        <v>96.63192726537217</v>
      </c>
      <c r="U531" s="1">
        <f t="shared" si="35"/>
        <v>79.27807273462777</v>
      </c>
    </row>
    <row r="532" spans="1:21" x14ac:dyDescent="0.3">
      <c r="A532" t="s">
        <v>359</v>
      </c>
      <c r="B532" t="s">
        <v>398</v>
      </c>
      <c r="C532" t="s">
        <v>576</v>
      </c>
      <c r="D532" t="s">
        <v>14</v>
      </c>
      <c r="E532" s="2">
        <v>64.072999999999993</v>
      </c>
      <c r="F532" s="2">
        <v>0</v>
      </c>
      <c r="G532" s="2">
        <v>22.3995</v>
      </c>
      <c r="H532" s="2">
        <v>-29.820499999999999</v>
      </c>
      <c r="I532" s="1">
        <v>0.849593432491064</v>
      </c>
      <c r="J532" s="1">
        <v>0.96541444914394503</v>
      </c>
      <c r="K532" s="1">
        <v>0.59005818580616698</v>
      </c>
      <c r="L532" s="1">
        <v>0.72494969582884194</v>
      </c>
      <c r="M532" s="2"/>
      <c r="N532" s="2"/>
      <c r="P532" s="1">
        <f>I532-'Passo 1'!I532</f>
        <v>8.976479952554095E-2</v>
      </c>
      <c r="Q532" s="1">
        <f>J532-'Passo 1'!J532</f>
        <v>5.2869383359606004E-2</v>
      </c>
      <c r="R532" s="1">
        <f t="shared" si="33"/>
        <v>54.435999999999936</v>
      </c>
      <c r="S532">
        <f t="shared" si="32"/>
        <v>61.856999999999985</v>
      </c>
      <c r="T532" s="1">
        <f t="shared" si="34"/>
        <v>37.806798139158531</v>
      </c>
      <c r="U532" s="1">
        <f t="shared" si="35"/>
        <v>46.449701860841387</v>
      </c>
    </row>
    <row r="533" spans="1:21" x14ac:dyDescent="0.3">
      <c r="A533" t="s">
        <v>359</v>
      </c>
      <c r="B533" t="s">
        <v>399</v>
      </c>
      <c r="C533" t="s">
        <v>34</v>
      </c>
      <c r="D533" t="s">
        <v>35</v>
      </c>
      <c r="E533" s="2">
        <v>204.155</v>
      </c>
      <c r="F533" s="2">
        <v>0</v>
      </c>
      <c r="G533" s="2">
        <v>97.285499999999999</v>
      </c>
      <c r="H533" s="2">
        <v>-92.064499999999995</v>
      </c>
      <c r="I533" s="1">
        <v>0.976527638314026</v>
      </c>
      <c r="J533" s="1">
        <v>0.95095393206142298</v>
      </c>
      <c r="K533" s="1">
        <v>0.85270175434633499</v>
      </c>
      <c r="L533" s="1">
        <v>0.57477981602911399</v>
      </c>
      <c r="M533" s="2"/>
      <c r="N533" s="2"/>
      <c r="P533" s="1">
        <f>I533-'Passo 1'!I533</f>
        <v>0.13823075604320301</v>
      </c>
      <c r="Q533" s="1">
        <f>J533-'Passo 1'!J533</f>
        <v>7.3018050011020019E-2</v>
      </c>
      <c r="R533" s="1">
        <f t="shared" si="33"/>
        <v>199.36299999999997</v>
      </c>
      <c r="S533">
        <f t="shared" si="32"/>
        <v>194.1419999999998</v>
      </c>
      <c r="T533" s="1">
        <f t="shared" si="34"/>
        <v>174.08332665857603</v>
      </c>
      <c r="U533" s="1">
        <f t="shared" si="35"/>
        <v>117.34417334142377</v>
      </c>
    </row>
    <row r="534" spans="1:21" x14ac:dyDescent="0.3">
      <c r="A534" t="s">
        <v>359</v>
      </c>
      <c r="B534" t="s">
        <v>737</v>
      </c>
      <c r="C534" t="s">
        <v>576</v>
      </c>
      <c r="D534" t="s">
        <v>14</v>
      </c>
      <c r="E534" s="2">
        <v>207.916</v>
      </c>
      <c r="F534" s="2">
        <v>21.035</v>
      </c>
      <c r="G534" s="2">
        <v>29.853000000000002</v>
      </c>
      <c r="H534" s="2">
        <v>-36.244999999999997</v>
      </c>
      <c r="I534" s="1">
        <v>0.59299669097135299</v>
      </c>
      <c r="J534" s="1">
        <v>0.62373987571903999</v>
      </c>
      <c r="K534" s="1">
        <v>0.37043810355078</v>
      </c>
      <c r="L534" s="1">
        <v>0.396883795677754</v>
      </c>
      <c r="M534" s="2"/>
      <c r="N534" s="2"/>
      <c r="P534" s="1">
        <f>I534-'Passo 1'!I534</f>
        <v>3.1043786913945937E-2</v>
      </c>
      <c r="Q534" s="1">
        <f>J534-'Passo 1'!J534</f>
        <v>4.4142826910868016E-2</v>
      </c>
      <c r="R534" s="1">
        <f t="shared" si="33"/>
        <v>123.29349999999982</v>
      </c>
      <c r="S534">
        <f t="shared" si="32"/>
        <v>129.68549999999991</v>
      </c>
      <c r="T534" s="1">
        <f t="shared" si="34"/>
        <v>77.020008737863975</v>
      </c>
      <c r="U534" s="1">
        <f t="shared" si="35"/>
        <v>82.518491262135896</v>
      </c>
    </row>
    <row r="535" spans="1:21" x14ac:dyDescent="0.3">
      <c r="A535" t="s">
        <v>359</v>
      </c>
      <c r="B535" t="s">
        <v>400</v>
      </c>
      <c r="C535" t="s">
        <v>574</v>
      </c>
      <c r="D535" t="s">
        <v>575</v>
      </c>
      <c r="E535" s="2">
        <v>0</v>
      </c>
      <c r="F535" s="2">
        <v>0</v>
      </c>
      <c r="G535" s="2">
        <v>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M535" s="2"/>
      <c r="N535" s="2"/>
      <c r="P535" s="1">
        <f>I535-'Passo 1'!I535</f>
        <v>0</v>
      </c>
      <c r="Q535" s="1">
        <f>J535-'Passo 1'!J535</f>
        <v>0</v>
      </c>
      <c r="R535" s="1">
        <f t="shared" si="33"/>
        <v>0</v>
      </c>
      <c r="S535">
        <f t="shared" si="32"/>
        <v>0</v>
      </c>
      <c r="T535" s="1">
        <f t="shared" si="34"/>
        <v>0</v>
      </c>
      <c r="U535" s="1">
        <f t="shared" si="35"/>
        <v>0</v>
      </c>
    </row>
    <row r="536" spans="1:21" x14ac:dyDescent="0.3">
      <c r="A536" t="s">
        <v>359</v>
      </c>
      <c r="B536" t="s">
        <v>401</v>
      </c>
      <c r="C536" t="s">
        <v>576</v>
      </c>
      <c r="D536" t="s">
        <v>14</v>
      </c>
      <c r="E536" s="2">
        <v>57.061</v>
      </c>
      <c r="F536" s="2">
        <v>0</v>
      </c>
      <c r="G536" s="2">
        <v>19.540999999999901</v>
      </c>
      <c r="H536" s="2">
        <v>-23.429500000000001</v>
      </c>
      <c r="I536" s="1">
        <v>0.84245807118697502</v>
      </c>
      <c r="J536" s="1">
        <v>0.91060444086153403</v>
      </c>
      <c r="K536" s="1">
        <v>0.66629171024547595</v>
      </c>
      <c r="L536" s="1">
        <v>0.58677080180303198</v>
      </c>
      <c r="M536" s="2"/>
      <c r="N536" s="2"/>
      <c r="P536" s="1">
        <f>I536-'Passo 1'!I536</f>
        <v>7.2790522423372028E-2</v>
      </c>
      <c r="Q536" s="1">
        <f>J536-'Passo 1'!J536</f>
        <v>6.9434464870928081E-2</v>
      </c>
      <c r="R536" s="1">
        <f t="shared" si="33"/>
        <v>48.071499999999979</v>
      </c>
      <c r="S536">
        <f t="shared" si="32"/>
        <v>51.959999999999994</v>
      </c>
      <c r="T536" s="1">
        <f t="shared" si="34"/>
        <v>38.019271278317106</v>
      </c>
      <c r="U536" s="1">
        <f t="shared" si="35"/>
        <v>33.481728721682806</v>
      </c>
    </row>
    <row r="537" spans="1:21" x14ac:dyDescent="0.3">
      <c r="A537" t="s">
        <v>359</v>
      </c>
      <c r="B537" t="s">
        <v>402</v>
      </c>
      <c r="C537" t="s">
        <v>576</v>
      </c>
      <c r="D537" t="s">
        <v>14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M537" s="2"/>
      <c r="N537" s="2"/>
      <c r="P537" s="1">
        <f>I537-'Passo 1'!I537</f>
        <v>0</v>
      </c>
      <c r="Q537" s="1">
        <f>J537-'Passo 1'!J537</f>
        <v>0</v>
      </c>
      <c r="R537" s="1">
        <f t="shared" si="33"/>
        <v>0</v>
      </c>
      <c r="S537">
        <f t="shared" si="32"/>
        <v>0</v>
      </c>
      <c r="T537" s="1">
        <f t="shared" si="34"/>
        <v>0</v>
      </c>
      <c r="U537" s="1">
        <f t="shared" si="35"/>
        <v>0</v>
      </c>
    </row>
    <row r="538" spans="1:21" x14ac:dyDescent="0.3">
      <c r="A538" t="s">
        <v>359</v>
      </c>
      <c r="B538" t="s">
        <v>403</v>
      </c>
      <c r="C538" t="s">
        <v>34</v>
      </c>
      <c r="D538" t="s">
        <v>35</v>
      </c>
      <c r="E538" s="2">
        <v>75.156999999999996</v>
      </c>
      <c r="F538" s="2">
        <v>0</v>
      </c>
      <c r="G538" s="2">
        <v>34.890500000000003</v>
      </c>
      <c r="H538" s="2">
        <v>-33.272500000000001</v>
      </c>
      <c r="I538" s="1">
        <v>0.96423486834227001</v>
      </c>
      <c r="J538" s="1">
        <v>0.94270660084888902</v>
      </c>
      <c r="K538" s="1">
        <v>0.85393988573132695</v>
      </c>
      <c r="L538" s="1">
        <v>0.55300158345983197</v>
      </c>
      <c r="M538" s="2"/>
      <c r="N538" s="2"/>
      <c r="P538" s="1">
        <f>I538-'Passo 1'!I538</f>
        <v>0</v>
      </c>
      <c r="Q538" s="1">
        <f>J538-'Passo 1'!J538</f>
        <v>8.2380882685577972E-2</v>
      </c>
      <c r="R538" s="1">
        <f t="shared" si="33"/>
        <v>72.46899999999998</v>
      </c>
      <c r="S538">
        <f t="shared" si="32"/>
        <v>70.850999999999942</v>
      </c>
      <c r="T538" s="1">
        <f t="shared" si="34"/>
        <v>64.179559991909343</v>
      </c>
      <c r="U538" s="1">
        <f t="shared" si="35"/>
        <v>41.561940008090588</v>
      </c>
    </row>
    <row r="539" spans="1:21" x14ac:dyDescent="0.3">
      <c r="A539" t="s">
        <v>359</v>
      </c>
      <c r="B539" t="s">
        <v>738</v>
      </c>
      <c r="C539" t="s">
        <v>576</v>
      </c>
      <c r="D539" t="s">
        <v>14</v>
      </c>
      <c r="E539" s="2">
        <v>55.787999999999997</v>
      </c>
      <c r="F539" s="2">
        <v>0</v>
      </c>
      <c r="G539" s="2">
        <v>18.978999999999999</v>
      </c>
      <c r="H539" s="2">
        <v>-23.074999999999999</v>
      </c>
      <c r="I539" s="1">
        <v>0.84019860901985999</v>
      </c>
      <c r="J539" s="1">
        <v>0.91361941636194099</v>
      </c>
      <c r="K539" s="1">
        <v>0.64872370651678801</v>
      </c>
      <c r="L539" s="1">
        <v>0.60509431886501397</v>
      </c>
      <c r="M539" s="2"/>
      <c r="N539" s="2"/>
      <c r="P539" s="1">
        <f>I539-'Passo 1'!I539</f>
        <v>0.10227109772710896</v>
      </c>
      <c r="Q539" s="1">
        <f>J539-'Passo 1'!J539</f>
        <v>3.4200903420089968E-2</v>
      </c>
      <c r="R539" s="1">
        <f t="shared" si="33"/>
        <v>46.872999999999948</v>
      </c>
      <c r="S539">
        <f t="shared" si="32"/>
        <v>50.968999999999959</v>
      </c>
      <c r="T539" s="1">
        <f t="shared" si="34"/>
        <v>36.190998139158566</v>
      </c>
      <c r="U539" s="1">
        <f t="shared" si="35"/>
        <v>33.757001860841399</v>
      </c>
    </row>
    <row r="540" spans="1:21" x14ac:dyDescent="0.3">
      <c r="A540" t="s">
        <v>359</v>
      </c>
      <c r="B540" t="s">
        <v>404</v>
      </c>
      <c r="C540" t="s">
        <v>574</v>
      </c>
      <c r="D540" t="s">
        <v>575</v>
      </c>
      <c r="E540" s="2">
        <v>56.759</v>
      </c>
      <c r="F540" s="2">
        <v>0</v>
      </c>
      <c r="G540" s="2">
        <v>21.386500000000002</v>
      </c>
      <c r="H540" s="2">
        <v>-27.543499999999899</v>
      </c>
      <c r="I540" s="1">
        <v>0.87679486953610797</v>
      </c>
      <c r="J540" s="1">
        <v>0.98527105833436102</v>
      </c>
      <c r="K540" s="1">
        <v>0.63548599295459796</v>
      </c>
      <c r="L540" s="1">
        <v>0.72657993491587103</v>
      </c>
      <c r="M540" s="2"/>
      <c r="N540" s="2"/>
      <c r="P540" s="1">
        <f>I540-'Passo 1'!I540</f>
        <v>7.9282580736095287E-4</v>
      </c>
      <c r="Q540" s="1">
        <f>J540-'Passo 1'!J540</f>
        <v>8.1167744322486968E-2</v>
      </c>
      <c r="R540" s="1">
        <f t="shared" si="33"/>
        <v>49.765999999999956</v>
      </c>
      <c r="S540">
        <f t="shared" si="32"/>
        <v>55.922999999999995</v>
      </c>
      <c r="T540" s="1">
        <f t="shared" si="34"/>
        <v>36.069549474110026</v>
      </c>
      <c r="U540" s="1">
        <f t="shared" si="35"/>
        <v>41.239950525889924</v>
      </c>
    </row>
    <row r="541" spans="1:21" x14ac:dyDescent="0.3">
      <c r="A541" t="s">
        <v>359</v>
      </c>
      <c r="B541" t="s">
        <v>739</v>
      </c>
      <c r="C541" t="s">
        <v>34</v>
      </c>
      <c r="D541" t="s">
        <v>35</v>
      </c>
      <c r="E541" s="2">
        <v>86.245999999999995</v>
      </c>
      <c r="F541" s="2">
        <v>0</v>
      </c>
      <c r="G541" s="2">
        <v>42.482499999999902</v>
      </c>
      <c r="H541" s="2">
        <v>-41.826999999999998</v>
      </c>
      <c r="I541" s="1">
        <v>0.99257356862926904</v>
      </c>
      <c r="J541" s="1">
        <v>0.98497321614915401</v>
      </c>
      <c r="K541" s="1">
        <v>0.86513390902909104</v>
      </c>
      <c r="L541" s="1">
        <v>0.61241287574933301</v>
      </c>
      <c r="M541" s="2"/>
      <c r="N541" s="2"/>
      <c r="P541" s="1">
        <f>I541-'Passo 1'!I541</f>
        <v>7.6386151241796041E-2</v>
      </c>
      <c r="Q541" s="1">
        <f>J541-'Passo 1'!J541</f>
        <v>3.3323284558124056E-2</v>
      </c>
      <c r="R541" s="1">
        <f t="shared" si="33"/>
        <v>85.605499999999935</v>
      </c>
      <c r="S541">
        <f t="shared" si="32"/>
        <v>84.949999999999932</v>
      </c>
      <c r="T541" s="1">
        <f t="shared" si="34"/>
        <v>74.614339118122984</v>
      </c>
      <c r="U541" s="1">
        <f t="shared" si="35"/>
        <v>52.81816088187697</v>
      </c>
    </row>
    <row r="542" spans="1:21" x14ac:dyDescent="0.3">
      <c r="A542" t="s">
        <v>359</v>
      </c>
      <c r="B542" t="s">
        <v>740</v>
      </c>
      <c r="C542" t="s">
        <v>576</v>
      </c>
      <c r="D542" t="s">
        <v>598</v>
      </c>
      <c r="E542" s="2">
        <v>166.18199999999999</v>
      </c>
      <c r="F542" s="2">
        <v>0</v>
      </c>
      <c r="G542" s="2">
        <v>39.582999999999998</v>
      </c>
      <c r="H542" s="2">
        <v>-56.162499999999902</v>
      </c>
      <c r="I542" s="1">
        <v>0.73819065843472798</v>
      </c>
      <c r="J542" s="1">
        <v>0.83795778122780995</v>
      </c>
      <c r="K542" s="1">
        <v>0.42100459349380198</v>
      </c>
      <c r="L542" s="1">
        <v>0.655143846168736</v>
      </c>
      <c r="M542" s="2"/>
      <c r="N542" s="2"/>
      <c r="P542" s="1">
        <f>I542-'Passo 1'!I542</f>
        <v>2.7596249894694003E-2</v>
      </c>
      <c r="Q542" s="1">
        <f>J542-'Passo 1'!J542</f>
        <v>0.12776353636374593</v>
      </c>
      <c r="R542" s="1">
        <f t="shared" si="33"/>
        <v>122.67399999999995</v>
      </c>
      <c r="S542">
        <f t="shared" si="32"/>
        <v>139.25349999999992</v>
      </c>
      <c r="T542" s="1">
        <f t="shared" si="34"/>
        <v>69.963385355987</v>
      </c>
      <c r="U542" s="1">
        <f t="shared" si="35"/>
        <v>108.87311464401287</v>
      </c>
    </row>
    <row r="543" spans="1:21" x14ac:dyDescent="0.3">
      <c r="A543" t="s">
        <v>359</v>
      </c>
      <c r="B543" t="s">
        <v>741</v>
      </c>
      <c r="C543" t="s">
        <v>34</v>
      </c>
      <c r="D543" t="s">
        <v>35</v>
      </c>
      <c r="E543" s="2">
        <v>143.28200000000001</v>
      </c>
      <c r="F543" s="2">
        <v>0</v>
      </c>
      <c r="G543" s="2">
        <v>59.326999999999998</v>
      </c>
      <c r="H543" s="2">
        <v>-54.633000000000003</v>
      </c>
      <c r="I543" s="1">
        <v>0.91405759271925302</v>
      </c>
      <c r="J543" s="1">
        <v>0.88129702265462495</v>
      </c>
      <c r="K543" s="1">
        <v>0.81487702538669404</v>
      </c>
      <c r="L543" s="1">
        <v>0.48047758998718298</v>
      </c>
      <c r="M543" s="2"/>
      <c r="N543" s="2"/>
      <c r="P543" s="1">
        <f>I543-'Passo 1'!I543</f>
        <v>6.4962800630923967E-2</v>
      </c>
      <c r="Q543" s="1">
        <f>J543-'Passo 1'!J543</f>
        <v>2.0990075515416984E-2</v>
      </c>
      <c r="R543" s="1">
        <f t="shared" si="33"/>
        <v>130.96800000000002</v>
      </c>
      <c r="S543">
        <f t="shared" si="32"/>
        <v>126.27399999999999</v>
      </c>
      <c r="T543" s="1">
        <f t="shared" si="34"/>
        <v>116.7572099514563</v>
      </c>
      <c r="U543" s="1">
        <f t="shared" si="35"/>
        <v>68.843790048543553</v>
      </c>
    </row>
    <row r="544" spans="1:21" x14ac:dyDescent="0.3">
      <c r="A544" t="s">
        <v>359</v>
      </c>
      <c r="B544" t="s">
        <v>405</v>
      </c>
      <c r="C544" t="s">
        <v>576</v>
      </c>
      <c r="D544" t="s">
        <v>14</v>
      </c>
      <c r="E544" s="2">
        <v>107.691</v>
      </c>
      <c r="F544" s="2">
        <v>0</v>
      </c>
      <c r="G544" s="2">
        <v>26.770499999999998</v>
      </c>
      <c r="H544" s="2">
        <v>-45.820999999999998</v>
      </c>
      <c r="I544" s="1">
        <v>0.74858623283282699</v>
      </c>
      <c r="J544" s="1">
        <v>0.92548588089998196</v>
      </c>
      <c r="K544" s="1">
        <v>0.570993183662029</v>
      </c>
      <c r="L544" s="1">
        <v>0.60307893007077995</v>
      </c>
      <c r="M544" s="2"/>
      <c r="N544" s="2"/>
      <c r="P544" s="1">
        <f>I544-'Passo 1'!I544</f>
        <v>-2.4533155045454058E-2</v>
      </c>
      <c r="Q544" s="1">
        <f>J544-'Passo 1'!J544</f>
        <v>8.3335654790093971E-2</v>
      </c>
      <c r="R544" s="1">
        <f t="shared" si="33"/>
        <v>80.615999999999971</v>
      </c>
      <c r="S544">
        <f t="shared" si="32"/>
        <v>99.666499999999957</v>
      </c>
      <c r="T544" s="1">
        <f t="shared" si="34"/>
        <v>61.490826941747564</v>
      </c>
      <c r="U544" s="1">
        <f t="shared" si="35"/>
        <v>64.94617305825237</v>
      </c>
    </row>
    <row r="545" spans="1:21" x14ac:dyDescent="0.3">
      <c r="A545" t="s">
        <v>359</v>
      </c>
      <c r="B545" t="s">
        <v>406</v>
      </c>
      <c r="C545" t="s">
        <v>34</v>
      </c>
      <c r="D545" t="s">
        <v>35</v>
      </c>
      <c r="E545" s="2">
        <v>499.81700000000001</v>
      </c>
      <c r="F545" s="2">
        <v>0</v>
      </c>
      <c r="G545" s="2">
        <v>244.34350000000001</v>
      </c>
      <c r="H545" s="2">
        <v>-239.48</v>
      </c>
      <c r="I545" s="1">
        <v>0.98886592492852299</v>
      </c>
      <c r="J545" s="1">
        <v>0.97913536354305597</v>
      </c>
      <c r="K545" s="1">
        <v>0.85266015355147495</v>
      </c>
      <c r="L545" s="1">
        <v>0.615341134920105</v>
      </c>
      <c r="M545" s="2"/>
      <c r="N545" s="2"/>
      <c r="P545" s="1">
        <f>I545-'Passo 1'!I545</f>
        <v>7.8512735661251942E-2</v>
      </c>
      <c r="Q545" s="1">
        <f>J545-'Passo 1'!J545</f>
        <v>7.4108123573227935E-2</v>
      </c>
      <c r="R545" s="1">
        <f t="shared" si="33"/>
        <v>494.25199999999955</v>
      </c>
      <c r="S545">
        <f t="shared" si="32"/>
        <v>489.38849999999962</v>
      </c>
      <c r="T545" s="1">
        <f t="shared" si="34"/>
        <v>426.17403996763755</v>
      </c>
      <c r="U545" s="1">
        <f t="shared" si="35"/>
        <v>307.55796003236213</v>
      </c>
    </row>
    <row r="546" spans="1:21" x14ac:dyDescent="0.3">
      <c r="A546" t="s">
        <v>359</v>
      </c>
      <c r="B546" t="s">
        <v>407</v>
      </c>
      <c r="C546" t="s">
        <v>576</v>
      </c>
      <c r="D546" t="s">
        <v>14</v>
      </c>
      <c r="E546" s="2">
        <v>51.982999999999997</v>
      </c>
      <c r="F546" s="2">
        <v>0</v>
      </c>
      <c r="G546" s="2">
        <v>16.547999999999998</v>
      </c>
      <c r="H546" s="2">
        <v>-15.3985</v>
      </c>
      <c r="I546" s="1">
        <v>0.81833484023623104</v>
      </c>
      <c r="J546" s="1">
        <v>0.796221841755958</v>
      </c>
      <c r="K546" s="1">
        <v>0.61439024953203802</v>
      </c>
      <c r="L546" s="1">
        <v>0.50016643246015102</v>
      </c>
      <c r="M546" s="2"/>
      <c r="N546" s="2"/>
      <c r="P546" s="1">
        <f>I546-'Passo 1'!I546</f>
        <v>0.10716965161687508</v>
      </c>
      <c r="Q546" s="1">
        <f>J546-'Passo 1'!J546</f>
        <v>0.10867976069099505</v>
      </c>
      <c r="R546" s="1">
        <f t="shared" si="33"/>
        <v>42.539499999999997</v>
      </c>
      <c r="S546">
        <f t="shared" si="32"/>
        <v>41.389999999999965</v>
      </c>
      <c r="T546" s="1">
        <f t="shared" si="34"/>
        <v>31.93784834142393</v>
      </c>
      <c r="U546" s="1">
        <f t="shared" si="35"/>
        <v>26.00015165857603</v>
      </c>
    </row>
    <row r="547" spans="1:21" x14ac:dyDescent="0.3">
      <c r="A547" t="s">
        <v>359</v>
      </c>
      <c r="B547" t="s">
        <v>408</v>
      </c>
      <c r="C547" t="s">
        <v>576</v>
      </c>
      <c r="D547" t="s">
        <v>14</v>
      </c>
      <c r="E547" s="2">
        <v>76.971000000000004</v>
      </c>
      <c r="F547" s="2">
        <v>0</v>
      </c>
      <c r="G547" s="2">
        <v>28.825999999999901</v>
      </c>
      <c r="H547" s="2">
        <v>-33.006500000000003</v>
      </c>
      <c r="I547" s="1">
        <v>0.87450468358212796</v>
      </c>
      <c r="J547" s="1">
        <v>0.92881734679294803</v>
      </c>
      <c r="K547" s="1">
        <v>0.63144661163311999</v>
      </c>
      <c r="L547" s="1">
        <v>0.671875418741955</v>
      </c>
      <c r="M547" s="2"/>
      <c r="N547" s="2"/>
      <c r="P547" s="1">
        <f>I547-'Passo 1'!I547</f>
        <v>9.211910979459792E-2</v>
      </c>
      <c r="Q547" s="1">
        <f>J547-'Passo 1'!J547</f>
        <v>3.6325369294930021E-2</v>
      </c>
      <c r="R547" s="1">
        <f t="shared" si="33"/>
        <v>67.311499999999981</v>
      </c>
      <c r="S547">
        <f t="shared" si="32"/>
        <v>71.492000000000004</v>
      </c>
      <c r="T547" s="1">
        <f t="shared" si="34"/>
        <v>48.603077144012879</v>
      </c>
      <c r="U547" s="1">
        <f t="shared" si="35"/>
        <v>51.71492285598702</v>
      </c>
    </row>
    <row r="548" spans="1:21" x14ac:dyDescent="0.3">
      <c r="A548" t="s">
        <v>359</v>
      </c>
      <c r="B548" t="s">
        <v>409</v>
      </c>
      <c r="C548" t="s">
        <v>34</v>
      </c>
      <c r="D548" t="s">
        <v>35</v>
      </c>
      <c r="E548" s="2">
        <v>489.16</v>
      </c>
      <c r="F548" s="2">
        <v>0</v>
      </c>
      <c r="G548" s="2">
        <v>218.08449999999999</v>
      </c>
      <c r="H548" s="2">
        <v>-201.90199999999999</v>
      </c>
      <c r="I548" s="1">
        <v>0.94583469621391703</v>
      </c>
      <c r="J548" s="1">
        <v>0.91275247362825995</v>
      </c>
      <c r="K548" s="1">
        <v>0.86113220472558205</v>
      </c>
      <c r="L548" s="1">
        <v>0.49745496511659598</v>
      </c>
      <c r="M548" s="2"/>
      <c r="N548" s="2"/>
      <c r="P548" s="1">
        <f>I548-'Passo 1'!I548</f>
        <v>5.624335595715102E-2</v>
      </c>
      <c r="Q548" s="1">
        <f>J548-'Passo 1'!J548</f>
        <v>9.0063578379261933E-2</v>
      </c>
      <c r="R548" s="1">
        <f t="shared" si="33"/>
        <v>462.66449999999969</v>
      </c>
      <c r="S548">
        <f t="shared" si="32"/>
        <v>446.48199999999969</v>
      </c>
      <c r="T548" s="1">
        <f t="shared" si="34"/>
        <v>421.23142926356576</v>
      </c>
      <c r="U548" s="1">
        <f t="shared" si="35"/>
        <v>243.33507073643409</v>
      </c>
    </row>
    <row r="549" spans="1:21" x14ac:dyDescent="0.3">
      <c r="A549" t="s">
        <v>359</v>
      </c>
      <c r="B549" t="s">
        <v>742</v>
      </c>
      <c r="C549" t="s">
        <v>34</v>
      </c>
      <c r="D549" t="s">
        <v>35</v>
      </c>
      <c r="E549" s="2">
        <v>1287.8050000000001</v>
      </c>
      <c r="F549" s="2">
        <v>0</v>
      </c>
      <c r="G549" s="2">
        <v>506.63549999999998</v>
      </c>
      <c r="H549" s="2">
        <v>-504.3965</v>
      </c>
      <c r="I549" s="1">
        <v>0.89341010479070904</v>
      </c>
      <c r="J549" s="1">
        <v>0.89167148753110903</v>
      </c>
      <c r="K549" s="1">
        <v>0.79699257290342496</v>
      </c>
      <c r="L549" s="1">
        <v>0.488089019418393</v>
      </c>
      <c r="M549" s="2"/>
      <c r="N549" s="2"/>
      <c r="P549" s="1">
        <f>I549-'Passo 1'!I549</f>
        <v>5.5520051560601025E-2</v>
      </c>
      <c r="Q549" s="1">
        <f>J549-'Passo 1'!J549</f>
        <v>8.8032737875687994E-2</v>
      </c>
      <c r="R549" s="1">
        <f t="shared" si="33"/>
        <v>1150.5379999999991</v>
      </c>
      <c r="S549">
        <f t="shared" si="32"/>
        <v>1148.299</v>
      </c>
      <c r="T549" s="1">
        <f t="shared" si="34"/>
        <v>1026.3710203478952</v>
      </c>
      <c r="U549" s="1">
        <f t="shared" si="35"/>
        <v>628.56347965210364</v>
      </c>
    </row>
    <row r="550" spans="1:21" x14ac:dyDescent="0.3">
      <c r="A550" t="s">
        <v>359</v>
      </c>
      <c r="B550" t="s">
        <v>743</v>
      </c>
      <c r="C550" t="s">
        <v>576</v>
      </c>
      <c r="D550" t="s">
        <v>14</v>
      </c>
      <c r="E550" s="2">
        <v>192.87799999999999</v>
      </c>
      <c r="F550" s="2">
        <v>0</v>
      </c>
      <c r="G550" s="2">
        <v>30.207999999999998</v>
      </c>
      <c r="H550" s="2">
        <v>-34.917499999999997</v>
      </c>
      <c r="I550" s="1">
        <v>0.65661713622082296</v>
      </c>
      <c r="J550" s="1">
        <v>0.68103412519831097</v>
      </c>
      <c r="K550" s="1">
        <v>0.47585621493520103</v>
      </c>
      <c r="L550" s="1">
        <v>0.36179504648393301</v>
      </c>
      <c r="M550" s="2"/>
      <c r="N550" s="2"/>
      <c r="P550" s="1">
        <f>I550-'Passo 1'!I550</f>
        <v>5.1594790489324915E-2</v>
      </c>
      <c r="Q550" s="1">
        <f>J550-'Passo 1'!J550</f>
        <v>2.9440890096329997E-2</v>
      </c>
      <c r="R550" s="1">
        <f t="shared" si="33"/>
        <v>126.64699999999988</v>
      </c>
      <c r="S550">
        <f t="shared" si="32"/>
        <v>131.35649999999981</v>
      </c>
      <c r="T550" s="1">
        <f t="shared" si="34"/>
        <v>91.782195024271701</v>
      </c>
      <c r="U550" s="1">
        <f t="shared" si="35"/>
        <v>69.782304975728024</v>
      </c>
    </row>
    <row r="551" spans="1:21" x14ac:dyDescent="0.3">
      <c r="A551" t="s">
        <v>359</v>
      </c>
      <c r="B551" t="s">
        <v>744</v>
      </c>
      <c r="C551" t="s">
        <v>34</v>
      </c>
      <c r="D551" t="s">
        <v>35</v>
      </c>
      <c r="E551" s="2">
        <v>197.27500000000001</v>
      </c>
      <c r="F551" s="2">
        <v>0</v>
      </c>
      <c r="G551" s="2">
        <v>83.600999999999999</v>
      </c>
      <c r="H551" s="2">
        <v>-84.364500000000007</v>
      </c>
      <c r="I551" s="1">
        <v>0.92377898872132802</v>
      </c>
      <c r="J551" s="1">
        <v>0.927649220631098</v>
      </c>
      <c r="K551" s="1">
        <v>0.82801110325225502</v>
      </c>
      <c r="L551" s="1">
        <v>0.523417106100171</v>
      </c>
      <c r="M551" s="2"/>
      <c r="N551" s="2"/>
      <c r="P551" s="1">
        <f>I551-'Passo 1'!I551</f>
        <v>2.623748574325202E-2</v>
      </c>
      <c r="Q551" s="1">
        <f>J551-'Passo 1'!J551</f>
        <v>5.677353947535102E-2</v>
      </c>
      <c r="R551" s="1">
        <f t="shared" si="33"/>
        <v>182.23849999999999</v>
      </c>
      <c r="S551">
        <f t="shared" si="32"/>
        <v>183.00199999999987</v>
      </c>
      <c r="T551" s="1">
        <f t="shared" si="34"/>
        <v>163.34589039408863</v>
      </c>
      <c r="U551" s="1">
        <f t="shared" si="35"/>
        <v>103.25710960591124</v>
      </c>
    </row>
    <row r="552" spans="1:21" x14ac:dyDescent="0.3">
      <c r="A552" t="s">
        <v>359</v>
      </c>
      <c r="B552" t="s">
        <v>745</v>
      </c>
      <c r="C552" t="s">
        <v>34</v>
      </c>
      <c r="D552" t="s">
        <v>35</v>
      </c>
      <c r="E552" s="2">
        <v>477.928</v>
      </c>
      <c r="F552" s="2">
        <v>0</v>
      </c>
      <c r="G552" s="2">
        <v>184.68299999999999</v>
      </c>
      <c r="H552" s="2">
        <v>-195.976</v>
      </c>
      <c r="I552" s="1">
        <v>0.88642431495957497</v>
      </c>
      <c r="J552" s="1">
        <v>0.91005339716442601</v>
      </c>
      <c r="K552" s="1">
        <v>0.78484116578099306</v>
      </c>
      <c r="L552" s="1">
        <v>0.51163654634300804</v>
      </c>
      <c r="M552" s="2"/>
      <c r="N552" s="2"/>
      <c r="P552" s="1">
        <f>I552-'Passo 1'!I552</f>
        <v>7.6311703854973989E-2</v>
      </c>
      <c r="Q552" s="1">
        <f>J552-'Passo 1'!J552</f>
        <v>9.5617959190505974E-2</v>
      </c>
      <c r="R552" s="1">
        <f t="shared" si="33"/>
        <v>423.64699999999976</v>
      </c>
      <c r="S552">
        <f t="shared" si="32"/>
        <v>434.93999999999977</v>
      </c>
      <c r="T552" s="1">
        <f t="shared" si="34"/>
        <v>375.09756867937847</v>
      </c>
      <c r="U552" s="1">
        <f t="shared" si="35"/>
        <v>244.52543132062115</v>
      </c>
    </row>
    <row r="553" spans="1:21" x14ac:dyDescent="0.3">
      <c r="A553" t="s">
        <v>359</v>
      </c>
      <c r="B553" t="s">
        <v>410</v>
      </c>
      <c r="C553" t="s">
        <v>34</v>
      </c>
      <c r="D553" t="s">
        <v>35</v>
      </c>
      <c r="E553" s="2">
        <v>478.42700000000002</v>
      </c>
      <c r="F553" s="2">
        <v>0</v>
      </c>
      <c r="G553" s="2">
        <v>218.602</v>
      </c>
      <c r="H553" s="2">
        <v>-221.4075</v>
      </c>
      <c r="I553" s="1">
        <v>0.95691819232610198</v>
      </c>
      <c r="J553" s="1">
        <v>0.96278220083732702</v>
      </c>
      <c r="K553" s="1">
        <v>0.83830851205463597</v>
      </c>
      <c r="L553" s="1">
        <v>0.58139188110879203</v>
      </c>
      <c r="M553" s="2"/>
      <c r="N553" s="2"/>
      <c r="P553" s="1">
        <f>I553-'Passo 1'!I553</f>
        <v>9.6004197087538934E-2</v>
      </c>
      <c r="Q553" s="1">
        <f>J553-'Passo 1'!J553</f>
        <v>9.4677975950353987E-2</v>
      </c>
      <c r="R553" s="1">
        <f t="shared" si="33"/>
        <v>457.81549999999999</v>
      </c>
      <c r="S553">
        <f t="shared" si="32"/>
        <v>460.62099999999987</v>
      </c>
      <c r="T553" s="1">
        <f t="shared" si="34"/>
        <v>401.06942649676336</v>
      </c>
      <c r="U553" s="1">
        <f t="shared" si="35"/>
        <v>278.15357350323603</v>
      </c>
    </row>
    <row r="554" spans="1:21" x14ac:dyDescent="0.3">
      <c r="A554" t="s">
        <v>359</v>
      </c>
      <c r="B554" t="s">
        <v>411</v>
      </c>
      <c r="C554" t="s">
        <v>34</v>
      </c>
      <c r="D554" t="s">
        <v>35</v>
      </c>
      <c r="E554" s="2">
        <v>321.77499999999998</v>
      </c>
      <c r="F554" s="2">
        <v>0</v>
      </c>
      <c r="G554" s="2">
        <v>147.363</v>
      </c>
      <c r="H554" s="2">
        <v>-150.49949999999899</v>
      </c>
      <c r="I554" s="1">
        <v>0.95796907777173401</v>
      </c>
      <c r="J554" s="1">
        <v>0.96771657213891604</v>
      </c>
      <c r="K554" s="1">
        <v>0.84146036271299496</v>
      </c>
      <c r="L554" s="1">
        <v>0.58422528719765598</v>
      </c>
      <c r="M554" s="2"/>
      <c r="N554" s="2"/>
      <c r="P554" s="1">
        <f>I554-'Passo 1'!I554</f>
        <v>9.3793800015538054E-2</v>
      </c>
      <c r="Q554" s="1">
        <f>J554-'Passo 1'!J554</f>
        <v>9.1441224458084003E-2</v>
      </c>
      <c r="R554" s="1">
        <f t="shared" si="33"/>
        <v>308.2504999999997</v>
      </c>
      <c r="S554">
        <f t="shared" si="32"/>
        <v>311.38699999999966</v>
      </c>
      <c r="T554" s="1">
        <f t="shared" si="34"/>
        <v>270.76090821197391</v>
      </c>
      <c r="U554" s="1">
        <f t="shared" si="35"/>
        <v>187.98909178802575</v>
      </c>
    </row>
    <row r="555" spans="1:21" x14ac:dyDescent="0.3">
      <c r="A555" t="s">
        <v>359</v>
      </c>
      <c r="B555" t="s">
        <v>412</v>
      </c>
      <c r="C555" t="s">
        <v>574</v>
      </c>
      <c r="D555" t="s">
        <v>575</v>
      </c>
      <c r="E555" s="2">
        <v>150.65600000000001</v>
      </c>
      <c r="F555" s="2">
        <v>0</v>
      </c>
      <c r="G555" s="2">
        <v>55.274999999999999</v>
      </c>
      <c r="H555" s="2">
        <v>-72.856999999999999</v>
      </c>
      <c r="I555" s="1">
        <v>0.86689544392523299</v>
      </c>
      <c r="J555" s="1">
        <v>0.98359839634664403</v>
      </c>
      <c r="K555" s="1">
        <v>0.48246677142534999</v>
      </c>
      <c r="L555" s="1">
        <v>0.86802706884652703</v>
      </c>
      <c r="M555" s="2"/>
      <c r="N555" s="2"/>
      <c r="P555" s="1">
        <f>I555-'Passo 1'!I555</f>
        <v>0.13747212192013603</v>
      </c>
      <c r="Q555" s="1">
        <f>J555-'Passo 1'!J555</f>
        <v>5.2493760620221042E-2</v>
      </c>
      <c r="R555" s="1">
        <f t="shared" si="33"/>
        <v>130.60299999999989</v>
      </c>
      <c r="S555">
        <f t="shared" si="32"/>
        <v>148.185</v>
      </c>
      <c r="T555" s="1">
        <f t="shared" si="34"/>
        <v>72.686513915857532</v>
      </c>
      <c r="U555" s="1">
        <f t="shared" si="35"/>
        <v>130.77348608414238</v>
      </c>
    </row>
    <row r="556" spans="1:21" x14ac:dyDescent="0.3">
      <c r="A556" t="s">
        <v>359</v>
      </c>
      <c r="B556" t="s">
        <v>746</v>
      </c>
      <c r="C556" t="s">
        <v>34</v>
      </c>
      <c r="D556" t="s">
        <v>35</v>
      </c>
      <c r="E556" s="2">
        <v>87.775999999999996</v>
      </c>
      <c r="F556" s="2">
        <v>0</v>
      </c>
      <c r="G556" s="2">
        <v>40.637</v>
      </c>
      <c r="H556" s="2">
        <v>-40.137999999999998</v>
      </c>
      <c r="I556" s="1">
        <v>0.96296254101348899</v>
      </c>
      <c r="J556" s="1">
        <v>0.95727761574917902</v>
      </c>
      <c r="K556" s="1">
        <v>0.83607639199206096</v>
      </c>
      <c r="L556" s="1">
        <v>0.58416376477060705</v>
      </c>
      <c r="M556" s="2"/>
      <c r="N556" s="2"/>
      <c r="P556" s="1">
        <f>I556-'Passo 1'!I556</f>
        <v>8.8099252643092041E-2</v>
      </c>
      <c r="Q556" s="1">
        <f>J556-'Passo 1'!J556</f>
        <v>5.4120716368939004E-2</v>
      </c>
      <c r="R556" s="1">
        <f t="shared" si="33"/>
        <v>84.525000000000006</v>
      </c>
      <c r="S556">
        <f t="shared" si="32"/>
        <v>84.025999999999939</v>
      </c>
      <c r="T556" s="1">
        <f t="shared" si="34"/>
        <v>73.387441383495144</v>
      </c>
      <c r="U556" s="1">
        <f t="shared" si="35"/>
        <v>51.275558616504803</v>
      </c>
    </row>
    <row r="557" spans="1:21" x14ac:dyDescent="0.3">
      <c r="A557" t="s">
        <v>359</v>
      </c>
      <c r="B557" t="s">
        <v>413</v>
      </c>
      <c r="C557" t="s">
        <v>34</v>
      </c>
      <c r="D557" t="s">
        <v>35</v>
      </c>
      <c r="E557" s="2">
        <v>358.55799999999999</v>
      </c>
      <c r="F557" s="2">
        <v>0</v>
      </c>
      <c r="G557" s="2">
        <v>162.83799999999999</v>
      </c>
      <c r="H557" s="2">
        <v>-146.136</v>
      </c>
      <c r="I557" s="1">
        <v>0.95414688836952399</v>
      </c>
      <c r="J557" s="1">
        <v>0.90756586103224501</v>
      </c>
      <c r="K557" s="1">
        <v>0.86931059230129804</v>
      </c>
      <c r="L557" s="1">
        <v>0.49240215710047103</v>
      </c>
      <c r="M557" s="2"/>
      <c r="N557" s="2"/>
      <c r="P557" s="1">
        <f>I557-'Passo 1'!I557</f>
        <v>0.12867653210916996</v>
      </c>
      <c r="Q557" s="1">
        <f>J557-'Passo 1'!J557</f>
        <v>5.4666190686024962E-2</v>
      </c>
      <c r="R557" s="1">
        <f t="shared" si="33"/>
        <v>342.11699999999979</v>
      </c>
      <c r="S557">
        <f t="shared" si="32"/>
        <v>325.41499999999968</v>
      </c>
      <c r="T557" s="1">
        <f t="shared" si="34"/>
        <v>311.6982673543688</v>
      </c>
      <c r="U557" s="1">
        <f t="shared" si="35"/>
        <v>176.55473264563068</v>
      </c>
    </row>
    <row r="558" spans="1:21" x14ac:dyDescent="0.3">
      <c r="A558" t="s">
        <v>359</v>
      </c>
      <c r="B558" t="s">
        <v>414</v>
      </c>
      <c r="C558" t="s">
        <v>34</v>
      </c>
      <c r="D558" t="s">
        <v>35</v>
      </c>
      <c r="E558" s="2">
        <v>322.61</v>
      </c>
      <c r="F558" s="2">
        <v>0</v>
      </c>
      <c r="G558" s="2">
        <v>158.93</v>
      </c>
      <c r="H558" s="2">
        <v>-148.89850000000001</v>
      </c>
      <c r="I558" s="1">
        <v>0.99263816992653597</v>
      </c>
      <c r="J558" s="1">
        <v>0.96154334955519005</v>
      </c>
      <c r="K558" s="1">
        <v>0.87069661508294605</v>
      </c>
      <c r="L558" s="1">
        <v>0.58348490439877998</v>
      </c>
      <c r="M558" s="2"/>
      <c r="N558" s="2"/>
      <c r="P558" s="1">
        <f>I558-'Passo 1'!I558</f>
        <v>9.4626638975852995E-2</v>
      </c>
      <c r="Q558" s="1">
        <f>J558-'Passo 1'!J558</f>
        <v>5.358792349896202E-2</v>
      </c>
      <c r="R558" s="1">
        <f t="shared" si="33"/>
        <v>320.23499999999979</v>
      </c>
      <c r="S558">
        <f t="shared" si="32"/>
        <v>310.20349999999985</v>
      </c>
      <c r="T558" s="1">
        <f t="shared" si="34"/>
        <v>280.89543499190921</v>
      </c>
      <c r="U558" s="1">
        <f t="shared" si="35"/>
        <v>188.23806500809042</v>
      </c>
    </row>
    <row r="559" spans="1:21" x14ac:dyDescent="0.3">
      <c r="A559" t="s">
        <v>359</v>
      </c>
      <c r="B559" t="s">
        <v>747</v>
      </c>
      <c r="C559" t="s">
        <v>576</v>
      </c>
      <c r="D559" t="s">
        <v>14</v>
      </c>
      <c r="E559" s="2">
        <v>87.245999999999995</v>
      </c>
      <c r="F559" s="2">
        <v>0</v>
      </c>
      <c r="G559" s="2">
        <v>25.7699999999999</v>
      </c>
      <c r="H559" s="2">
        <v>-26.88</v>
      </c>
      <c r="I559" s="1">
        <v>0.79537170758544795</v>
      </c>
      <c r="J559" s="1">
        <v>0.80809435389588002</v>
      </c>
      <c r="K559" s="1">
        <v>0.60135278825479199</v>
      </c>
      <c r="L559" s="1">
        <v>0.50211327322653498</v>
      </c>
      <c r="M559" s="2"/>
      <c r="N559" s="2"/>
      <c r="P559" s="1">
        <f>I559-'Passo 1'!I559</f>
        <v>-1.9542443206560511E-3</v>
      </c>
      <c r="Q559" s="1">
        <f>J559-'Passo 1'!J559</f>
        <v>1.6579556655892058E-2</v>
      </c>
      <c r="R559" s="1">
        <f t="shared" si="33"/>
        <v>69.392999999999986</v>
      </c>
      <c r="S559">
        <f t="shared" si="32"/>
        <v>70.502999999999943</v>
      </c>
      <c r="T559" s="1">
        <f t="shared" si="34"/>
        <v>52.465625364077582</v>
      </c>
      <c r="U559" s="1">
        <f t="shared" si="35"/>
        <v>43.807374635922265</v>
      </c>
    </row>
    <row r="560" spans="1:21" x14ac:dyDescent="0.3">
      <c r="A560" t="s">
        <v>359</v>
      </c>
      <c r="B560" t="s">
        <v>415</v>
      </c>
      <c r="C560" t="s">
        <v>576</v>
      </c>
      <c r="D560" t="s">
        <v>14</v>
      </c>
      <c r="E560" s="2">
        <v>134.29300000000001</v>
      </c>
      <c r="F560" s="2">
        <v>0</v>
      </c>
      <c r="G560" s="2">
        <v>31.7029999999999</v>
      </c>
      <c r="H560" s="2">
        <v>-47.332999999999998</v>
      </c>
      <c r="I560" s="1">
        <v>0.73607336197716899</v>
      </c>
      <c r="J560" s="1">
        <v>0.852460664368209</v>
      </c>
      <c r="K560" s="1">
        <v>0.56266465952327505</v>
      </c>
      <c r="L560" s="1">
        <v>0.52586936682210295</v>
      </c>
      <c r="M560" s="2"/>
      <c r="N560" s="2"/>
      <c r="P560" s="1">
        <f>I560-'Passo 1'!I560</f>
        <v>7.4907106103818011E-2</v>
      </c>
      <c r="Q560" s="1">
        <f>J560-'Passo 1'!J560</f>
        <v>-1.383169636541004E-2</v>
      </c>
      <c r="R560" s="1">
        <f t="shared" si="33"/>
        <v>98.849499999999964</v>
      </c>
      <c r="S560">
        <f t="shared" si="32"/>
        <v>114.4794999999999</v>
      </c>
      <c r="T560" s="1">
        <f t="shared" si="34"/>
        <v>75.561925121359181</v>
      </c>
      <c r="U560" s="1">
        <f t="shared" si="35"/>
        <v>70.620574878640667</v>
      </c>
    </row>
    <row r="561" spans="1:21" x14ac:dyDescent="0.3">
      <c r="A561" t="s">
        <v>359</v>
      </c>
      <c r="B561" t="s">
        <v>416</v>
      </c>
      <c r="C561" t="s">
        <v>576</v>
      </c>
      <c r="D561" t="s">
        <v>14</v>
      </c>
      <c r="E561" s="2">
        <v>84.69</v>
      </c>
      <c r="F561" s="2">
        <v>0</v>
      </c>
      <c r="G561" s="2">
        <v>12.763</v>
      </c>
      <c r="H561" s="2">
        <v>-15.657999999999999</v>
      </c>
      <c r="I561" s="1">
        <v>0.650702562285984</v>
      </c>
      <c r="J561" s="1">
        <v>0.68488605502420596</v>
      </c>
      <c r="K561" s="1">
        <v>0.49228485021137403</v>
      </c>
      <c r="L561" s="1">
        <v>0.34330376709881499</v>
      </c>
      <c r="M561" s="2"/>
      <c r="N561" s="2"/>
      <c r="P561" s="1">
        <f>I561-'Passo 1'!I561</f>
        <v>1.3697012634313999E-2</v>
      </c>
      <c r="Q561" s="1">
        <f>J561-'Passo 1'!J561</f>
        <v>2.9424961624749946E-2</v>
      </c>
      <c r="R561" s="1">
        <f t="shared" si="33"/>
        <v>55.107999999999983</v>
      </c>
      <c r="S561">
        <f t="shared" si="32"/>
        <v>58.003</v>
      </c>
      <c r="T561" s="1">
        <f t="shared" si="34"/>
        <v>41.691603964401267</v>
      </c>
      <c r="U561" s="1">
        <f t="shared" si="35"/>
        <v>29.074396035598642</v>
      </c>
    </row>
    <row r="562" spans="1:21" x14ac:dyDescent="0.3">
      <c r="A562" t="s">
        <v>359</v>
      </c>
      <c r="B562" t="s">
        <v>748</v>
      </c>
      <c r="C562" t="s">
        <v>574</v>
      </c>
      <c r="D562" t="s">
        <v>575</v>
      </c>
      <c r="E562" s="2">
        <v>30</v>
      </c>
      <c r="F562" s="2">
        <v>2.4E-2</v>
      </c>
      <c r="G562" s="2">
        <v>13.988</v>
      </c>
      <c r="H562" s="2">
        <v>-14.488</v>
      </c>
      <c r="I562" s="1">
        <v>0.96586666666666599</v>
      </c>
      <c r="J562" s="1">
        <v>0.98253333333333304</v>
      </c>
      <c r="K562" s="1">
        <v>0.49416106526429299</v>
      </c>
      <c r="L562" s="1">
        <v>0.95463893473570605</v>
      </c>
      <c r="M562" s="2"/>
      <c r="N562" s="2"/>
      <c r="P562" s="1">
        <f>I562-'Passo 1'!I562</f>
        <v>0.13156666666666594</v>
      </c>
      <c r="Q562" s="1">
        <f>J562-'Passo 1'!J562</f>
        <v>0</v>
      </c>
      <c r="R562" s="1">
        <f t="shared" si="33"/>
        <v>28.975999999999978</v>
      </c>
      <c r="S562">
        <f t="shared" si="32"/>
        <v>29.475999999999992</v>
      </c>
      <c r="T562" s="1">
        <f t="shared" si="34"/>
        <v>14.82483195792879</v>
      </c>
      <c r="U562" s="1">
        <f t="shared" si="35"/>
        <v>28.63916804207118</v>
      </c>
    </row>
    <row r="563" spans="1:21" x14ac:dyDescent="0.3">
      <c r="A563" t="s">
        <v>359</v>
      </c>
      <c r="B563" t="s">
        <v>417</v>
      </c>
      <c r="C563" t="s">
        <v>34</v>
      </c>
      <c r="D563" t="s">
        <v>35</v>
      </c>
      <c r="E563" s="2">
        <v>565.58699999999999</v>
      </c>
      <c r="F563" s="2">
        <v>0</v>
      </c>
      <c r="G563" s="2">
        <v>231.82649999999899</v>
      </c>
      <c r="H563" s="2">
        <v>-228.6455</v>
      </c>
      <c r="I563" s="1">
        <v>0.909886542653915</v>
      </c>
      <c r="J563" s="1">
        <v>0.90426229740075303</v>
      </c>
      <c r="K563" s="1">
        <v>0.80464815164138204</v>
      </c>
      <c r="L563" s="1">
        <v>0.509500688413286</v>
      </c>
      <c r="M563" s="2"/>
      <c r="N563" s="2"/>
      <c r="P563" s="1">
        <f>I563-'Passo 1'!I563</f>
        <v>-1.7954797405169698E-3</v>
      </c>
      <c r="Q563" s="1">
        <f>J563-'Passo 1'!J563</f>
        <v>8.4396388177239046E-2</v>
      </c>
      <c r="R563" s="1">
        <f t="shared" si="33"/>
        <v>514.61999999999978</v>
      </c>
      <c r="S563">
        <f t="shared" si="32"/>
        <v>511.43899999999968</v>
      </c>
      <c r="T563" s="1">
        <f t="shared" si="34"/>
        <v>455.09853414239433</v>
      </c>
      <c r="U563" s="1">
        <f t="shared" si="35"/>
        <v>288.16696585760519</v>
      </c>
    </row>
    <row r="564" spans="1:21" x14ac:dyDescent="0.3">
      <c r="A564" t="s">
        <v>359</v>
      </c>
      <c r="B564" t="s">
        <v>749</v>
      </c>
      <c r="C564" t="s">
        <v>34</v>
      </c>
      <c r="D564" t="s">
        <v>35</v>
      </c>
      <c r="E564" s="2">
        <v>70.126999999999995</v>
      </c>
      <c r="F564" s="2">
        <v>0</v>
      </c>
      <c r="G564" s="2">
        <v>31.409500000000001</v>
      </c>
      <c r="H564" s="2">
        <v>-33.968000000000004</v>
      </c>
      <c r="I564" s="1">
        <v>0.94789453420223302</v>
      </c>
      <c r="J564" s="1">
        <v>0.98437834215066899</v>
      </c>
      <c r="K564" s="1">
        <v>0.82448678261610697</v>
      </c>
      <c r="L564" s="1">
        <v>0.60778609373679504</v>
      </c>
      <c r="M564" s="2"/>
      <c r="N564" s="2"/>
      <c r="P564" s="1">
        <f>I564-'Passo 1'!I564</f>
        <v>0.11134798294522796</v>
      </c>
      <c r="Q564" s="1">
        <f>J564-'Passo 1'!J564</f>
        <v>7.8778501860908956E-2</v>
      </c>
      <c r="R564" s="1">
        <f t="shared" si="33"/>
        <v>66.472999999999985</v>
      </c>
      <c r="S564">
        <f t="shared" si="32"/>
        <v>69.031499999999966</v>
      </c>
      <c r="T564" s="1">
        <f t="shared" si="34"/>
        <v>57.818784604519728</v>
      </c>
      <c r="U564" s="1">
        <f t="shared" si="35"/>
        <v>42.622215395480225</v>
      </c>
    </row>
    <row r="565" spans="1:21" x14ac:dyDescent="0.3">
      <c r="A565" t="s">
        <v>359</v>
      </c>
      <c r="B565" t="s">
        <v>750</v>
      </c>
      <c r="C565" t="s">
        <v>34</v>
      </c>
      <c r="D565" t="s">
        <v>35</v>
      </c>
      <c r="E565" s="2">
        <v>69.852000000000004</v>
      </c>
      <c r="F565" s="2">
        <v>0</v>
      </c>
      <c r="G565" s="2">
        <v>29.6645</v>
      </c>
      <c r="H565" s="2">
        <v>-31.986499999999999</v>
      </c>
      <c r="I565" s="1">
        <v>0.92467645879860205</v>
      </c>
      <c r="J565" s="1">
        <v>0.95791816984481404</v>
      </c>
      <c r="K565" s="1">
        <v>0.846182738041102</v>
      </c>
      <c r="L565" s="1">
        <v>0.53641189060231498</v>
      </c>
      <c r="M565" s="2"/>
      <c r="N565" s="2"/>
      <c r="P565" s="1">
        <f>I565-'Passo 1'!I565</f>
        <v>5.6906029891771071E-2</v>
      </c>
      <c r="Q565" s="1">
        <f>J565-'Passo 1'!J565</f>
        <v>7.437868636545808E-2</v>
      </c>
      <c r="R565" s="1">
        <f t="shared" si="33"/>
        <v>64.590499999999949</v>
      </c>
      <c r="S565">
        <f t="shared" si="32"/>
        <v>66.912499999999952</v>
      </c>
      <c r="T565" s="1">
        <f t="shared" si="34"/>
        <v>59.107556617647063</v>
      </c>
      <c r="U565" s="1">
        <f t="shared" si="35"/>
        <v>37.469443382352907</v>
      </c>
    </row>
    <row r="566" spans="1:21" x14ac:dyDescent="0.3">
      <c r="A566" t="s">
        <v>359</v>
      </c>
      <c r="B566" t="s">
        <v>418</v>
      </c>
      <c r="C566" t="s">
        <v>34</v>
      </c>
      <c r="D566" t="s">
        <v>35</v>
      </c>
      <c r="E566" s="2">
        <v>182.649</v>
      </c>
      <c r="F566" s="2">
        <v>0</v>
      </c>
      <c r="G566" s="2">
        <v>91.3245</v>
      </c>
      <c r="H566" s="2">
        <v>-91.3245</v>
      </c>
      <c r="I566" s="1">
        <v>1</v>
      </c>
      <c r="J566" s="1">
        <v>1</v>
      </c>
      <c r="K566" s="1">
        <v>0.93276207028234404</v>
      </c>
      <c r="L566" s="1">
        <v>0.56723792971765497</v>
      </c>
      <c r="M566" s="2"/>
      <c r="N566" s="2"/>
      <c r="P566" s="1">
        <f>I566-'Passo 1'!I566</f>
        <v>0</v>
      </c>
      <c r="Q566" s="1">
        <f>J566-'Passo 1'!J566</f>
        <v>0</v>
      </c>
      <c r="R566" s="1">
        <f t="shared" si="33"/>
        <v>182.649</v>
      </c>
      <c r="S566">
        <f t="shared" si="32"/>
        <v>182.649</v>
      </c>
      <c r="T566" s="1">
        <f t="shared" si="34"/>
        <v>170.36805937499986</v>
      </c>
      <c r="U566" s="1">
        <f t="shared" si="35"/>
        <v>103.60544062499996</v>
      </c>
    </row>
    <row r="567" spans="1:21" x14ac:dyDescent="0.3">
      <c r="A567" t="s">
        <v>359</v>
      </c>
      <c r="B567" t="s">
        <v>419</v>
      </c>
      <c r="C567" t="s">
        <v>576</v>
      </c>
      <c r="D567" t="s">
        <v>14</v>
      </c>
      <c r="E567" s="2">
        <v>16.628</v>
      </c>
      <c r="F567" s="2">
        <v>0</v>
      </c>
      <c r="G567" s="2">
        <v>7.7009999999999996</v>
      </c>
      <c r="H567" s="2">
        <v>-6.7640000000000002</v>
      </c>
      <c r="I567" s="1">
        <v>0.96313447197498203</v>
      </c>
      <c r="J567" s="1">
        <v>0.90678373827279202</v>
      </c>
      <c r="K567" s="1">
        <v>0.96283393735602496</v>
      </c>
      <c r="L567" s="1">
        <v>0.40708427289174898</v>
      </c>
      <c r="M567" s="2"/>
      <c r="N567" s="2"/>
      <c r="P567" s="1">
        <f>I567-'Passo 1'!I567</f>
        <v>7.4272311763291077E-2</v>
      </c>
      <c r="Q567" s="1">
        <f>J567-'Passo 1'!J567</f>
        <v>-1.0975463074332947E-2</v>
      </c>
      <c r="R567" s="1">
        <f t="shared" si="33"/>
        <v>16.015000000000001</v>
      </c>
      <c r="S567">
        <f t="shared" si="32"/>
        <v>15.077999999999985</v>
      </c>
      <c r="T567" s="1">
        <f t="shared" si="34"/>
        <v>16.010002710355984</v>
      </c>
      <c r="U567" s="1">
        <f t="shared" si="35"/>
        <v>6.7689972896440018</v>
      </c>
    </row>
    <row r="568" spans="1:21" x14ac:dyDescent="0.3">
      <c r="A568" t="s">
        <v>359</v>
      </c>
      <c r="B568" t="s">
        <v>751</v>
      </c>
      <c r="C568" t="s">
        <v>34</v>
      </c>
      <c r="D568" t="s">
        <v>35</v>
      </c>
      <c r="E568" s="2">
        <v>759.37</v>
      </c>
      <c r="F568" s="2">
        <v>0</v>
      </c>
      <c r="G568" s="2">
        <v>369.56049999999999</v>
      </c>
      <c r="H568" s="2">
        <v>-357.20549999999997</v>
      </c>
      <c r="I568" s="1">
        <v>0.98666723731514205</v>
      </c>
      <c r="J568" s="1">
        <v>0.97039717133939896</v>
      </c>
      <c r="K568" s="1">
        <v>0.89622592328971595</v>
      </c>
      <c r="L568" s="1">
        <v>0.56083848536482594</v>
      </c>
      <c r="M568" s="2"/>
      <c r="N568" s="2"/>
      <c r="P568" s="1">
        <f>I568-'Passo 1'!I568</f>
        <v>7.9076734661627013E-2</v>
      </c>
      <c r="Q568" s="1">
        <f>J568-'Passo 1'!J568</f>
        <v>0.11983552155075894</v>
      </c>
      <c r="R568" s="1">
        <f t="shared" si="33"/>
        <v>749.24549999999942</v>
      </c>
      <c r="S568">
        <f t="shared" si="32"/>
        <v>736.89049999999941</v>
      </c>
      <c r="T568" s="1">
        <f t="shared" si="34"/>
        <v>680.5670793685116</v>
      </c>
      <c r="U568" s="1">
        <f t="shared" si="35"/>
        <v>425.88392063148785</v>
      </c>
    </row>
    <row r="569" spans="1:21" x14ac:dyDescent="0.3">
      <c r="A569" t="s">
        <v>359</v>
      </c>
      <c r="B569" t="s">
        <v>420</v>
      </c>
      <c r="C569" t="s">
        <v>576</v>
      </c>
      <c r="D569" t="s">
        <v>14</v>
      </c>
      <c r="E569" s="2">
        <v>46.713999999999999</v>
      </c>
      <c r="F569" s="2">
        <v>0</v>
      </c>
      <c r="G569" s="2">
        <v>14.92</v>
      </c>
      <c r="H569" s="2">
        <v>-19.895</v>
      </c>
      <c r="I569" s="1">
        <v>0.81939033266258499</v>
      </c>
      <c r="J569" s="1">
        <v>0.92588945498137598</v>
      </c>
      <c r="K569" s="1">
        <v>0.56587466658297902</v>
      </c>
      <c r="L569" s="1">
        <v>0.67940512106098205</v>
      </c>
      <c r="M569" s="2"/>
      <c r="N569" s="2"/>
      <c r="P569" s="1">
        <f>I569-'Passo 1'!I569</f>
        <v>7.9740548871858996E-2</v>
      </c>
      <c r="Q569" s="1">
        <f>J569-'Passo 1'!J569</f>
        <v>9.440424712077955E-3</v>
      </c>
      <c r="R569" s="1">
        <f t="shared" si="33"/>
        <v>38.276999999999994</v>
      </c>
      <c r="S569">
        <f t="shared" si="32"/>
        <v>43.251999999999995</v>
      </c>
      <c r="T569" s="1">
        <f t="shared" si="34"/>
        <v>26.434269174757283</v>
      </c>
      <c r="U569" s="1">
        <f t="shared" si="35"/>
        <v>31.737730825242714</v>
      </c>
    </row>
    <row r="570" spans="1:21" x14ac:dyDescent="0.3">
      <c r="A570" t="s">
        <v>359</v>
      </c>
      <c r="B570" t="s">
        <v>421</v>
      </c>
      <c r="C570" t="s">
        <v>34</v>
      </c>
      <c r="D570" t="s">
        <v>35</v>
      </c>
      <c r="E570" s="2">
        <v>128.851</v>
      </c>
      <c r="F570" s="2">
        <v>0</v>
      </c>
      <c r="G570" s="2">
        <v>59.892499999999998</v>
      </c>
      <c r="H570" s="2">
        <v>-55.359499999999997</v>
      </c>
      <c r="I570" s="1">
        <v>0.96481983065711496</v>
      </c>
      <c r="J570" s="1">
        <v>0.92963966131423104</v>
      </c>
      <c r="K570" s="1">
        <v>0.84396019313996995</v>
      </c>
      <c r="L570" s="1">
        <v>0.55049929883137605</v>
      </c>
      <c r="M570" s="2"/>
      <c r="N570" s="2"/>
      <c r="P570" s="1">
        <f>I570-'Passo 1'!I570</f>
        <v>0.14316536154162496</v>
      </c>
      <c r="Q570" s="1">
        <f>J570-'Passo 1'!J570</f>
        <v>8.044563100014801E-2</v>
      </c>
      <c r="R570" s="1">
        <f t="shared" si="33"/>
        <v>124.31799999999991</v>
      </c>
      <c r="S570">
        <f t="shared" si="32"/>
        <v>119.78499999999998</v>
      </c>
      <c r="T570" s="1">
        <f t="shared" si="34"/>
        <v>108.74511484627827</v>
      </c>
      <c r="U570" s="1">
        <f t="shared" si="35"/>
        <v>70.93238515372164</v>
      </c>
    </row>
    <row r="571" spans="1:21" x14ac:dyDescent="0.3">
      <c r="A571" t="s">
        <v>359</v>
      </c>
      <c r="B571" t="s">
        <v>422</v>
      </c>
      <c r="C571" t="s">
        <v>576</v>
      </c>
      <c r="D571" t="s">
        <v>14</v>
      </c>
      <c r="E571" s="2">
        <v>0</v>
      </c>
      <c r="F571" s="2">
        <v>0</v>
      </c>
      <c r="G571" s="2">
        <v>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M571" s="2"/>
      <c r="N571" s="2"/>
      <c r="P571" s="1">
        <f>I571-'Passo 1'!I571</f>
        <v>0</v>
      </c>
      <c r="Q571" s="1">
        <f>J571-'Passo 1'!J571</f>
        <v>0</v>
      </c>
      <c r="R571" s="1">
        <f t="shared" si="33"/>
        <v>0</v>
      </c>
      <c r="S571">
        <f t="shared" si="32"/>
        <v>0</v>
      </c>
      <c r="T571" s="1">
        <f t="shared" si="34"/>
        <v>0</v>
      </c>
      <c r="U571" s="1">
        <f t="shared" si="35"/>
        <v>0</v>
      </c>
    </row>
    <row r="572" spans="1:21" x14ac:dyDescent="0.3">
      <c r="A572" t="s">
        <v>359</v>
      </c>
      <c r="B572" t="s">
        <v>752</v>
      </c>
      <c r="C572" t="s">
        <v>574</v>
      </c>
      <c r="D572" t="s">
        <v>575</v>
      </c>
      <c r="E572" s="2">
        <v>383.755</v>
      </c>
      <c r="F572" s="2">
        <v>0.05</v>
      </c>
      <c r="G572" s="2">
        <v>149.738</v>
      </c>
      <c r="H572" s="2">
        <v>-188.29349999999999</v>
      </c>
      <c r="I572" s="1">
        <v>0.89012651300960199</v>
      </c>
      <c r="J572" s="1">
        <v>0.99059556227280399</v>
      </c>
      <c r="K572" s="1">
        <v>0.63756250153113503</v>
      </c>
      <c r="L572" s="1">
        <v>0.74322471948227098</v>
      </c>
      <c r="M572" s="2"/>
      <c r="N572" s="2"/>
      <c r="P572" s="1">
        <f>I572-'Passo 1'!I572</f>
        <v>1.8971739781892039E-2</v>
      </c>
      <c r="Q572" s="1">
        <f>J572-'Passo 1'!J572</f>
        <v>0.12144727755990203</v>
      </c>
      <c r="R572" s="1">
        <f t="shared" si="33"/>
        <v>341.59049999999979</v>
      </c>
      <c r="S572">
        <f t="shared" si="32"/>
        <v>380.1459999999999</v>
      </c>
      <c r="T572" s="1">
        <f t="shared" si="34"/>
        <v>244.66779777508071</v>
      </c>
      <c r="U572" s="1">
        <f t="shared" si="35"/>
        <v>285.2162022249189</v>
      </c>
    </row>
    <row r="573" spans="1:21" x14ac:dyDescent="0.3">
      <c r="A573" t="s">
        <v>359</v>
      </c>
      <c r="B573" t="s">
        <v>753</v>
      </c>
      <c r="C573" t="s">
        <v>574</v>
      </c>
      <c r="D573" t="s">
        <v>575</v>
      </c>
      <c r="E573" s="2">
        <v>96</v>
      </c>
      <c r="F573" s="2">
        <v>0</v>
      </c>
      <c r="G573" s="2">
        <v>48</v>
      </c>
      <c r="H573" s="2">
        <v>-47.616</v>
      </c>
      <c r="I573" s="1">
        <v>1</v>
      </c>
      <c r="J573" s="1">
        <v>0.996</v>
      </c>
      <c r="K573" s="1">
        <v>0.80131338069714098</v>
      </c>
      <c r="L573" s="1">
        <v>0.69468661930285802</v>
      </c>
      <c r="M573" s="2"/>
      <c r="N573" s="2"/>
      <c r="P573" s="1">
        <f>I573-'Passo 1'!I573</f>
        <v>8.8906250000000409E-3</v>
      </c>
      <c r="Q573" s="1">
        <f>J573-'Passo 1'!J573</f>
        <v>1.6411458333334017E-2</v>
      </c>
      <c r="R573" s="1">
        <f t="shared" si="33"/>
        <v>96</v>
      </c>
      <c r="S573">
        <f t="shared" si="32"/>
        <v>95.616</v>
      </c>
      <c r="T573" s="1">
        <f t="shared" si="34"/>
        <v>76.926084546925537</v>
      </c>
      <c r="U573" s="1">
        <f t="shared" si="35"/>
        <v>66.689915453074377</v>
      </c>
    </row>
    <row r="574" spans="1:21" x14ac:dyDescent="0.3">
      <c r="A574" t="s">
        <v>359</v>
      </c>
      <c r="B574" t="s">
        <v>754</v>
      </c>
      <c r="C574" t="s">
        <v>574</v>
      </c>
      <c r="D574" t="s">
        <v>575</v>
      </c>
      <c r="E574" s="2">
        <v>130.61199999999999</v>
      </c>
      <c r="F574" s="2">
        <v>0</v>
      </c>
      <c r="G574" s="2">
        <v>65.210499999999996</v>
      </c>
      <c r="H574" s="2">
        <v>-64.790499999999994</v>
      </c>
      <c r="I574" s="1">
        <v>0.99926882675405004</v>
      </c>
      <c r="J574" s="1">
        <v>0.99605319572474105</v>
      </c>
      <c r="K574" s="1">
        <v>0.78718511042166694</v>
      </c>
      <c r="L574" s="1">
        <v>0.70813691205712403</v>
      </c>
      <c r="M574" s="2"/>
      <c r="N574" s="2"/>
      <c r="P574" s="1">
        <f>I574-'Passo 1'!I574</f>
        <v>3.1252871099133994E-2</v>
      </c>
      <c r="Q574" s="1">
        <f>J574-'Passo 1'!J574</f>
        <v>2.7834349064404074E-2</v>
      </c>
      <c r="R574" s="1">
        <f t="shared" si="33"/>
        <v>130.51649999999998</v>
      </c>
      <c r="S574">
        <f t="shared" si="32"/>
        <v>130.09649999999988</v>
      </c>
      <c r="T574" s="1">
        <f t="shared" si="34"/>
        <v>102.81582164239475</v>
      </c>
      <c r="U574" s="1">
        <f t="shared" si="35"/>
        <v>92.491178357605079</v>
      </c>
    </row>
    <row r="575" spans="1:21" x14ac:dyDescent="0.3">
      <c r="A575" t="s">
        <v>359</v>
      </c>
      <c r="B575" t="s">
        <v>755</v>
      </c>
      <c r="C575" t="s">
        <v>576</v>
      </c>
      <c r="D575" t="s">
        <v>577</v>
      </c>
      <c r="E575" s="2">
        <v>230.27199999999999</v>
      </c>
      <c r="F575" s="2">
        <v>0</v>
      </c>
      <c r="G575" s="2">
        <v>88.75</v>
      </c>
      <c r="H575" s="2">
        <v>-109.173</v>
      </c>
      <c r="I575" s="1">
        <v>0.88541377153974399</v>
      </c>
      <c r="J575" s="1">
        <v>0.97410453724291202</v>
      </c>
      <c r="K575" s="1">
        <v>0.57483724906979194</v>
      </c>
      <c r="L575" s="1">
        <v>0.78468105971286395</v>
      </c>
      <c r="M575" s="2"/>
      <c r="N575" s="2"/>
      <c r="P575" s="1">
        <f>I575-'Passo 1'!I575</f>
        <v>0.14222311006114496</v>
      </c>
      <c r="Q575" s="1">
        <f>J575-'Passo 1'!J575</f>
        <v>7.4018986242357032E-2</v>
      </c>
      <c r="R575" s="1">
        <f t="shared" si="33"/>
        <v>203.88599999999991</v>
      </c>
      <c r="S575">
        <f t="shared" si="32"/>
        <v>224.30899999999983</v>
      </c>
      <c r="T575" s="1">
        <f t="shared" si="34"/>
        <v>132.36892301779912</v>
      </c>
      <c r="U575" s="1">
        <f t="shared" si="35"/>
        <v>180.69007698220059</v>
      </c>
    </row>
    <row r="576" spans="1:21" x14ac:dyDescent="0.3">
      <c r="A576" t="s">
        <v>359</v>
      </c>
      <c r="B576" t="s">
        <v>756</v>
      </c>
      <c r="C576" t="s">
        <v>576</v>
      </c>
      <c r="D576" t="s">
        <v>577</v>
      </c>
      <c r="E576" s="2">
        <v>473.32600000000002</v>
      </c>
      <c r="F576" s="2">
        <v>0</v>
      </c>
      <c r="G576" s="2">
        <v>58.0565</v>
      </c>
      <c r="H576" s="2">
        <v>-201.131</v>
      </c>
      <c r="I576" s="1">
        <v>0.62265647777641597</v>
      </c>
      <c r="J576" s="1">
        <v>0.92493123132893595</v>
      </c>
      <c r="K576" s="1">
        <v>0.62178027325720797</v>
      </c>
      <c r="L576" s="1">
        <v>0.42580743584814401</v>
      </c>
      <c r="M576" s="2"/>
      <c r="N576" s="2"/>
      <c r="P576" s="1">
        <f>I576-'Passo 1'!I576</f>
        <v>1.9248889771531941E-2</v>
      </c>
      <c r="Q576" s="1">
        <f>J576-'Passo 1'!J576</f>
        <v>0.118020138340172</v>
      </c>
      <c r="R576" s="1">
        <f t="shared" si="33"/>
        <v>294.71949999999987</v>
      </c>
      <c r="S576">
        <f t="shared" si="32"/>
        <v>437.79399999999998</v>
      </c>
      <c r="T576" s="1">
        <f t="shared" si="34"/>
        <v>294.30476961974125</v>
      </c>
      <c r="U576" s="1">
        <f t="shared" si="35"/>
        <v>201.54573038025862</v>
      </c>
    </row>
    <row r="577" spans="1:21" x14ac:dyDescent="0.3">
      <c r="A577" t="s">
        <v>359</v>
      </c>
      <c r="B577" t="s">
        <v>423</v>
      </c>
      <c r="C577" t="s">
        <v>576</v>
      </c>
      <c r="D577" t="s">
        <v>14</v>
      </c>
      <c r="E577" s="2">
        <v>49.116</v>
      </c>
      <c r="F577" s="2">
        <v>0</v>
      </c>
      <c r="G577" s="2">
        <v>14.9719999999999</v>
      </c>
      <c r="H577" s="2">
        <v>-23.478999999999999</v>
      </c>
      <c r="I577" s="1">
        <v>0.80482938350028499</v>
      </c>
      <c r="J577" s="1">
        <v>0.97803159866438605</v>
      </c>
      <c r="K577" s="1">
        <v>0.62949809014970404</v>
      </c>
      <c r="L577" s="1">
        <v>0.653362892014966</v>
      </c>
      <c r="M577" s="2"/>
      <c r="N577" s="2"/>
      <c r="P577" s="1">
        <f>I577-'Passo 1'!I577</f>
        <v>1.3457936314032026E-2</v>
      </c>
      <c r="Q577" s="1">
        <f>J577-'Passo 1'!J577</f>
        <v>6.728968157016102E-2</v>
      </c>
      <c r="R577" s="1">
        <f t="shared" si="33"/>
        <v>39.529999999999994</v>
      </c>
      <c r="S577">
        <f t="shared" si="32"/>
        <v>48.036999999999985</v>
      </c>
      <c r="T577" s="1">
        <f t="shared" si="34"/>
        <v>30.918428195792863</v>
      </c>
      <c r="U577" s="1">
        <f t="shared" si="35"/>
        <v>32.090571804207073</v>
      </c>
    </row>
    <row r="578" spans="1:21" x14ac:dyDescent="0.3">
      <c r="A578" t="s">
        <v>359</v>
      </c>
      <c r="B578" t="s">
        <v>424</v>
      </c>
      <c r="C578" t="s">
        <v>576</v>
      </c>
      <c r="D578" t="s">
        <v>589</v>
      </c>
      <c r="E578" s="2">
        <v>0</v>
      </c>
      <c r="F578" s="2">
        <v>0</v>
      </c>
      <c r="G578" s="2">
        <v>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M578" s="2"/>
      <c r="N578" s="2"/>
      <c r="P578" s="1">
        <f>I578-'Passo 1'!I578</f>
        <v>0</v>
      </c>
      <c r="Q578" s="1">
        <f>J578-'Passo 1'!J578</f>
        <v>0</v>
      </c>
      <c r="R578" s="1">
        <f t="shared" si="33"/>
        <v>0</v>
      </c>
      <c r="S578">
        <f t="shared" ref="S578:S641" si="36">J578*E578</f>
        <v>0</v>
      </c>
      <c r="T578" s="1">
        <f t="shared" si="34"/>
        <v>0</v>
      </c>
      <c r="U578" s="1">
        <f t="shared" si="35"/>
        <v>0</v>
      </c>
    </row>
    <row r="579" spans="1:21" x14ac:dyDescent="0.3">
      <c r="A579" t="s">
        <v>359</v>
      </c>
      <c r="B579" t="s">
        <v>425</v>
      </c>
      <c r="C579" t="s">
        <v>574</v>
      </c>
      <c r="D579" t="s">
        <v>575</v>
      </c>
      <c r="E579" s="2">
        <v>260.87400000000002</v>
      </c>
      <c r="F579" s="2">
        <v>0</v>
      </c>
      <c r="G579" s="2">
        <v>106.7345</v>
      </c>
      <c r="H579" s="2">
        <v>-128.54400000000001</v>
      </c>
      <c r="I579" s="1">
        <v>0.90914196125332503</v>
      </c>
      <c r="J579" s="1">
        <v>0.99274362335840205</v>
      </c>
      <c r="K579" s="1">
        <v>0.65655092302616402</v>
      </c>
      <c r="L579" s="1">
        <v>0.74533466158556405</v>
      </c>
      <c r="M579" s="2"/>
      <c r="N579" s="2"/>
      <c r="P579" s="1">
        <f>I579-'Passo 1'!I579</f>
        <v>0.13405322109524198</v>
      </c>
      <c r="Q579" s="1">
        <f>J579-'Passo 1'!J579</f>
        <v>3.5614894546792009E-2</v>
      </c>
      <c r="R579" s="1">
        <f t="shared" ref="R579:R642" si="37">I579*E579</f>
        <v>237.17149999999992</v>
      </c>
      <c r="S579">
        <f t="shared" si="36"/>
        <v>258.98099999999982</v>
      </c>
      <c r="T579" s="1">
        <f t="shared" ref="T579:T642" si="38">K579*E579</f>
        <v>171.27706549352752</v>
      </c>
      <c r="U579" s="1">
        <f t="shared" ref="U579:U642" si="39">L579*E579</f>
        <v>194.43843450647245</v>
      </c>
    </row>
    <row r="580" spans="1:21" x14ac:dyDescent="0.3">
      <c r="A580" t="s">
        <v>359</v>
      </c>
      <c r="B580" t="s">
        <v>426</v>
      </c>
      <c r="C580" t="s">
        <v>576</v>
      </c>
      <c r="D580" t="s">
        <v>14</v>
      </c>
      <c r="E580" s="2">
        <v>72.343999999999994</v>
      </c>
      <c r="F580" s="2">
        <v>0</v>
      </c>
      <c r="G580" s="2">
        <v>36.171999999999997</v>
      </c>
      <c r="H580" s="2">
        <v>-36.171999999999997</v>
      </c>
      <c r="I580" s="1">
        <v>1</v>
      </c>
      <c r="J580" s="1">
        <v>1</v>
      </c>
      <c r="K580" s="1">
        <v>0.98787566380976599</v>
      </c>
      <c r="L580" s="1">
        <v>0.51212433619023301</v>
      </c>
      <c r="M580" s="2"/>
      <c r="N580" s="2"/>
      <c r="P580" s="1">
        <f>I580-'Passo 1'!I580</f>
        <v>0</v>
      </c>
      <c r="Q580" s="1">
        <f>J580-'Passo 1'!J580</f>
        <v>0</v>
      </c>
      <c r="R580" s="1">
        <f t="shared" si="37"/>
        <v>72.343999999999994</v>
      </c>
      <c r="S580">
        <f t="shared" si="36"/>
        <v>72.343999999999994</v>
      </c>
      <c r="T580" s="1">
        <f t="shared" si="38"/>
        <v>71.466877022653705</v>
      </c>
      <c r="U580" s="1">
        <f t="shared" si="39"/>
        <v>37.049122977346215</v>
      </c>
    </row>
    <row r="581" spans="1:21" x14ac:dyDescent="0.3">
      <c r="A581" t="s">
        <v>359</v>
      </c>
      <c r="B581" t="s">
        <v>757</v>
      </c>
      <c r="C581" t="s">
        <v>576</v>
      </c>
      <c r="D581" t="s">
        <v>598</v>
      </c>
      <c r="E581" s="2">
        <v>400.68099999999998</v>
      </c>
      <c r="F581" s="2">
        <v>0</v>
      </c>
      <c r="G581" s="2">
        <v>100.256</v>
      </c>
      <c r="H581" s="2">
        <v>-138.00549999999899</v>
      </c>
      <c r="I581" s="1">
        <v>0.75021401064687299</v>
      </c>
      <c r="J581" s="1">
        <v>0.84442736241548699</v>
      </c>
      <c r="K581" s="1">
        <v>0.41689663810550198</v>
      </c>
      <c r="L581" s="1">
        <v>0.67774473495685805</v>
      </c>
      <c r="M581" s="2"/>
      <c r="N581" s="2"/>
      <c r="P581" s="1">
        <f>I581-'Passo 1'!I581</f>
        <v>0.10832183208088197</v>
      </c>
      <c r="Q581" s="1">
        <f>J581-'Passo 1'!J581</f>
        <v>8.3232047439234957E-2</v>
      </c>
      <c r="R581" s="1">
        <f t="shared" si="37"/>
        <v>300.59649999999971</v>
      </c>
      <c r="S581">
        <f t="shared" si="36"/>
        <v>338.34599999999972</v>
      </c>
      <c r="T581" s="1">
        <f t="shared" si="38"/>
        <v>167.04256185275062</v>
      </c>
      <c r="U581" s="1">
        <f t="shared" si="39"/>
        <v>271.55943814724884</v>
      </c>
    </row>
    <row r="582" spans="1:21" x14ac:dyDescent="0.3">
      <c r="A582" t="s">
        <v>359</v>
      </c>
      <c r="B582" t="s">
        <v>427</v>
      </c>
      <c r="C582" t="s">
        <v>576</v>
      </c>
      <c r="D582" t="s">
        <v>14</v>
      </c>
      <c r="E582" s="2">
        <v>61.697000000000003</v>
      </c>
      <c r="F582" s="2">
        <v>0</v>
      </c>
      <c r="G582" s="2">
        <v>14.208500000000001</v>
      </c>
      <c r="H582" s="2">
        <v>-27.904</v>
      </c>
      <c r="I582" s="1">
        <v>0.73029482794949496</v>
      </c>
      <c r="J582" s="1">
        <v>0.95227482697700006</v>
      </c>
      <c r="K582" s="1">
        <v>0.61391158119290601</v>
      </c>
      <c r="L582" s="1">
        <v>0.56865807373358901</v>
      </c>
      <c r="M582" s="2"/>
      <c r="N582" s="2"/>
      <c r="P582" s="1">
        <f>I582-'Passo 1'!I582</f>
        <v>2.1362464949673976E-2</v>
      </c>
      <c r="Q582" s="1">
        <f>J582-'Passo 1'!J582</f>
        <v>0.1010989189101581</v>
      </c>
      <c r="R582" s="1">
        <f t="shared" si="37"/>
        <v>45.056999999999995</v>
      </c>
      <c r="S582">
        <f t="shared" si="36"/>
        <v>58.752499999999976</v>
      </c>
      <c r="T582" s="1">
        <f t="shared" si="38"/>
        <v>37.876502824858726</v>
      </c>
      <c r="U582" s="1">
        <f t="shared" si="39"/>
        <v>35.084497175141244</v>
      </c>
    </row>
    <row r="583" spans="1:21" x14ac:dyDescent="0.3">
      <c r="A583" t="s">
        <v>359</v>
      </c>
      <c r="B583" t="s">
        <v>428</v>
      </c>
      <c r="C583" t="s">
        <v>576</v>
      </c>
      <c r="D583" t="s">
        <v>598</v>
      </c>
      <c r="E583" s="2">
        <v>39.83</v>
      </c>
      <c r="F583" s="2">
        <v>0</v>
      </c>
      <c r="G583" s="2">
        <v>0</v>
      </c>
      <c r="H583" s="2">
        <v>-19.914999999999999</v>
      </c>
      <c r="I583" s="1">
        <v>0.5</v>
      </c>
      <c r="J583" s="1">
        <v>1</v>
      </c>
      <c r="K583" s="1">
        <v>0.15728155339805799</v>
      </c>
      <c r="L583" s="1">
        <v>0.84271844660194095</v>
      </c>
      <c r="M583" s="2"/>
      <c r="N583" s="2"/>
      <c r="P583" s="1">
        <f>I583-'Passo 1'!I583</f>
        <v>0</v>
      </c>
      <c r="Q583" s="1">
        <f>J583-'Passo 1'!J583</f>
        <v>0</v>
      </c>
      <c r="R583" s="1">
        <f t="shared" si="37"/>
        <v>19.914999999999999</v>
      </c>
      <c r="S583">
        <f t="shared" si="36"/>
        <v>39.83</v>
      </c>
      <c r="T583" s="1">
        <f t="shared" si="38"/>
        <v>6.2645242718446497</v>
      </c>
      <c r="U583" s="1">
        <f t="shared" si="39"/>
        <v>33.565475728155306</v>
      </c>
    </row>
    <row r="584" spans="1:21" x14ac:dyDescent="0.3">
      <c r="A584" t="s">
        <v>359</v>
      </c>
      <c r="B584" t="s">
        <v>429</v>
      </c>
      <c r="C584" t="s">
        <v>574</v>
      </c>
      <c r="D584" t="s">
        <v>575</v>
      </c>
      <c r="E584" s="2">
        <v>68.007999999999996</v>
      </c>
      <c r="F584" s="2">
        <v>0</v>
      </c>
      <c r="G584" s="2">
        <v>33.183</v>
      </c>
      <c r="H584" s="2">
        <v>-23.904499999999999</v>
      </c>
      <c r="I584" s="1">
        <v>0.987927890836372</v>
      </c>
      <c r="J584" s="1">
        <v>0.85149541230443404</v>
      </c>
      <c r="K584" s="1">
        <v>0.704606897213501</v>
      </c>
      <c r="L584" s="1">
        <v>0.63481640592730504</v>
      </c>
      <c r="M584" s="2"/>
      <c r="N584" s="2"/>
      <c r="P584" s="1">
        <f>I584-'Passo 1'!I584</f>
        <v>4.4502117397952956E-2</v>
      </c>
      <c r="Q584" s="1">
        <f>J584-'Passo 1'!J584</f>
        <v>0.10832549111869205</v>
      </c>
      <c r="R584" s="1">
        <f t="shared" si="37"/>
        <v>67.186999999999983</v>
      </c>
      <c r="S584">
        <f t="shared" si="36"/>
        <v>57.908499999999947</v>
      </c>
      <c r="T584" s="1">
        <f t="shared" si="38"/>
        <v>47.91890586569577</v>
      </c>
      <c r="U584" s="1">
        <f t="shared" si="39"/>
        <v>43.172594134304155</v>
      </c>
    </row>
    <row r="585" spans="1:21" x14ac:dyDescent="0.3">
      <c r="A585" t="s">
        <v>359</v>
      </c>
      <c r="B585" t="s">
        <v>430</v>
      </c>
      <c r="C585" t="s">
        <v>574</v>
      </c>
      <c r="D585" t="s">
        <v>575</v>
      </c>
      <c r="E585" s="2">
        <v>32.256</v>
      </c>
      <c r="F585" s="2">
        <v>0</v>
      </c>
      <c r="G585" s="2">
        <v>15.907500000000001</v>
      </c>
      <c r="H585" s="2">
        <v>-15.6425</v>
      </c>
      <c r="I585" s="1">
        <v>0.9931640625</v>
      </c>
      <c r="J585" s="1">
        <v>0.98494853670634896</v>
      </c>
      <c r="K585" s="1">
        <v>0.64173919024021397</v>
      </c>
      <c r="L585" s="1">
        <v>0.83637340896613399</v>
      </c>
      <c r="M585" s="2"/>
      <c r="N585" s="2"/>
      <c r="P585" s="1">
        <f>I585-'Passo 1'!I585</f>
        <v>0.14158606150793696</v>
      </c>
      <c r="Q585" s="1">
        <f>J585-'Passo 1'!J585</f>
        <v>8.0047123015872912E-2</v>
      </c>
      <c r="R585" s="1">
        <f t="shared" si="37"/>
        <v>32.035499999999999</v>
      </c>
      <c r="S585">
        <f t="shared" si="36"/>
        <v>31.770499999999991</v>
      </c>
      <c r="T585" s="1">
        <f t="shared" si="38"/>
        <v>20.699939320388342</v>
      </c>
      <c r="U585" s="1">
        <f t="shared" si="39"/>
        <v>26.97806067961162</v>
      </c>
    </row>
    <row r="586" spans="1:21" x14ac:dyDescent="0.3">
      <c r="A586" t="s">
        <v>359</v>
      </c>
      <c r="B586" t="s">
        <v>431</v>
      </c>
      <c r="C586" t="s">
        <v>574</v>
      </c>
      <c r="D586" t="s">
        <v>575</v>
      </c>
      <c r="E586" s="2">
        <v>93.798000000000002</v>
      </c>
      <c r="F586" s="2">
        <v>0</v>
      </c>
      <c r="G586" s="2">
        <v>31.03</v>
      </c>
      <c r="H586" s="2">
        <v>-27.224499999999999</v>
      </c>
      <c r="I586" s="1">
        <v>0.83081728821510004</v>
      </c>
      <c r="J586" s="1">
        <v>0.79024606068359604</v>
      </c>
      <c r="K586" s="1">
        <v>0.62100066168494905</v>
      </c>
      <c r="L586" s="1">
        <v>0.50006268721374703</v>
      </c>
      <c r="M586" s="2"/>
      <c r="N586" s="2"/>
      <c r="P586" s="1">
        <f>I586-'Passo 1'!I586</f>
        <v>4.6397577773513055E-2</v>
      </c>
      <c r="Q586" s="1">
        <f>J586-'Passo 1'!J586</f>
        <v>5.0379539009359986E-2</v>
      </c>
      <c r="R586" s="1">
        <f t="shared" si="37"/>
        <v>77.928999999999959</v>
      </c>
      <c r="S586">
        <f t="shared" si="36"/>
        <v>74.123499999999936</v>
      </c>
      <c r="T586" s="1">
        <f t="shared" si="38"/>
        <v>58.248620064724854</v>
      </c>
      <c r="U586" s="1">
        <f t="shared" si="39"/>
        <v>46.904879935275048</v>
      </c>
    </row>
    <row r="587" spans="1:21" x14ac:dyDescent="0.3">
      <c r="A587" t="s">
        <v>359</v>
      </c>
      <c r="B587" t="s">
        <v>432</v>
      </c>
      <c r="C587" t="s">
        <v>576</v>
      </c>
      <c r="D587" t="s">
        <v>14</v>
      </c>
      <c r="E587" s="2">
        <v>0</v>
      </c>
      <c r="F587" s="2">
        <v>0</v>
      </c>
      <c r="G587" s="2">
        <v>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M587" s="2"/>
      <c r="N587" s="2"/>
      <c r="P587" s="1">
        <f>I587-'Passo 1'!I587</f>
        <v>0</v>
      </c>
      <c r="Q587" s="1">
        <f>J587-'Passo 1'!J587</f>
        <v>0</v>
      </c>
      <c r="R587" s="1">
        <f t="shared" si="37"/>
        <v>0</v>
      </c>
      <c r="S587">
        <f t="shared" si="36"/>
        <v>0</v>
      </c>
      <c r="T587" s="1">
        <f t="shared" si="38"/>
        <v>0</v>
      </c>
      <c r="U587" s="1">
        <f t="shared" si="39"/>
        <v>0</v>
      </c>
    </row>
    <row r="588" spans="1:21" x14ac:dyDescent="0.3">
      <c r="A588" t="s">
        <v>359</v>
      </c>
      <c r="B588" t="s">
        <v>433</v>
      </c>
      <c r="C588" t="s">
        <v>576</v>
      </c>
      <c r="D588" t="s">
        <v>14</v>
      </c>
      <c r="E588" s="2">
        <v>0</v>
      </c>
      <c r="F588" s="2">
        <v>0</v>
      </c>
      <c r="G588" s="2">
        <v>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M588" s="2"/>
      <c r="N588" s="2"/>
      <c r="P588" s="1">
        <f>I588-'Passo 1'!I588</f>
        <v>0</v>
      </c>
      <c r="Q588" s="1">
        <f>J588-'Passo 1'!J588</f>
        <v>0</v>
      </c>
      <c r="R588" s="1">
        <f t="shared" si="37"/>
        <v>0</v>
      </c>
      <c r="S588">
        <f t="shared" si="36"/>
        <v>0</v>
      </c>
      <c r="T588" s="1">
        <f t="shared" si="38"/>
        <v>0</v>
      </c>
      <c r="U588" s="1">
        <f t="shared" si="39"/>
        <v>0</v>
      </c>
    </row>
    <row r="589" spans="1:21" x14ac:dyDescent="0.3">
      <c r="A589" t="s">
        <v>359</v>
      </c>
      <c r="B589" t="s">
        <v>434</v>
      </c>
      <c r="C589" t="s">
        <v>574</v>
      </c>
      <c r="D589" t="s">
        <v>575</v>
      </c>
      <c r="E589" s="2">
        <v>128.91399999999999</v>
      </c>
      <c r="F589" s="2">
        <v>0</v>
      </c>
      <c r="G589" s="2">
        <v>35.107999999999997</v>
      </c>
      <c r="H589" s="2">
        <v>-21.436499999999899</v>
      </c>
      <c r="I589" s="1">
        <v>0.77233659649068298</v>
      </c>
      <c r="J589" s="1">
        <v>0.66628527545495397</v>
      </c>
      <c r="K589" s="1">
        <v>0.49023052949225299</v>
      </c>
      <c r="L589" s="1">
        <v>0.44839134245338402</v>
      </c>
      <c r="M589" s="2"/>
      <c r="N589" s="2"/>
      <c r="P589" s="1">
        <f>I589-'Passo 1'!I589</f>
        <v>0.10886715174457395</v>
      </c>
      <c r="Q589" s="1">
        <f>J589-'Passo 1'!J589</f>
        <v>2.6412957475530074E-3</v>
      </c>
      <c r="R589" s="1">
        <f t="shared" si="37"/>
        <v>99.564999999999898</v>
      </c>
      <c r="S589">
        <f t="shared" si="36"/>
        <v>85.893499999999932</v>
      </c>
      <c r="T589" s="1">
        <f t="shared" si="38"/>
        <v>63.197578478964296</v>
      </c>
      <c r="U589" s="1">
        <f t="shared" si="39"/>
        <v>57.803921521035541</v>
      </c>
    </row>
    <row r="590" spans="1:21" x14ac:dyDescent="0.3">
      <c r="A590" t="s">
        <v>359</v>
      </c>
      <c r="B590" t="s">
        <v>435</v>
      </c>
      <c r="C590" t="s">
        <v>574</v>
      </c>
      <c r="D590" t="s">
        <v>575</v>
      </c>
      <c r="E590" s="2">
        <v>179.965</v>
      </c>
      <c r="F590" s="2">
        <v>0</v>
      </c>
      <c r="G590" s="2">
        <v>34.664999999999999</v>
      </c>
      <c r="H590" s="2">
        <v>-39.967500000000001</v>
      </c>
      <c r="I590" s="1">
        <v>0.69262078737532295</v>
      </c>
      <c r="J590" s="1">
        <v>0.72208484983191101</v>
      </c>
      <c r="K590" s="1">
        <v>0.48759210214103998</v>
      </c>
      <c r="L590" s="1">
        <v>0.42711353506619398</v>
      </c>
      <c r="M590" s="2"/>
      <c r="N590" s="2"/>
      <c r="P590" s="1">
        <f>I590-'Passo 1'!I590</f>
        <v>8.7072486316789321E-3</v>
      </c>
      <c r="Q590" s="1">
        <f>J590-'Passo 1'!J590</f>
        <v>8.1963159503235961E-2</v>
      </c>
      <c r="R590" s="1">
        <f t="shared" si="37"/>
        <v>124.64749999999999</v>
      </c>
      <c r="S590">
        <f t="shared" si="36"/>
        <v>129.94999999999987</v>
      </c>
      <c r="T590" s="1">
        <f t="shared" si="38"/>
        <v>87.749512661812261</v>
      </c>
      <c r="U590" s="1">
        <f t="shared" si="39"/>
        <v>76.865487338187606</v>
      </c>
    </row>
    <row r="591" spans="1:21" x14ac:dyDescent="0.3">
      <c r="A591" t="s">
        <v>359</v>
      </c>
      <c r="B591" t="s">
        <v>436</v>
      </c>
      <c r="C591" t="s">
        <v>574</v>
      </c>
      <c r="D591" t="s">
        <v>575</v>
      </c>
      <c r="E591" s="2">
        <v>200.97200000000001</v>
      </c>
      <c r="F591" s="2">
        <v>37.776000000000003</v>
      </c>
      <c r="G591" s="2">
        <v>57.844000000000001</v>
      </c>
      <c r="H591" s="2">
        <v>-53.089500000000001</v>
      </c>
      <c r="I591" s="1">
        <v>0.69383794757478601</v>
      </c>
      <c r="J591" s="1">
        <v>0.670180423143522</v>
      </c>
      <c r="K591" s="1">
        <v>0.53242811880055796</v>
      </c>
      <c r="L591" s="1">
        <v>0.42557349336431999</v>
      </c>
      <c r="M591" s="2"/>
      <c r="N591" s="2"/>
      <c r="P591" s="1">
        <f>I591-'Passo 1'!I591</f>
        <v>2.1368648368927046E-2</v>
      </c>
      <c r="Q591" s="1">
        <f>J591-'Passo 1'!J591</f>
        <v>4.8713253587564953E-2</v>
      </c>
      <c r="R591" s="1">
        <f t="shared" si="37"/>
        <v>139.44199999999989</v>
      </c>
      <c r="S591">
        <f t="shared" si="36"/>
        <v>134.68749999999991</v>
      </c>
      <c r="T591" s="1">
        <f t="shared" si="38"/>
        <v>107.00314389158574</v>
      </c>
      <c r="U591" s="1">
        <f t="shared" si="39"/>
        <v>85.528356108414116</v>
      </c>
    </row>
    <row r="592" spans="1:21" x14ac:dyDescent="0.3">
      <c r="A592" t="s">
        <v>359</v>
      </c>
      <c r="B592" t="s">
        <v>437</v>
      </c>
      <c r="C592" t="s">
        <v>574</v>
      </c>
      <c r="D592" t="s">
        <v>575</v>
      </c>
      <c r="E592" s="2">
        <v>1210.8320000000001</v>
      </c>
      <c r="F592" s="2">
        <v>8.3390000000000004</v>
      </c>
      <c r="G592" s="2">
        <v>540.13900000000001</v>
      </c>
      <c r="H592" s="2">
        <v>-538.29899999999998</v>
      </c>
      <c r="I592" s="1">
        <v>0.94264563539780899</v>
      </c>
      <c r="J592" s="1">
        <v>0.94112601913395</v>
      </c>
      <c r="K592" s="1">
        <v>0.73785473929707501</v>
      </c>
      <c r="L592" s="1">
        <v>0.64936041524129096</v>
      </c>
      <c r="M592" s="2"/>
      <c r="N592" s="2"/>
      <c r="P592" s="1">
        <f>I592-'Passo 1'!I592</f>
        <v>0.10058290497773503</v>
      </c>
      <c r="Q592" s="1">
        <f>J592-'Passo 1'!J592</f>
        <v>0.10882145499953699</v>
      </c>
      <c r="R592" s="1">
        <f t="shared" si="37"/>
        <v>1141.3854999999999</v>
      </c>
      <c r="S592">
        <f t="shared" si="36"/>
        <v>1139.545499999999</v>
      </c>
      <c r="T592" s="1">
        <f t="shared" si="38"/>
        <v>893.41812969255602</v>
      </c>
      <c r="U592" s="1">
        <f t="shared" si="39"/>
        <v>786.26637030744291</v>
      </c>
    </row>
    <row r="593" spans="1:21" x14ac:dyDescent="0.3">
      <c r="A593" t="s">
        <v>359</v>
      </c>
      <c r="B593" t="s">
        <v>438</v>
      </c>
      <c r="C593" t="s">
        <v>576</v>
      </c>
      <c r="D593" t="s">
        <v>577</v>
      </c>
      <c r="E593" s="2">
        <v>1352.4670000000001</v>
      </c>
      <c r="F593" s="2">
        <v>0</v>
      </c>
      <c r="G593" s="2">
        <v>494.27</v>
      </c>
      <c r="H593" s="2">
        <v>-662.22249999999997</v>
      </c>
      <c r="I593" s="1">
        <v>0.86545808511409095</v>
      </c>
      <c r="J593" s="1">
        <v>0.98964041266810898</v>
      </c>
      <c r="K593" s="1">
        <v>0.801084307094448</v>
      </c>
      <c r="L593" s="1">
        <v>0.55401419068775204</v>
      </c>
      <c r="M593" s="2"/>
      <c r="N593" s="2"/>
      <c r="P593" s="1">
        <f>I593-'Passo 1'!I593</f>
        <v>8.9009195788140927E-2</v>
      </c>
      <c r="Q593" s="1">
        <f>J593-'Passo 1'!J593</f>
        <v>5.5149219907029035E-2</v>
      </c>
      <c r="R593" s="1">
        <f t="shared" si="37"/>
        <v>1170.5034999999993</v>
      </c>
      <c r="S593">
        <f t="shared" si="36"/>
        <v>1338.4559999999994</v>
      </c>
      <c r="T593" s="1">
        <f t="shared" si="38"/>
        <v>1083.440089563107</v>
      </c>
      <c r="U593" s="1">
        <f t="shared" si="39"/>
        <v>749.28591043689198</v>
      </c>
    </row>
    <row r="594" spans="1:21" x14ac:dyDescent="0.3">
      <c r="A594" t="s">
        <v>359</v>
      </c>
      <c r="B594" t="s">
        <v>439</v>
      </c>
      <c r="C594" t="s">
        <v>576</v>
      </c>
      <c r="D594" t="s">
        <v>577</v>
      </c>
      <c r="E594" s="2">
        <v>0</v>
      </c>
      <c r="F594" s="2">
        <v>0</v>
      </c>
      <c r="G594" s="2">
        <v>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M594" s="2"/>
      <c r="N594" s="2"/>
      <c r="P594" s="1">
        <f>I594-'Passo 1'!I594</f>
        <v>0</v>
      </c>
      <c r="Q594" s="1">
        <f>J594-'Passo 1'!J594</f>
        <v>0</v>
      </c>
      <c r="R594" s="1">
        <f t="shared" si="37"/>
        <v>0</v>
      </c>
      <c r="S594">
        <f t="shared" si="36"/>
        <v>0</v>
      </c>
      <c r="T594" s="1">
        <f t="shared" si="38"/>
        <v>0</v>
      </c>
      <c r="U594" s="1">
        <f t="shared" si="39"/>
        <v>0</v>
      </c>
    </row>
    <row r="595" spans="1:21" x14ac:dyDescent="0.3">
      <c r="A595" t="s">
        <v>359</v>
      </c>
      <c r="B595" t="s">
        <v>440</v>
      </c>
      <c r="C595" t="s">
        <v>576</v>
      </c>
      <c r="D595" t="s">
        <v>14</v>
      </c>
      <c r="E595" s="2">
        <v>48.834000000000003</v>
      </c>
      <c r="F595" s="2">
        <v>0</v>
      </c>
      <c r="G595" s="2">
        <v>19.617999999999999</v>
      </c>
      <c r="H595" s="2">
        <v>-23.1205</v>
      </c>
      <c r="I595" s="1">
        <v>0.90172830405045601</v>
      </c>
      <c r="J595" s="1">
        <v>0.97345087439079303</v>
      </c>
      <c r="K595" s="1">
        <v>0.73576480052030102</v>
      </c>
      <c r="L595" s="1">
        <v>0.63941437792094802</v>
      </c>
      <c r="M595" s="2"/>
      <c r="N595" s="2"/>
      <c r="P595" s="1">
        <f>I595-'Passo 1'!I595</f>
        <v>0.10534668468689801</v>
      </c>
      <c r="Q595" s="1">
        <f>J595-'Passo 1'!J595</f>
        <v>0.10565384772904107</v>
      </c>
      <c r="R595" s="1">
        <f t="shared" si="37"/>
        <v>44.034999999999968</v>
      </c>
      <c r="S595">
        <f t="shared" si="36"/>
        <v>47.537499999999987</v>
      </c>
      <c r="T595" s="1">
        <f t="shared" si="38"/>
        <v>35.930338268608381</v>
      </c>
      <c r="U595" s="1">
        <f t="shared" si="39"/>
        <v>31.225161731391577</v>
      </c>
    </row>
    <row r="596" spans="1:21" x14ac:dyDescent="0.3">
      <c r="A596" t="s">
        <v>359</v>
      </c>
      <c r="B596" t="s">
        <v>758</v>
      </c>
      <c r="C596" t="s">
        <v>576</v>
      </c>
      <c r="D596" t="s">
        <v>589</v>
      </c>
      <c r="E596" s="2">
        <v>0</v>
      </c>
      <c r="F596" s="2">
        <v>0</v>
      </c>
      <c r="G596" s="2">
        <v>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M596" s="2"/>
      <c r="N596" s="2"/>
      <c r="P596" s="1">
        <f>I596-'Passo 1'!I596</f>
        <v>0</v>
      </c>
      <c r="Q596" s="1">
        <f>J596-'Passo 1'!J596</f>
        <v>0</v>
      </c>
      <c r="R596" s="1">
        <f t="shared" si="37"/>
        <v>0</v>
      </c>
      <c r="S596">
        <f t="shared" si="36"/>
        <v>0</v>
      </c>
      <c r="T596" s="1">
        <f t="shared" si="38"/>
        <v>0</v>
      </c>
      <c r="U596" s="1">
        <f t="shared" si="39"/>
        <v>0</v>
      </c>
    </row>
    <row r="597" spans="1:21" x14ac:dyDescent="0.3">
      <c r="A597" t="s">
        <v>359</v>
      </c>
      <c r="B597" t="s">
        <v>759</v>
      </c>
      <c r="C597" t="s">
        <v>574</v>
      </c>
      <c r="D597" t="s">
        <v>575</v>
      </c>
      <c r="E597" s="2">
        <v>96.040999999999997</v>
      </c>
      <c r="F597" s="2">
        <v>0</v>
      </c>
      <c r="G597" s="2">
        <v>25.995000000000001</v>
      </c>
      <c r="H597" s="2">
        <v>-28.587499999999999</v>
      </c>
      <c r="I597" s="1">
        <v>0.77066565321060798</v>
      </c>
      <c r="J597" s="1">
        <v>0.79765933299320002</v>
      </c>
      <c r="K597" s="1">
        <v>0.51204992169100905</v>
      </c>
      <c r="L597" s="1">
        <v>0.55627506451279896</v>
      </c>
      <c r="M597" s="2"/>
      <c r="N597" s="2"/>
      <c r="P597" s="1">
        <f>I597-'Passo 1'!I597</f>
        <v>4.1919596838850937E-2</v>
      </c>
      <c r="Q597" s="1">
        <f>J597-'Passo 1'!J597</f>
        <v>3.9113503607834055E-2</v>
      </c>
      <c r="R597" s="1">
        <f t="shared" si="37"/>
        <v>74.015500000000003</v>
      </c>
      <c r="S597">
        <f t="shared" si="36"/>
        <v>76.607999999999919</v>
      </c>
      <c r="T597" s="1">
        <f t="shared" si="38"/>
        <v>49.177786529126202</v>
      </c>
      <c r="U597" s="1">
        <f t="shared" si="39"/>
        <v>53.425213470873722</v>
      </c>
    </row>
    <row r="598" spans="1:21" x14ac:dyDescent="0.3">
      <c r="A598" t="s">
        <v>359</v>
      </c>
      <c r="B598" t="s">
        <v>441</v>
      </c>
      <c r="C598" t="s">
        <v>574</v>
      </c>
      <c r="D598" t="s">
        <v>575</v>
      </c>
      <c r="E598" s="2">
        <v>138.90199999999999</v>
      </c>
      <c r="F598" s="2">
        <v>0</v>
      </c>
      <c r="G598" s="2">
        <v>68.019499999999994</v>
      </c>
      <c r="H598" s="2">
        <v>-65.549499999999995</v>
      </c>
      <c r="I598" s="1">
        <v>0.98969417287008099</v>
      </c>
      <c r="J598" s="1">
        <v>0.97191185152121595</v>
      </c>
      <c r="K598" s="1">
        <v>0.83319136343432099</v>
      </c>
      <c r="L598" s="1">
        <v>0.62841466095697596</v>
      </c>
      <c r="M598" s="2"/>
      <c r="N598" s="2"/>
      <c r="P598" s="1">
        <f>I598-'Passo 1'!I598</f>
        <v>0.17675411441159994</v>
      </c>
      <c r="Q598" s="1">
        <f>J598-'Passo 1'!J598</f>
        <v>0.18375905314538299</v>
      </c>
      <c r="R598" s="1">
        <f t="shared" si="37"/>
        <v>137.47049999999999</v>
      </c>
      <c r="S598">
        <f t="shared" si="36"/>
        <v>135.00049999999993</v>
      </c>
      <c r="T598" s="1">
        <f t="shared" si="38"/>
        <v>115.73194676375404</v>
      </c>
      <c r="U598" s="1">
        <f t="shared" si="39"/>
        <v>87.288053236245872</v>
      </c>
    </row>
    <row r="599" spans="1:21" x14ac:dyDescent="0.3">
      <c r="A599" t="s">
        <v>359</v>
      </c>
      <c r="B599" t="s">
        <v>442</v>
      </c>
      <c r="C599" t="s">
        <v>574</v>
      </c>
      <c r="D599" t="s">
        <v>575</v>
      </c>
      <c r="E599" s="2">
        <v>471.88900000000001</v>
      </c>
      <c r="F599" s="2">
        <v>0</v>
      </c>
      <c r="G599" s="2">
        <v>226.06049999999999</v>
      </c>
      <c r="H599" s="2">
        <v>-226.33250000000001</v>
      </c>
      <c r="I599" s="1">
        <v>0.97905439626691804</v>
      </c>
      <c r="J599" s="1">
        <v>0.97963080300663896</v>
      </c>
      <c r="K599" s="1">
        <v>0.92398948504845901</v>
      </c>
      <c r="L599" s="1">
        <v>0.53469571422509798</v>
      </c>
      <c r="M599" s="2"/>
      <c r="N599" s="2"/>
      <c r="P599" s="1">
        <f>I599-'Passo 1'!I599</f>
        <v>2.3334936817767993E-2</v>
      </c>
      <c r="Q599" s="1">
        <f>J599-'Passo 1'!J599</f>
        <v>2.7958905590085958E-2</v>
      </c>
      <c r="R599" s="1">
        <f t="shared" si="37"/>
        <v>462.00499999999971</v>
      </c>
      <c r="S599">
        <f t="shared" si="36"/>
        <v>462.27699999999987</v>
      </c>
      <c r="T599" s="1">
        <f t="shared" si="38"/>
        <v>436.0204741100323</v>
      </c>
      <c r="U599" s="1">
        <f t="shared" si="39"/>
        <v>252.31702588996725</v>
      </c>
    </row>
    <row r="600" spans="1:21" x14ac:dyDescent="0.3">
      <c r="A600" t="s">
        <v>359</v>
      </c>
      <c r="B600" t="s">
        <v>760</v>
      </c>
      <c r="C600" t="s">
        <v>574</v>
      </c>
      <c r="D600" t="s">
        <v>575</v>
      </c>
      <c r="E600" s="2">
        <v>364.68099999999998</v>
      </c>
      <c r="F600" s="2">
        <v>0</v>
      </c>
      <c r="G600" s="2">
        <v>169.447</v>
      </c>
      <c r="H600" s="2">
        <v>-169.40949999999901</v>
      </c>
      <c r="I600" s="1">
        <v>0.96464444267729799</v>
      </c>
      <c r="J600" s="1">
        <v>0.96454161308102104</v>
      </c>
      <c r="K600" s="1">
        <v>0.91025942374125601</v>
      </c>
      <c r="L600" s="1">
        <v>0.51892663201706302</v>
      </c>
      <c r="M600" s="2"/>
      <c r="N600" s="2"/>
      <c r="P600" s="1">
        <f>I600-'Passo 1'!I600</f>
        <v>3.1937501542444013E-2</v>
      </c>
      <c r="Q600" s="1">
        <f>J600-'Passo 1'!J600</f>
        <v>3.4425977772354011E-2</v>
      </c>
      <c r="R600" s="1">
        <f t="shared" si="37"/>
        <v>351.78749999999968</v>
      </c>
      <c r="S600">
        <f t="shared" si="36"/>
        <v>351.74999999999983</v>
      </c>
      <c r="T600" s="1">
        <f t="shared" si="38"/>
        <v>331.95431690938494</v>
      </c>
      <c r="U600" s="1">
        <f t="shared" si="39"/>
        <v>189.24268309061455</v>
      </c>
    </row>
    <row r="601" spans="1:21" x14ac:dyDescent="0.3">
      <c r="A601" t="s">
        <v>359</v>
      </c>
      <c r="B601" t="s">
        <v>761</v>
      </c>
      <c r="C601" t="s">
        <v>576</v>
      </c>
      <c r="D601" t="s">
        <v>577</v>
      </c>
      <c r="E601" s="2">
        <v>240.012</v>
      </c>
      <c r="F601" s="2">
        <v>0</v>
      </c>
      <c r="G601" s="2">
        <v>115.15900000000001</v>
      </c>
      <c r="H601" s="2">
        <v>-118.8385</v>
      </c>
      <c r="I601" s="1">
        <v>0.97980517640784603</v>
      </c>
      <c r="J601" s="1">
        <v>0.99513565988367203</v>
      </c>
      <c r="K601" s="1">
        <v>0.92178302981425897</v>
      </c>
      <c r="L601" s="1">
        <v>0.55315780647725898</v>
      </c>
      <c r="M601" s="2"/>
      <c r="N601" s="2"/>
      <c r="P601" s="1">
        <f>I601-'Passo 1'!I601</f>
        <v>7.4744179457694071E-2</v>
      </c>
      <c r="Q601" s="1">
        <f>J601-'Passo 1'!J601</f>
        <v>3.8118927386963986E-2</v>
      </c>
      <c r="R601" s="1">
        <f t="shared" si="37"/>
        <v>235.16499999999994</v>
      </c>
      <c r="S601">
        <f t="shared" si="36"/>
        <v>238.8444999999999</v>
      </c>
      <c r="T601" s="1">
        <f t="shared" si="38"/>
        <v>221.23898855177993</v>
      </c>
      <c r="U601" s="1">
        <f t="shared" si="39"/>
        <v>132.76451144821988</v>
      </c>
    </row>
    <row r="602" spans="1:21" x14ac:dyDescent="0.3">
      <c r="A602" t="s">
        <v>359</v>
      </c>
      <c r="B602" t="s">
        <v>443</v>
      </c>
      <c r="C602" t="s">
        <v>574</v>
      </c>
      <c r="D602" t="s">
        <v>575</v>
      </c>
      <c r="E602" s="2">
        <v>127.104</v>
      </c>
      <c r="F602" s="2">
        <v>0.36899999999999999</v>
      </c>
      <c r="G602" s="2">
        <v>52.734999999999999</v>
      </c>
      <c r="H602" s="2">
        <v>-53.152000000000001</v>
      </c>
      <c r="I602" s="1">
        <v>0.91344489551862995</v>
      </c>
      <c r="J602" s="1">
        <v>0.91672567346424905</v>
      </c>
      <c r="K602" s="1">
        <v>0.67213764549408495</v>
      </c>
      <c r="L602" s="1">
        <v>0.65948449070933801</v>
      </c>
      <c r="M602" s="2"/>
      <c r="N602" s="2"/>
      <c r="P602" s="1">
        <f>I602-'Passo 1'!I602</f>
        <v>9.1676894511580898E-2</v>
      </c>
      <c r="Q602" s="1">
        <f>J602-'Passo 1'!J602</f>
        <v>3.2300320996978993E-2</v>
      </c>
      <c r="R602" s="1">
        <f t="shared" si="37"/>
        <v>116.10249999999994</v>
      </c>
      <c r="S602">
        <f t="shared" si="36"/>
        <v>116.51949999999991</v>
      </c>
      <c r="T602" s="1">
        <f t="shared" si="38"/>
        <v>85.43138329288017</v>
      </c>
      <c r="U602" s="1">
        <f t="shared" si="39"/>
        <v>83.823116707119695</v>
      </c>
    </row>
    <row r="603" spans="1:21" x14ac:dyDescent="0.3">
      <c r="A603" t="s">
        <v>359</v>
      </c>
      <c r="B603" t="s">
        <v>444</v>
      </c>
      <c r="C603" t="s">
        <v>574</v>
      </c>
      <c r="D603" t="s">
        <v>575</v>
      </c>
      <c r="E603" s="2">
        <v>212.18100000000001</v>
      </c>
      <c r="F603" s="2">
        <v>0.16800000000000001</v>
      </c>
      <c r="G603" s="2">
        <v>84.005499999999998</v>
      </c>
      <c r="H603" s="2">
        <v>-83.753500000000003</v>
      </c>
      <c r="I603" s="1">
        <v>0.89551844887148202</v>
      </c>
      <c r="J603" s="1">
        <v>0.894330783623415</v>
      </c>
      <c r="K603" s="1">
        <v>0.62105005787557299</v>
      </c>
      <c r="L603" s="1">
        <v>0.66919506303534604</v>
      </c>
      <c r="M603" s="2"/>
      <c r="N603" s="2"/>
      <c r="P603" s="1">
        <f>I603-'Passo 1'!I603</f>
        <v>5.6574339832502041E-2</v>
      </c>
      <c r="Q603" s="1">
        <f>J603-'Passo 1'!J603</f>
        <v>5.2278479222927055E-2</v>
      </c>
      <c r="R603" s="1">
        <f t="shared" si="37"/>
        <v>190.01199999999994</v>
      </c>
      <c r="S603">
        <f t="shared" si="36"/>
        <v>189.75999999999982</v>
      </c>
      <c r="T603" s="1">
        <f t="shared" si="38"/>
        <v>131.77502233009696</v>
      </c>
      <c r="U603" s="1">
        <f t="shared" si="39"/>
        <v>141.99047766990276</v>
      </c>
    </row>
    <row r="604" spans="1:21" x14ac:dyDescent="0.3">
      <c r="A604" t="s">
        <v>359</v>
      </c>
      <c r="B604" t="s">
        <v>445</v>
      </c>
      <c r="C604" t="s">
        <v>574</v>
      </c>
      <c r="D604" t="s">
        <v>575</v>
      </c>
      <c r="E604" s="2">
        <v>3269.174</v>
      </c>
      <c r="F604" s="2">
        <v>228.54499999999999</v>
      </c>
      <c r="G604" s="2">
        <v>964.54149999999902</v>
      </c>
      <c r="H604" s="2">
        <v>-855.68600000000004</v>
      </c>
      <c r="I604" s="1">
        <v>0.76008679868370399</v>
      </c>
      <c r="J604" s="1">
        <v>0.72678924401087197</v>
      </c>
      <c r="K604" s="1">
        <v>0.578713002666708</v>
      </c>
      <c r="L604" s="1">
        <v>0.44311758817978603</v>
      </c>
      <c r="M604" s="2"/>
      <c r="N604" s="2"/>
      <c r="P604" s="1">
        <f>I604-'Passo 1'!I604</f>
        <v>8.7086982828079029E-2</v>
      </c>
      <c r="Q604" s="1">
        <f>J604-'Passo 1'!J604</f>
        <v>5.2403298203154924E-2</v>
      </c>
      <c r="R604" s="1">
        <f t="shared" si="37"/>
        <v>2484.8559999999993</v>
      </c>
      <c r="S604">
        <f t="shared" si="36"/>
        <v>2376.0004999999983</v>
      </c>
      <c r="T604" s="1">
        <f t="shared" si="38"/>
        <v>1891.9135017799324</v>
      </c>
      <c r="U604" s="1">
        <f t="shared" si="39"/>
        <v>1448.6284982200639</v>
      </c>
    </row>
    <row r="605" spans="1:21" x14ac:dyDescent="0.3">
      <c r="A605" t="s">
        <v>359</v>
      </c>
      <c r="B605" t="s">
        <v>446</v>
      </c>
      <c r="C605" t="s">
        <v>574</v>
      </c>
      <c r="D605" t="s">
        <v>575</v>
      </c>
      <c r="E605" s="2">
        <v>180.29300000000001</v>
      </c>
      <c r="F605" s="2">
        <v>0</v>
      </c>
      <c r="G605" s="2">
        <v>85.201999999999998</v>
      </c>
      <c r="H605" s="2">
        <v>-57.416499999999999</v>
      </c>
      <c r="I605" s="1">
        <v>0.97257519704037299</v>
      </c>
      <c r="J605" s="1">
        <v>0.81846216991230902</v>
      </c>
      <c r="K605" s="1">
        <v>0.743252222420688</v>
      </c>
      <c r="L605" s="1">
        <v>0.54778514453199401</v>
      </c>
      <c r="M605" s="2"/>
      <c r="N605" s="2"/>
      <c r="P605" s="1">
        <f>I605-'Passo 1'!I605</f>
        <v>0.10776347390081698</v>
      </c>
      <c r="Q605" s="1">
        <f>J605-'Passo 1'!J605</f>
        <v>3.9821290898704009E-2</v>
      </c>
      <c r="R605" s="1">
        <f t="shared" si="37"/>
        <v>175.34849999999997</v>
      </c>
      <c r="S605">
        <f t="shared" si="36"/>
        <v>147.56299999999993</v>
      </c>
      <c r="T605" s="1">
        <f t="shared" si="38"/>
        <v>134.00317293689309</v>
      </c>
      <c r="U605" s="1">
        <f t="shared" si="39"/>
        <v>98.761827063106793</v>
      </c>
    </row>
    <row r="606" spans="1:21" x14ac:dyDescent="0.3">
      <c r="A606" t="s">
        <v>359</v>
      </c>
      <c r="B606" t="s">
        <v>447</v>
      </c>
      <c r="C606" t="s">
        <v>576</v>
      </c>
      <c r="D606" t="s">
        <v>14</v>
      </c>
      <c r="E606" s="2">
        <v>49.366999999999997</v>
      </c>
      <c r="F606" s="2">
        <v>0</v>
      </c>
      <c r="G606" s="2">
        <v>17.771999999999998</v>
      </c>
      <c r="H606" s="2">
        <v>-21.201499999999999</v>
      </c>
      <c r="I606" s="1">
        <v>0.85999756922640602</v>
      </c>
      <c r="J606" s="1">
        <v>0.92946705288958198</v>
      </c>
      <c r="K606" s="1">
        <v>0.70172693746192405</v>
      </c>
      <c r="L606" s="1">
        <v>0.58773768465406295</v>
      </c>
      <c r="M606" s="2"/>
      <c r="N606" s="2"/>
      <c r="P606" s="1">
        <f>I606-'Passo 1'!I606</f>
        <v>0.101859541799178</v>
      </c>
      <c r="Q606" s="1">
        <f>J606-'Passo 1'!J606</f>
        <v>0.10952660684262794</v>
      </c>
      <c r="R606" s="1">
        <f t="shared" si="37"/>
        <v>42.455499999999986</v>
      </c>
      <c r="S606">
        <f t="shared" si="36"/>
        <v>45.884999999999991</v>
      </c>
      <c r="T606" s="1">
        <f t="shared" si="38"/>
        <v>34.642153721682803</v>
      </c>
      <c r="U606" s="1">
        <f t="shared" si="39"/>
        <v>29.014846278317123</v>
      </c>
    </row>
    <row r="607" spans="1:21" x14ac:dyDescent="0.3">
      <c r="A607" t="s">
        <v>359</v>
      </c>
      <c r="B607" t="s">
        <v>762</v>
      </c>
      <c r="C607" t="s">
        <v>574</v>
      </c>
      <c r="D607" t="s">
        <v>575</v>
      </c>
      <c r="E607" s="2">
        <v>393.26100000000002</v>
      </c>
      <c r="F607" s="2">
        <v>12.045</v>
      </c>
      <c r="G607" s="2">
        <v>89.605999999999995</v>
      </c>
      <c r="H607" s="2">
        <v>-81.323499999999996</v>
      </c>
      <c r="I607" s="1">
        <v>0.71253950938435195</v>
      </c>
      <c r="J607" s="1">
        <v>0.69147843289825295</v>
      </c>
      <c r="K607" s="1">
        <v>0.53042708183072196</v>
      </c>
      <c r="L607" s="1">
        <v>0.38890511739574501</v>
      </c>
      <c r="M607" s="2"/>
      <c r="N607" s="2"/>
      <c r="P607" s="1">
        <f>I607-'Passo 1'!I607</f>
        <v>6.6261337890102912E-2</v>
      </c>
      <c r="Q607" s="1">
        <f>J607-'Passo 1'!J607</f>
        <v>9.0626835612989898E-2</v>
      </c>
      <c r="R607" s="1">
        <f t="shared" si="37"/>
        <v>280.21399999999966</v>
      </c>
      <c r="S607">
        <f t="shared" si="36"/>
        <v>271.93149999999986</v>
      </c>
      <c r="T607" s="1">
        <f t="shared" si="38"/>
        <v>208.59628462783155</v>
      </c>
      <c r="U607" s="1">
        <f t="shared" si="39"/>
        <v>152.9412153721681</v>
      </c>
    </row>
    <row r="608" spans="1:21" x14ac:dyDescent="0.3">
      <c r="A608" t="s">
        <v>359</v>
      </c>
      <c r="B608" t="s">
        <v>448</v>
      </c>
      <c r="C608" t="s">
        <v>574</v>
      </c>
      <c r="D608" t="s">
        <v>575</v>
      </c>
      <c r="E608" s="2">
        <v>4232.8969999999999</v>
      </c>
      <c r="F608" s="2">
        <v>368.28</v>
      </c>
      <c r="G608" s="2">
        <v>1051.5705</v>
      </c>
      <c r="H608" s="2">
        <v>-820.33799999999906</v>
      </c>
      <c r="I608" s="1">
        <v>0.70492596441633204</v>
      </c>
      <c r="J608" s="1">
        <v>0.65029848352085995</v>
      </c>
      <c r="K608" s="1">
        <v>0.54250038148760404</v>
      </c>
      <c r="L608" s="1">
        <v>0.35622618804621597</v>
      </c>
      <c r="M608" s="2"/>
      <c r="N608" s="2"/>
      <c r="P608" s="1">
        <f>I608-'Passo 1'!I608</f>
        <v>6.499744737469404E-2</v>
      </c>
      <c r="Q608" s="1">
        <f>J608-'Passo 1'!J608</f>
        <v>-5.3155085040001993E-5</v>
      </c>
      <c r="R608" s="1">
        <f t="shared" si="37"/>
        <v>2983.8789999999985</v>
      </c>
      <c r="S608">
        <f t="shared" si="36"/>
        <v>2752.6464999999976</v>
      </c>
      <c r="T608" s="1">
        <f t="shared" si="38"/>
        <v>2296.3482372977346</v>
      </c>
      <c r="U608" s="1">
        <f t="shared" si="39"/>
        <v>1507.8687627022634</v>
      </c>
    </row>
    <row r="609" spans="1:21" x14ac:dyDescent="0.3">
      <c r="A609" t="s">
        <v>359</v>
      </c>
      <c r="B609" t="s">
        <v>449</v>
      </c>
      <c r="C609" t="s">
        <v>574</v>
      </c>
      <c r="D609" t="s">
        <v>575</v>
      </c>
      <c r="E609" s="2">
        <v>7014.2790000000005</v>
      </c>
      <c r="F609" s="2">
        <v>1890.4549999999999</v>
      </c>
      <c r="G609" s="2">
        <v>1136.9000000000001</v>
      </c>
      <c r="H609" s="2">
        <v>-1074.8909999999901</v>
      </c>
      <c r="I609" s="1">
        <v>0.52732604448725195</v>
      </c>
      <c r="J609" s="1">
        <v>0.51848564905958205</v>
      </c>
      <c r="K609" s="1">
        <v>0.39834565774138297</v>
      </c>
      <c r="L609" s="1">
        <v>0.28222364952455198</v>
      </c>
      <c r="M609" s="2"/>
      <c r="N609" s="2"/>
      <c r="P609" s="1">
        <f>I609-'Passo 1'!I609</f>
        <v>5.433544916020594E-2</v>
      </c>
      <c r="Q609" s="1">
        <f>J609-'Passo 1'!J609</f>
        <v>5.0040567248608059E-2</v>
      </c>
      <c r="R609" s="1">
        <f t="shared" si="37"/>
        <v>3698.8119999999972</v>
      </c>
      <c r="S609">
        <f t="shared" si="36"/>
        <v>3636.8029999999962</v>
      </c>
      <c r="T609" s="1">
        <f t="shared" si="38"/>
        <v>2794.1075818365703</v>
      </c>
      <c r="U609" s="1">
        <f t="shared" si="39"/>
        <v>1979.5954181634252</v>
      </c>
    </row>
    <row r="610" spans="1:21" x14ac:dyDescent="0.3">
      <c r="A610" t="s">
        <v>359</v>
      </c>
      <c r="B610" t="s">
        <v>450</v>
      </c>
      <c r="C610" t="s">
        <v>574</v>
      </c>
      <c r="D610" t="s">
        <v>575</v>
      </c>
      <c r="E610" s="2">
        <v>61.072000000000003</v>
      </c>
      <c r="F610" s="2">
        <v>0</v>
      </c>
      <c r="G610" s="2">
        <v>30.510999999999999</v>
      </c>
      <c r="H610" s="2">
        <v>-30.500499999999999</v>
      </c>
      <c r="I610" s="1">
        <v>0.99959064710505596</v>
      </c>
      <c r="J610" s="1">
        <v>0.99941871888917999</v>
      </c>
      <c r="K610" s="1">
        <v>0.67542790890141402</v>
      </c>
      <c r="L610" s="1">
        <v>0.82358145709282105</v>
      </c>
      <c r="M610" s="2"/>
      <c r="N610" s="2"/>
      <c r="P610" s="1">
        <f>I610-'Passo 1'!I610</f>
        <v>0.12816839140686398</v>
      </c>
      <c r="Q610" s="1">
        <f>J610-'Passo 1'!J610</f>
        <v>4.4906012575321008E-2</v>
      </c>
      <c r="R610" s="1">
        <f t="shared" si="37"/>
        <v>61.046999999999983</v>
      </c>
      <c r="S610">
        <f t="shared" si="36"/>
        <v>61.036500000000004</v>
      </c>
      <c r="T610" s="1">
        <f t="shared" si="38"/>
        <v>41.249733252427156</v>
      </c>
      <c r="U610" s="1">
        <f t="shared" si="39"/>
        <v>50.297766747572766</v>
      </c>
    </row>
    <row r="611" spans="1:21" x14ac:dyDescent="0.3">
      <c r="A611" t="s">
        <v>359</v>
      </c>
      <c r="B611" t="s">
        <v>451</v>
      </c>
      <c r="C611" t="s">
        <v>574</v>
      </c>
      <c r="D611" t="s">
        <v>575</v>
      </c>
      <c r="E611" s="2">
        <v>96.25</v>
      </c>
      <c r="F611" s="2">
        <v>0</v>
      </c>
      <c r="G611" s="2">
        <v>47.475000000000001</v>
      </c>
      <c r="H611" s="2">
        <v>-47.820999999999998</v>
      </c>
      <c r="I611" s="1">
        <v>0.99324675324675304</v>
      </c>
      <c r="J611" s="1">
        <v>0.99684155844155797</v>
      </c>
      <c r="K611" s="1">
        <v>0.68269121548354506</v>
      </c>
      <c r="L611" s="1">
        <v>0.80739709620476596</v>
      </c>
      <c r="M611" s="2"/>
      <c r="N611" s="2"/>
      <c r="P611" s="1">
        <f>I611-'Passo 1'!I611</f>
        <v>0.19784415584415604</v>
      </c>
      <c r="Q611" s="1">
        <f>J611-'Passo 1'!J611</f>
        <v>5.0472727272727003E-2</v>
      </c>
      <c r="R611" s="1">
        <f t="shared" si="37"/>
        <v>95.59999999999998</v>
      </c>
      <c r="S611">
        <f t="shared" si="36"/>
        <v>95.945999999999955</v>
      </c>
      <c r="T611" s="1">
        <f t="shared" si="38"/>
        <v>65.709029490291215</v>
      </c>
      <c r="U611" s="1">
        <f t="shared" si="39"/>
        <v>77.711970509708721</v>
      </c>
    </row>
    <row r="612" spans="1:21" x14ac:dyDescent="0.3">
      <c r="A612" t="s">
        <v>359</v>
      </c>
      <c r="B612" t="s">
        <v>452</v>
      </c>
      <c r="C612" t="s">
        <v>576</v>
      </c>
      <c r="D612" t="s">
        <v>14</v>
      </c>
      <c r="E612" s="2">
        <v>29</v>
      </c>
      <c r="F612" s="2">
        <v>0</v>
      </c>
      <c r="G612" s="2">
        <v>9.9860000000000007</v>
      </c>
      <c r="H612" s="2">
        <v>-12.4895</v>
      </c>
      <c r="I612" s="1">
        <v>0.84434482758620599</v>
      </c>
      <c r="J612" s="1">
        <v>0.93067241379310295</v>
      </c>
      <c r="K612" s="1">
        <v>0.64959316482535401</v>
      </c>
      <c r="L612" s="1">
        <v>0.62542407655395504</v>
      </c>
      <c r="M612" s="2"/>
      <c r="N612" s="2"/>
      <c r="P612" s="1">
        <f>I612-'Passo 1'!I612</f>
        <v>0.12039655172413699</v>
      </c>
      <c r="Q612" s="1">
        <f>J612-'Passo 1'!J612</f>
        <v>0</v>
      </c>
      <c r="R612" s="1">
        <f t="shared" si="37"/>
        <v>24.485999999999972</v>
      </c>
      <c r="S612">
        <f t="shared" si="36"/>
        <v>26.989499999999985</v>
      </c>
      <c r="T612" s="1">
        <f t="shared" si="38"/>
        <v>18.838201779935265</v>
      </c>
      <c r="U612" s="1">
        <f t="shared" si="39"/>
        <v>18.137298220064697</v>
      </c>
    </row>
    <row r="613" spans="1:21" x14ac:dyDescent="0.3">
      <c r="A613" t="s">
        <v>359</v>
      </c>
      <c r="B613" t="s">
        <v>453</v>
      </c>
      <c r="C613" t="s">
        <v>574</v>
      </c>
      <c r="D613" t="s">
        <v>575</v>
      </c>
      <c r="E613" s="2">
        <v>2103.1109999999999</v>
      </c>
      <c r="F613" s="2">
        <v>193.34</v>
      </c>
      <c r="G613" s="2">
        <v>915.72349999999994</v>
      </c>
      <c r="H613" s="2">
        <v>-874.97799999999995</v>
      </c>
      <c r="I613" s="1">
        <v>0.88944853600214102</v>
      </c>
      <c r="J613" s="1">
        <v>0.87007461803014596</v>
      </c>
      <c r="K613" s="1">
        <v>0.75919817918715604</v>
      </c>
      <c r="L613" s="1">
        <v>0.54629021395994803</v>
      </c>
      <c r="M613" s="2"/>
      <c r="N613" s="2"/>
      <c r="P613" s="1">
        <f>I613-'Passo 1'!I613</f>
        <v>0.100377963883028</v>
      </c>
      <c r="Q613" s="1">
        <f>J613-'Passo 1'!J613</f>
        <v>0.11493401917445101</v>
      </c>
      <c r="R613" s="1">
        <f t="shared" si="37"/>
        <v>1870.6089999999988</v>
      </c>
      <c r="S613">
        <f t="shared" si="36"/>
        <v>1829.8634999999981</v>
      </c>
      <c r="T613" s="1">
        <f t="shared" si="38"/>
        <v>1596.6780418284789</v>
      </c>
      <c r="U613" s="1">
        <f t="shared" si="39"/>
        <v>1148.9089581715202</v>
      </c>
    </row>
    <row r="614" spans="1:21" x14ac:dyDescent="0.3">
      <c r="A614" t="s">
        <v>359</v>
      </c>
      <c r="B614" t="s">
        <v>454</v>
      </c>
      <c r="C614" t="s">
        <v>574</v>
      </c>
      <c r="D614" t="s">
        <v>575</v>
      </c>
      <c r="E614" s="2">
        <v>51</v>
      </c>
      <c r="F614" s="2">
        <v>8.2690000000000001</v>
      </c>
      <c r="G614" s="2">
        <v>11.899999999999901</v>
      </c>
      <c r="H614" s="2">
        <v>-10.663500000000001</v>
      </c>
      <c r="I614" s="1">
        <v>0.65226470588235297</v>
      </c>
      <c r="J614" s="1">
        <v>0.62801960784313704</v>
      </c>
      <c r="K614" s="1">
        <v>0.53114499492353495</v>
      </c>
      <c r="L614" s="1">
        <v>0.33020794625293398</v>
      </c>
      <c r="M614" s="2"/>
      <c r="N614" s="2"/>
      <c r="P614" s="1">
        <f>I614-'Passo 1'!I614</f>
        <v>2.8225490196079006E-2</v>
      </c>
      <c r="Q614" s="1">
        <f>J614-'Passo 1'!J614</f>
        <v>4.3647058823530038E-2</v>
      </c>
      <c r="R614" s="1">
        <f t="shared" si="37"/>
        <v>33.265500000000003</v>
      </c>
      <c r="S614">
        <f t="shared" si="36"/>
        <v>32.028999999999989</v>
      </c>
      <c r="T614" s="1">
        <f t="shared" si="38"/>
        <v>27.088394741100281</v>
      </c>
      <c r="U614" s="1">
        <f t="shared" si="39"/>
        <v>16.840605258899632</v>
      </c>
    </row>
    <row r="615" spans="1:21" x14ac:dyDescent="0.3">
      <c r="A615" t="s">
        <v>359</v>
      </c>
      <c r="B615" t="s">
        <v>455</v>
      </c>
      <c r="C615" t="s">
        <v>574</v>
      </c>
      <c r="D615" t="s">
        <v>575</v>
      </c>
      <c r="E615" s="2">
        <v>408.15100000000001</v>
      </c>
      <c r="F615" s="2">
        <v>0</v>
      </c>
      <c r="G615" s="2">
        <v>162.0985</v>
      </c>
      <c r="H615" s="2">
        <v>-163.4325</v>
      </c>
      <c r="I615" s="1">
        <v>0.89715325945544599</v>
      </c>
      <c r="J615" s="1">
        <v>0.90042165767081295</v>
      </c>
      <c r="K615" s="1">
        <v>0.58249824833611596</v>
      </c>
      <c r="L615" s="1">
        <v>0.71507666879014298</v>
      </c>
      <c r="M615" s="2"/>
      <c r="N615" s="2"/>
      <c r="P615" s="1">
        <f>I615-'Passo 1'!I615</f>
        <v>1.2794284468248041E-2</v>
      </c>
      <c r="Q615" s="1">
        <f>J615-'Passo 1'!J615</f>
        <v>3.556771880995091E-2</v>
      </c>
      <c r="R615" s="1">
        <f t="shared" si="37"/>
        <v>366.17399999999975</v>
      </c>
      <c r="S615">
        <f t="shared" si="36"/>
        <v>367.50799999999998</v>
      </c>
      <c r="T615" s="1">
        <f t="shared" si="38"/>
        <v>237.74724255663406</v>
      </c>
      <c r="U615" s="1">
        <f t="shared" si="39"/>
        <v>291.85925744336566</v>
      </c>
    </row>
    <row r="616" spans="1:21" x14ac:dyDescent="0.3">
      <c r="A616" t="s">
        <v>359</v>
      </c>
      <c r="B616" t="s">
        <v>456</v>
      </c>
      <c r="C616" t="s">
        <v>574</v>
      </c>
      <c r="D616" t="s">
        <v>575</v>
      </c>
      <c r="E616" s="2">
        <v>25.63</v>
      </c>
      <c r="F616" s="2">
        <v>0</v>
      </c>
      <c r="G616" s="2">
        <v>10.077499999999899</v>
      </c>
      <c r="H616" s="2">
        <v>-10.111499999999999</v>
      </c>
      <c r="I616" s="1">
        <v>0.89319157237612101</v>
      </c>
      <c r="J616" s="1">
        <v>0.89451814280140396</v>
      </c>
      <c r="K616" s="1">
        <v>0.74569119515080795</v>
      </c>
      <c r="L616" s="1">
        <v>0.54201852002671802</v>
      </c>
      <c r="M616" s="2"/>
      <c r="N616" s="2"/>
      <c r="P616" s="1">
        <f>I616-'Passo 1'!I616</f>
        <v>0.14970737417089297</v>
      </c>
      <c r="Q616" s="1">
        <f>J616-'Passo 1'!J616</f>
        <v>0.15870074131876699</v>
      </c>
      <c r="R616" s="1">
        <f t="shared" si="37"/>
        <v>22.892499999999981</v>
      </c>
      <c r="S616">
        <f t="shared" si="36"/>
        <v>22.926499999999983</v>
      </c>
      <c r="T616" s="1">
        <f t="shared" si="38"/>
        <v>19.112065331715208</v>
      </c>
      <c r="U616" s="1">
        <f t="shared" si="39"/>
        <v>13.891934668284783</v>
      </c>
    </row>
    <row r="617" spans="1:21" x14ac:dyDescent="0.3">
      <c r="A617" t="s">
        <v>359</v>
      </c>
      <c r="B617" t="s">
        <v>457</v>
      </c>
      <c r="C617" t="s">
        <v>574</v>
      </c>
      <c r="D617" t="s">
        <v>575</v>
      </c>
      <c r="E617" s="2">
        <v>117.72499999999999</v>
      </c>
      <c r="F617" s="2">
        <v>0</v>
      </c>
      <c r="G617" s="2">
        <v>39.969499999999996</v>
      </c>
      <c r="H617" s="2">
        <v>-31.543999999999901</v>
      </c>
      <c r="I617" s="1">
        <v>0.83951582076873998</v>
      </c>
      <c r="J617" s="1">
        <v>0.76794648545338695</v>
      </c>
      <c r="K617" s="1">
        <v>0.58067966903560597</v>
      </c>
      <c r="L617" s="1">
        <v>0.52678263718651996</v>
      </c>
      <c r="M617" s="2"/>
      <c r="N617" s="2"/>
      <c r="P617" s="1">
        <f>I617-'Passo 1'!I617</f>
        <v>4.9649607135273E-2</v>
      </c>
      <c r="Q617" s="1">
        <f>J617-'Passo 1'!J617</f>
        <v>4.0840942875344899E-2</v>
      </c>
      <c r="R617" s="1">
        <f t="shared" si="37"/>
        <v>98.831999999999908</v>
      </c>
      <c r="S617">
        <f t="shared" si="36"/>
        <v>90.40649999999998</v>
      </c>
      <c r="T617" s="1">
        <f t="shared" si="38"/>
        <v>68.360514037216703</v>
      </c>
      <c r="U617" s="1">
        <f t="shared" si="39"/>
        <v>62.01548596278306</v>
      </c>
    </row>
    <row r="618" spans="1:21" x14ac:dyDescent="0.3">
      <c r="A618" t="s">
        <v>359</v>
      </c>
      <c r="B618" t="s">
        <v>458</v>
      </c>
      <c r="C618" t="s">
        <v>574</v>
      </c>
      <c r="D618" t="s">
        <v>575</v>
      </c>
      <c r="E618" s="2">
        <v>3596.85</v>
      </c>
      <c r="F618" s="2">
        <v>4.9960000000000004</v>
      </c>
      <c r="G618" s="2">
        <v>941.68149999999901</v>
      </c>
      <c r="H618" s="2">
        <v>-854.10849999999903</v>
      </c>
      <c r="I618" s="1">
        <v>0.76111277923738796</v>
      </c>
      <c r="J618" s="1">
        <v>0.736765642159111</v>
      </c>
      <c r="K618" s="1">
        <v>0.51577048058007202</v>
      </c>
      <c r="L618" s="1">
        <v>0.48280243738981699</v>
      </c>
      <c r="M618" s="2"/>
      <c r="N618" s="2"/>
      <c r="P618" s="1">
        <f>I618-'Passo 1'!I618</f>
        <v>9.092108372603791E-2</v>
      </c>
      <c r="Q618" s="1">
        <f>J618-'Passo 1'!J618</f>
        <v>5.3068657297356991E-2</v>
      </c>
      <c r="R618" s="1">
        <f t="shared" si="37"/>
        <v>2737.6084999999989</v>
      </c>
      <c r="S618">
        <f t="shared" si="36"/>
        <v>2650.0354999999981</v>
      </c>
      <c r="T618" s="1">
        <f t="shared" si="38"/>
        <v>1855.149053074432</v>
      </c>
      <c r="U618" s="1">
        <f t="shared" si="39"/>
        <v>1736.5679469255631</v>
      </c>
    </row>
    <row r="619" spans="1:21" x14ac:dyDescent="0.3">
      <c r="A619" t="s">
        <v>359</v>
      </c>
      <c r="B619" t="s">
        <v>459</v>
      </c>
      <c r="C619" t="s">
        <v>576</v>
      </c>
      <c r="D619" t="s">
        <v>577</v>
      </c>
      <c r="E619" s="2">
        <v>88.7</v>
      </c>
      <c r="F619" s="2">
        <v>0</v>
      </c>
      <c r="G619" s="2">
        <v>44.25</v>
      </c>
      <c r="H619" s="2">
        <v>-44.274999999999999</v>
      </c>
      <c r="I619" s="1">
        <v>0.99887260428410296</v>
      </c>
      <c r="J619" s="1">
        <v>0.99915445321307705</v>
      </c>
      <c r="K619" s="1">
        <v>0.96400200486713805</v>
      </c>
      <c r="L619" s="1">
        <v>0.53402505263004196</v>
      </c>
      <c r="M619" s="2"/>
      <c r="N619" s="2"/>
      <c r="P619" s="1">
        <f>I619-'Passo 1'!I619</f>
        <v>3.4103720405861959E-2</v>
      </c>
      <c r="Q619" s="1">
        <f>J619-'Passo 1'!J619</f>
        <v>1.2666290868095009E-2</v>
      </c>
      <c r="R619" s="1">
        <f t="shared" si="37"/>
        <v>88.599999999999937</v>
      </c>
      <c r="S619">
        <f t="shared" si="36"/>
        <v>88.624999999999943</v>
      </c>
      <c r="T619" s="1">
        <f t="shared" si="38"/>
        <v>85.506977831715147</v>
      </c>
      <c r="U619" s="1">
        <f t="shared" si="39"/>
        <v>47.368022168284725</v>
      </c>
    </row>
    <row r="620" spans="1:21" x14ac:dyDescent="0.3">
      <c r="A620" t="s">
        <v>359</v>
      </c>
      <c r="B620" t="s">
        <v>763</v>
      </c>
      <c r="C620" t="s">
        <v>574</v>
      </c>
      <c r="D620" t="s">
        <v>575</v>
      </c>
      <c r="E620" s="2">
        <v>1344.8040000000001</v>
      </c>
      <c r="F620" s="2">
        <v>205.78200000000001</v>
      </c>
      <c r="G620" s="2">
        <v>281.83249999999998</v>
      </c>
      <c r="H620" s="2">
        <v>-317.00900000000001</v>
      </c>
      <c r="I620" s="1">
        <v>0.633061397794771</v>
      </c>
      <c r="J620" s="1">
        <v>0.65921874116971602</v>
      </c>
      <c r="K620" s="1">
        <v>0.416912859350618</v>
      </c>
      <c r="L620" s="1">
        <v>0.45187731378985402</v>
      </c>
      <c r="M620" s="2"/>
      <c r="N620" s="2"/>
      <c r="P620" s="1">
        <f>I620-'Passo 1'!I620</f>
        <v>4.0652392467600995E-2</v>
      </c>
      <c r="Q620" s="1">
        <f>J620-'Passo 1'!J620</f>
        <v>8.6342322003800986E-2</v>
      </c>
      <c r="R620" s="1">
        <f t="shared" si="37"/>
        <v>851.34349999999927</v>
      </c>
      <c r="S620">
        <f t="shared" si="36"/>
        <v>886.51999999999884</v>
      </c>
      <c r="T620" s="1">
        <f t="shared" si="38"/>
        <v>560.66608090614852</v>
      </c>
      <c r="U620" s="1">
        <f t="shared" si="39"/>
        <v>607.68641909385087</v>
      </c>
    </row>
    <row r="621" spans="1:21" x14ac:dyDescent="0.3">
      <c r="A621" t="s">
        <v>359</v>
      </c>
      <c r="B621" t="s">
        <v>460</v>
      </c>
      <c r="C621" t="s">
        <v>574</v>
      </c>
      <c r="D621" t="s">
        <v>575</v>
      </c>
      <c r="E621" s="2">
        <v>97.71</v>
      </c>
      <c r="F621" s="2">
        <v>0</v>
      </c>
      <c r="G621" s="2">
        <v>27.148999999999901</v>
      </c>
      <c r="H621" s="2">
        <v>-13.000499999999899</v>
      </c>
      <c r="I621" s="1">
        <v>0.77785282980247605</v>
      </c>
      <c r="J621" s="1">
        <v>0.63305188824071201</v>
      </c>
      <c r="K621" s="1">
        <v>0.601216368180856</v>
      </c>
      <c r="L621" s="1">
        <v>0.30968834986233201</v>
      </c>
      <c r="M621" s="2"/>
      <c r="N621" s="2"/>
      <c r="P621" s="1">
        <f>I621-'Passo 1'!I621</f>
        <v>6.3969910961007015E-2</v>
      </c>
      <c r="Q621" s="1">
        <f>J621-'Passo 1'!J621</f>
        <v>1.3698700235390993E-2</v>
      </c>
      <c r="R621" s="1">
        <f t="shared" si="37"/>
        <v>76.003999999999934</v>
      </c>
      <c r="S621">
        <f t="shared" si="36"/>
        <v>61.855499999999964</v>
      </c>
      <c r="T621" s="1">
        <f t="shared" si="38"/>
        <v>58.744851334951434</v>
      </c>
      <c r="U621" s="1">
        <f t="shared" si="39"/>
        <v>30.259648665048459</v>
      </c>
    </row>
    <row r="622" spans="1:21" x14ac:dyDescent="0.3">
      <c r="A622" t="s">
        <v>359</v>
      </c>
      <c r="B622" t="s">
        <v>461</v>
      </c>
      <c r="C622" t="s">
        <v>576</v>
      </c>
      <c r="D622" t="s">
        <v>577</v>
      </c>
      <c r="E622" s="2">
        <v>252.399</v>
      </c>
      <c r="F622" s="2">
        <v>0</v>
      </c>
      <c r="G622" s="2">
        <v>111.67749999999999</v>
      </c>
      <c r="H622" s="2">
        <v>-121.3045</v>
      </c>
      <c r="I622" s="1">
        <v>0.94246411435861399</v>
      </c>
      <c r="J622" s="1">
        <v>0.980606103827669</v>
      </c>
      <c r="K622" s="1">
        <v>0.85957640850566197</v>
      </c>
      <c r="L622" s="1">
        <v>0.56349380968062102</v>
      </c>
      <c r="M622" s="2"/>
      <c r="N622" s="2"/>
      <c r="P622" s="1">
        <f>I622-'Passo 1'!I622</f>
        <v>6.4453504173946019E-2</v>
      </c>
      <c r="Q622" s="1">
        <f>J622-'Passo 1'!J622</f>
        <v>6.019239378919905E-2</v>
      </c>
      <c r="R622" s="1">
        <f t="shared" si="37"/>
        <v>237.87699999999981</v>
      </c>
      <c r="S622">
        <f t="shared" si="36"/>
        <v>247.50399999999982</v>
      </c>
      <c r="T622" s="1">
        <f t="shared" si="38"/>
        <v>216.95622593042057</v>
      </c>
      <c r="U622" s="1">
        <f t="shared" si="39"/>
        <v>142.22527406957906</v>
      </c>
    </row>
    <row r="623" spans="1:21" x14ac:dyDescent="0.3">
      <c r="A623" t="s">
        <v>359</v>
      </c>
      <c r="B623" t="s">
        <v>462</v>
      </c>
      <c r="C623" t="s">
        <v>576</v>
      </c>
      <c r="D623" t="s">
        <v>577</v>
      </c>
      <c r="E623" s="2">
        <v>116.724</v>
      </c>
      <c r="F623" s="2">
        <v>0</v>
      </c>
      <c r="G623" s="2">
        <v>54.772500000000001</v>
      </c>
      <c r="H623" s="2">
        <v>-58.295999999999999</v>
      </c>
      <c r="I623" s="1">
        <v>0.96924796956923998</v>
      </c>
      <c r="J623" s="1">
        <v>0.999434563585894</v>
      </c>
      <c r="K623" s="1">
        <v>0.94403420707316199</v>
      </c>
      <c r="L623" s="1">
        <v>0.52464832608197298</v>
      </c>
      <c r="M623" s="2"/>
      <c r="N623" s="2"/>
      <c r="P623" s="1">
        <f>I623-'Passo 1'!I623</f>
        <v>9.7186525478907937E-2</v>
      </c>
      <c r="Q623" s="1">
        <f>J623-'Passo 1'!J623</f>
        <v>7.1095061855316E-2</v>
      </c>
      <c r="R623" s="1">
        <f t="shared" si="37"/>
        <v>113.13449999999997</v>
      </c>
      <c r="S623">
        <f t="shared" si="36"/>
        <v>116.6579999999999</v>
      </c>
      <c r="T623" s="1">
        <f t="shared" si="38"/>
        <v>110.19144878640776</v>
      </c>
      <c r="U623" s="1">
        <f t="shared" si="39"/>
        <v>61.239051213592219</v>
      </c>
    </row>
    <row r="624" spans="1:21" x14ac:dyDescent="0.3">
      <c r="A624" t="s">
        <v>359</v>
      </c>
      <c r="B624" t="s">
        <v>463</v>
      </c>
      <c r="C624" t="s">
        <v>576</v>
      </c>
      <c r="D624" t="s">
        <v>14</v>
      </c>
      <c r="E624" s="2">
        <v>23.449000000000002</v>
      </c>
      <c r="F624" s="2">
        <v>0</v>
      </c>
      <c r="G624" s="2">
        <v>11.724500000000001</v>
      </c>
      <c r="H624" s="2">
        <v>-2.5000000000000001E-2</v>
      </c>
      <c r="I624" s="1">
        <v>1</v>
      </c>
      <c r="J624" s="1">
        <v>0.501066143545567</v>
      </c>
      <c r="K624" s="1">
        <v>0.53737038473926202</v>
      </c>
      <c r="L624" s="1">
        <v>0.46369575880630398</v>
      </c>
      <c r="M624" s="2"/>
      <c r="N624" s="2"/>
      <c r="P624" s="1">
        <f>I624-'Passo 1'!I624</f>
        <v>1.8764126401978998E-2</v>
      </c>
      <c r="Q624" s="1">
        <f>J624-'Passo 1'!J624</f>
        <v>0</v>
      </c>
      <c r="R624" s="1">
        <f t="shared" si="37"/>
        <v>23.449000000000002</v>
      </c>
      <c r="S624">
        <f t="shared" si="36"/>
        <v>11.749500000000001</v>
      </c>
      <c r="T624" s="1">
        <f t="shared" si="38"/>
        <v>12.600798151750956</v>
      </c>
      <c r="U624" s="1">
        <f t="shared" si="39"/>
        <v>10.873201848249023</v>
      </c>
    </row>
    <row r="625" spans="1:21" x14ac:dyDescent="0.3">
      <c r="A625" t="s">
        <v>359</v>
      </c>
      <c r="B625" t="s">
        <v>464</v>
      </c>
      <c r="C625" t="s">
        <v>574</v>
      </c>
      <c r="D625" t="s">
        <v>575</v>
      </c>
      <c r="E625" s="2">
        <v>0</v>
      </c>
      <c r="F625" s="2">
        <v>0</v>
      </c>
      <c r="G625" s="2">
        <v>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M625" s="2"/>
      <c r="N625" s="2"/>
      <c r="P625" s="1">
        <f>I625-'Passo 1'!I625</f>
        <v>0</v>
      </c>
      <c r="Q625" s="1">
        <f>J625-'Passo 1'!J625</f>
        <v>0</v>
      </c>
      <c r="R625" s="1">
        <f t="shared" si="37"/>
        <v>0</v>
      </c>
      <c r="S625">
        <f t="shared" si="36"/>
        <v>0</v>
      </c>
      <c r="T625" s="1">
        <f t="shared" si="38"/>
        <v>0</v>
      </c>
      <c r="U625" s="1">
        <f t="shared" si="39"/>
        <v>0</v>
      </c>
    </row>
    <row r="626" spans="1:21" x14ac:dyDescent="0.3">
      <c r="A626" t="s">
        <v>359</v>
      </c>
      <c r="B626" t="s">
        <v>465</v>
      </c>
      <c r="C626" t="s">
        <v>574</v>
      </c>
      <c r="D626" t="s">
        <v>575</v>
      </c>
      <c r="E626" s="2">
        <v>903.21900000000005</v>
      </c>
      <c r="F626" s="2">
        <v>103.15</v>
      </c>
      <c r="G626" s="2">
        <v>348.73250000000002</v>
      </c>
      <c r="H626" s="2">
        <v>-350.11900000000003</v>
      </c>
      <c r="I626" s="1">
        <v>0.82899828280848797</v>
      </c>
      <c r="J626" s="1">
        <v>0.83053334794772904</v>
      </c>
      <c r="K626" s="1">
        <v>0.599775215880062</v>
      </c>
      <c r="L626" s="1">
        <v>0.61685773803255395</v>
      </c>
      <c r="M626" s="2"/>
      <c r="N626" s="2"/>
      <c r="P626" s="1">
        <f>I626-'Passo 1'!I626</f>
        <v>5.3182007907274009E-2</v>
      </c>
      <c r="Q626" s="1">
        <f>J626-'Passo 1'!J626</f>
        <v>4.4986321146920027E-2</v>
      </c>
      <c r="R626" s="1">
        <f t="shared" si="37"/>
        <v>748.76699999999971</v>
      </c>
      <c r="S626">
        <f t="shared" si="36"/>
        <v>750.15349999999989</v>
      </c>
      <c r="T626" s="1">
        <f t="shared" si="38"/>
        <v>541.72837071197375</v>
      </c>
      <c r="U626" s="1">
        <f t="shared" si="39"/>
        <v>557.15762928802542</v>
      </c>
    </row>
    <row r="627" spans="1:21" x14ac:dyDescent="0.3">
      <c r="A627" t="s">
        <v>359</v>
      </c>
      <c r="B627" t="s">
        <v>466</v>
      </c>
      <c r="C627" t="s">
        <v>574</v>
      </c>
      <c r="D627" t="s">
        <v>575</v>
      </c>
      <c r="E627" s="2">
        <v>31.109000000000002</v>
      </c>
      <c r="F627" s="2">
        <v>0</v>
      </c>
      <c r="G627" s="2">
        <v>10.678000000000001</v>
      </c>
      <c r="H627" s="2">
        <v>-10.757999999999999</v>
      </c>
      <c r="I627" s="1">
        <v>0.84324472017744001</v>
      </c>
      <c r="J627" s="1">
        <v>0.84581632325050604</v>
      </c>
      <c r="K627" s="1">
        <v>0.65132598153418297</v>
      </c>
      <c r="L627" s="1">
        <v>0.53773506189376297</v>
      </c>
      <c r="M627" s="2"/>
      <c r="N627" s="2"/>
      <c r="P627" s="1">
        <f>I627-'Passo 1'!I627</f>
        <v>1.3131248191840972E-2</v>
      </c>
      <c r="Q627" s="1">
        <f>J627-'Passo 1'!J627</f>
        <v>3.5793500273233025E-2</v>
      </c>
      <c r="R627" s="1">
        <f t="shared" si="37"/>
        <v>26.232499999999984</v>
      </c>
      <c r="S627">
        <f t="shared" si="36"/>
        <v>26.312499999999993</v>
      </c>
      <c r="T627" s="1">
        <f t="shared" si="38"/>
        <v>20.262099959546898</v>
      </c>
      <c r="U627" s="1">
        <f t="shared" si="39"/>
        <v>16.728400040453074</v>
      </c>
    </row>
    <row r="628" spans="1:21" x14ac:dyDescent="0.3">
      <c r="A628" t="s">
        <v>359</v>
      </c>
      <c r="B628" t="s">
        <v>467</v>
      </c>
      <c r="C628" t="s">
        <v>574</v>
      </c>
      <c r="D628" t="s">
        <v>575</v>
      </c>
      <c r="E628" s="2">
        <v>1079.566</v>
      </c>
      <c r="F628" s="2">
        <v>0.71799999999999997</v>
      </c>
      <c r="G628" s="2">
        <v>423.94349999999997</v>
      </c>
      <c r="H628" s="2">
        <v>-444.08449999999999</v>
      </c>
      <c r="I628" s="1">
        <v>0.89236554319050398</v>
      </c>
      <c r="J628" s="1">
        <v>0.91102211444228498</v>
      </c>
      <c r="K628" s="1">
        <v>0.70764208438022203</v>
      </c>
      <c r="L628" s="1">
        <v>0.59607811429220603</v>
      </c>
      <c r="M628" s="2"/>
      <c r="N628" s="2"/>
      <c r="P628" s="1">
        <f>I628-'Passo 1'!I628</f>
        <v>9.1838294277514998E-2</v>
      </c>
      <c r="Q628" s="1">
        <f>J628-'Passo 1'!J628</f>
        <v>8.4665041322161017E-2</v>
      </c>
      <c r="R628" s="1">
        <f t="shared" si="37"/>
        <v>963.36749999999961</v>
      </c>
      <c r="S628">
        <f t="shared" si="36"/>
        <v>983.5084999999998</v>
      </c>
      <c r="T628" s="1">
        <f t="shared" si="38"/>
        <v>763.94633446601881</v>
      </c>
      <c r="U628" s="1">
        <f t="shared" si="39"/>
        <v>643.50566553397971</v>
      </c>
    </row>
    <row r="629" spans="1:21" x14ac:dyDescent="0.3">
      <c r="A629" t="s">
        <v>359</v>
      </c>
      <c r="B629" t="s">
        <v>468</v>
      </c>
      <c r="C629" t="s">
        <v>576</v>
      </c>
      <c r="D629" t="s">
        <v>577</v>
      </c>
      <c r="E629" s="2">
        <v>239.904</v>
      </c>
      <c r="F629" s="2">
        <v>0</v>
      </c>
      <c r="G629" s="2">
        <v>76.974999999999994</v>
      </c>
      <c r="H629" s="2">
        <v>-102.336</v>
      </c>
      <c r="I629" s="1">
        <v>0.82085750967053395</v>
      </c>
      <c r="J629" s="1">
        <v>0.92657062825129999</v>
      </c>
      <c r="K629" s="1">
        <v>0.79390007840379895</v>
      </c>
      <c r="L629" s="1">
        <v>0.45352805951803599</v>
      </c>
      <c r="M629" s="2"/>
      <c r="N629" s="2"/>
      <c r="P629" s="1">
        <f>I629-'Passo 1'!I629</f>
        <v>5.4805255435506961E-2</v>
      </c>
      <c r="Q629" s="1">
        <f>J629-'Passo 1'!J629</f>
        <v>9.3099739895959877E-3</v>
      </c>
      <c r="R629" s="1">
        <f t="shared" si="37"/>
        <v>196.92699999999977</v>
      </c>
      <c r="S629">
        <f t="shared" si="36"/>
        <v>222.28799999999987</v>
      </c>
      <c r="T629" s="1">
        <f t="shared" si="38"/>
        <v>190.45980440938499</v>
      </c>
      <c r="U629" s="1">
        <f t="shared" si="39"/>
        <v>108.80319559061491</v>
      </c>
    </row>
    <row r="630" spans="1:21" x14ac:dyDescent="0.3">
      <c r="A630" t="s">
        <v>359</v>
      </c>
      <c r="B630" t="s">
        <v>469</v>
      </c>
      <c r="C630" t="s">
        <v>574</v>
      </c>
      <c r="D630" t="s">
        <v>575</v>
      </c>
      <c r="E630" s="2">
        <v>181.35</v>
      </c>
      <c r="F630" s="2">
        <v>0</v>
      </c>
      <c r="G630" s="2">
        <v>63.764499999999998</v>
      </c>
      <c r="H630" s="2">
        <v>-62.575000000000003</v>
      </c>
      <c r="I630" s="1">
        <v>0.85161014612627495</v>
      </c>
      <c r="J630" s="1">
        <v>0.84505100634132801</v>
      </c>
      <c r="K630" s="1">
        <v>0.70390315264070302</v>
      </c>
      <c r="L630" s="1">
        <v>0.4927579998269</v>
      </c>
      <c r="M630" s="2"/>
      <c r="N630" s="2"/>
      <c r="P630" s="1">
        <f>I630-'Passo 1'!I630</f>
        <v>0.10254480286738399</v>
      </c>
      <c r="Q630" s="1">
        <f>J630-'Passo 1'!J630</f>
        <v>8.4094292803969961E-2</v>
      </c>
      <c r="R630" s="1">
        <f t="shared" si="37"/>
        <v>154.43949999999995</v>
      </c>
      <c r="S630">
        <f t="shared" si="36"/>
        <v>153.24999999999983</v>
      </c>
      <c r="T630" s="1">
        <f t="shared" si="38"/>
        <v>127.65283673139149</v>
      </c>
      <c r="U630" s="1">
        <f t="shared" si="39"/>
        <v>89.361663268608311</v>
      </c>
    </row>
    <row r="631" spans="1:21" x14ac:dyDescent="0.3">
      <c r="A631" t="s">
        <v>359</v>
      </c>
      <c r="B631" t="s">
        <v>470</v>
      </c>
      <c r="C631" t="s">
        <v>574</v>
      </c>
      <c r="D631" t="s">
        <v>575</v>
      </c>
      <c r="E631" s="2">
        <v>1385.96</v>
      </c>
      <c r="F631" s="2">
        <v>138.03700000000001</v>
      </c>
      <c r="G631" s="2">
        <v>566.69549999999902</v>
      </c>
      <c r="H631" s="2">
        <v>-571.44150000000002</v>
      </c>
      <c r="I631" s="1">
        <v>0.85908467776847797</v>
      </c>
      <c r="J631" s="1">
        <v>0.86250901901930699</v>
      </c>
      <c r="K631" s="1">
        <v>0.70946334272432099</v>
      </c>
      <c r="L631" s="1">
        <v>0.56192868879173896</v>
      </c>
      <c r="M631" s="2"/>
      <c r="N631" s="2"/>
      <c r="P631" s="1">
        <f>I631-'Passo 1'!I631</f>
        <v>5.6045268261710968E-2</v>
      </c>
      <c r="Q631" s="1">
        <f>J631-'Passo 1'!J631</f>
        <v>0.12683266472336796</v>
      </c>
      <c r="R631" s="1">
        <f t="shared" si="37"/>
        <v>1190.6569999999997</v>
      </c>
      <c r="S631">
        <f t="shared" si="36"/>
        <v>1195.4029999999987</v>
      </c>
      <c r="T631" s="1">
        <f t="shared" si="38"/>
        <v>983.28781448219991</v>
      </c>
      <c r="U631" s="1">
        <f t="shared" si="39"/>
        <v>778.81068551779856</v>
      </c>
    </row>
    <row r="632" spans="1:21" x14ac:dyDescent="0.3">
      <c r="A632" t="s">
        <v>359</v>
      </c>
      <c r="B632" t="s">
        <v>471</v>
      </c>
      <c r="C632" t="s">
        <v>576</v>
      </c>
      <c r="D632" t="s">
        <v>577</v>
      </c>
      <c r="E632" s="2">
        <v>591.51300000000003</v>
      </c>
      <c r="F632" s="2">
        <v>0</v>
      </c>
      <c r="G632" s="2">
        <v>226.05949999999899</v>
      </c>
      <c r="H632" s="2">
        <v>-285.32799999999997</v>
      </c>
      <c r="I632" s="1">
        <v>0.88217165134155895</v>
      </c>
      <c r="J632" s="1">
        <v>0.98236978730813995</v>
      </c>
      <c r="K632" s="1">
        <v>0.57860121124744202</v>
      </c>
      <c r="L632" s="1">
        <v>0.785940227402257</v>
      </c>
      <c r="M632" s="2"/>
      <c r="N632" s="2"/>
      <c r="P632" s="1">
        <f>I632-'Passo 1'!I632</f>
        <v>0.114839403360535</v>
      </c>
      <c r="Q632" s="1">
        <f>J632-'Passo 1'!J632</f>
        <v>2.7945286071480946E-2</v>
      </c>
      <c r="R632" s="1">
        <f t="shared" si="37"/>
        <v>521.81599999999958</v>
      </c>
      <c r="S632">
        <f t="shared" si="36"/>
        <v>581.08449999999982</v>
      </c>
      <c r="T632" s="1">
        <f t="shared" si="38"/>
        <v>342.25013826860817</v>
      </c>
      <c r="U632" s="1">
        <f t="shared" si="39"/>
        <v>464.89386173139127</v>
      </c>
    </row>
    <row r="633" spans="1:21" x14ac:dyDescent="0.3">
      <c r="A633" t="s">
        <v>359</v>
      </c>
      <c r="B633" t="s">
        <v>472</v>
      </c>
      <c r="C633" t="s">
        <v>574</v>
      </c>
      <c r="D633" t="s">
        <v>575</v>
      </c>
      <c r="E633" s="2">
        <v>196.00299999999999</v>
      </c>
      <c r="F633" s="2">
        <v>0</v>
      </c>
      <c r="G633" s="2">
        <v>81.962499999999906</v>
      </c>
      <c r="H633" s="2">
        <v>-92.236999999999995</v>
      </c>
      <c r="I633" s="1">
        <v>0.91816961985275702</v>
      </c>
      <c r="J633" s="1">
        <v>0.97058973587138897</v>
      </c>
      <c r="K633" s="1">
        <v>0.68049345126759497</v>
      </c>
      <c r="L633" s="1">
        <v>0.70826590445655102</v>
      </c>
      <c r="M633" s="2"/>
      <c r="N633" s="2"/>
      <c r="P633" s="1">
        <f>I633-'Passo 1'!I633</f>
        <v>6.5889297612792053E-2</v>
      </c>
      <c r="Q633" s="1">
        <f>J633-'Passo 1'!J633</f>
        <v>6.6011744718192933E-2</v>
      </c>
      <c r="R633" s="1">
        <f t="shared" si="37"/>
        <v>179.96399999999991</v>
      </c>
      <c r="S633">
        <f t="shared" si="36"/>
        <v>190.23849999999985</v>
      </c>
      <c r="T633" s="1">
        <f t="shared" si="38"/>
        <v>133.3787579288024</v>
      </c>
      <c r="U633" s="1">
        <f t="shared" si="39"/>
        <v>138.82224207119737</v>
      </c>
    </row>
    <row r="634" spans="1:21" x14ac:dyDescent="0.3">
      <c r="A634" t="s">
        <v>359</v>
      </c>
      <c r="B634" t="s">
        <v>473</v>
      </c>
      <c r="C634" t="s">
        <v>574</v>
      </c>
      <c r="D634" t="s">
        <v>575</v>
      </c>
      <c r="E634" s="2">
        <v>441.32100000000003</v>
      </c>
      <c r="F634" s="2">
        <v>69.507000000000005</v>
      </c>
      <c r="G634" s="2">
        <v>157.672</v>
      </c>
      <c r="H634" s="2">
        <v>-160.9555</v>
      </c>
      <c r="I634" s="1">
        <v>0.77852402219699401</v>
      </c>
      <c r="J634" s="1">
        <v>0.78596418479972596</v>
      </c>
      <c r="K634" s="1">
        <v>0.55979754138261595</v>
      </c>
      <c r="L634" s="1">
        <v>0.58343946750660403</v>
      </c>
      <c r="M634" s="2"/>
      <c r="N634" s="2"/>
      <c r="P634" s="1">
        <f>I634-'Passo 1'!I634</f>
        <v>7.4461673022583996E-2</v>
      </c>
      <c r="Q634" s="1">
        <f>J634-'Passo 1'!J634</f>
        <v>6.4570913235490912E-2</v>
      </c>
      <c r="R634" s="1">
        <f t="shared" si="37"/>
        <v>343.57899999999961</v>
      </c>
      <c r="S634">
        <f t="shared" si="36"/>
        <v>346.8624999999999</v>
      </c>
      <c r="T634" s="1">
        <f t="shared" si="38"/>
        <v>247.05041076051748</v>
      </c>
      <c r="U634" s="1">
        <f t="shared" si="39"/>
        <v>257.48408923948199</v>
      </c>
    </row>
    <row r="635" spans="1:21" x14ac:dyDescent="0.3">
      <c r="A635" t="s">
        <v>359</v>
      </c>
      <c r="B635" t="s">
        <v>474</v>
      </c>
      <c r="C635" t="s">
        <v>576</v>
      </c>
      <c r="D635" t="s">
        <v>14</v>
      </c>
      <c r="E635" s="2">
        <v>0</v>
      </c>
      <c r="F635" s="2">
        <v>0</v>
      </c>
      <c r="G635" s="2">
        <v>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M635" s="2"/>
      <c r="N635" s="2"/>
      <c r="P635" s="1">
        <f>I635-'Passo 1'!I635</f>
        <v>0</v>
      </c>
      <c r="Q635" s="1">
        <f>J635-'Passo 1'!J635</f>
        <v>0</v>
      </c>
      <c r="R635" s="1">
        <f t="shared" si="37"/>
        <v>0</v>
      </c>
      <c r="S635">
        <f t="shared" si="36"/>
        <v>0</v>
      </c>
      <c r="T635" s="1">
        <f t="shared" si="38"/>
        <v>0</v>
      </c>
      <c r="U635" s="1">
        <f t="shared" si="39"/>
        <v>0</v>
      </c>
    </row>
    <row r="636" spans="1:21" x14ac:dyDescent="0.3">
      <c r="A636" t="s">
        <v>359</v>
      </c>
      <c r="B636" t="s">
        <v>475</v>
      </c>
      <c r="C636" t="s">
        <v>574</v>
      </c>
      <c r="D636" t="s">
        <v>575</v>
      </c>
      <c r="E636" s="2">
        <v>403.46899999999999</v>
      </c>
      <c r="F636" s="2">
        <v>1.2999999999999999E-2</v>
      </c>
      <c r="G636" s="2">
        <v>157.79750000000001</v>
      </c>
      <c r="H636" s="2">
        <v>-159.74549999999999</v>
      </c>
      <c r="I636" s="1">
        <v>0.89108580832728101</v>
      </c>
      <c r="J636" s="1">
        <v>0.89591393638668604</v>
      </c>
      <c r="K636" s="1">
        <v>0.68053268736831196</v>
      </c>
      <c r="L636" s="1">
        <v>0.60648316762922005</v>
      </c>
      <c r="M636" s="2"/>
      <c r="N636" s="2"/>
      <c r="P636" s="1">
        <f>I636-'Passo 1'!I636</f>
        <v>1.7335904369356059E-2</v>
      </c>
      <c r="Q636" s="1">
        <f>J636-'Passo 1'!J636</f>
        <v>1.7672981071656046E-2</v>
      </c>
      <c r="R636" s="1">
        <f t="shared" si="37"/>
        <v>359.52549999999974</v>
      </c>
      <c r="S636">
        <f t="shared" si="36"/>
        <v>361.47349999999983</v>
      </c>
      <c r="T636" s="1">
        <f t="shared" si="38"/>
        <v>274.57384283980548</v>
      </c>
      <c r="U636" s="1">
        <f t="shared" si="39"/>
        <v>244.6971571601938</v>
      </c>
    </row>
    <row r="637" spans="1:21" x14ac:dyDescent="0.3">
      <c r="A637" t="s">
        <v>359</v>
      </c>
      <c r="B637" t="s">
        <v>764</v>
      </c>
      <c r="C637" t="s">
        <v>574</v>
      </c>
      <c r="D637" t="s">
        <v>575</v>
      </c>
      <c r="E637" s="2">
        <v>0</v>
      </c>
      <c r="F637" s="2">
        <v>0</v>
      </c>
      <c r="G637" s="2">
        <v>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M637" s="2"/>
      <c r="N637" s="2"/>
      <c r="P637" s="1">
        <f>I637-'Passo 1'!I637</f>
        <v>0</v>
      </c>
      <c r="Q637" s="1">
        <f>J637-'Passo 1'!J637</f>
        <v>0</v>
      </c>
      <c r="R637" s="1">
        <f t="shared" si="37"/>
        <v>0</v>
      </c>
      <c r="S637">
        <f t="shared" si="36"/>
        <v>0</v>
      </c>
      <c r="T637" s="1">
        <f t="shared" si="38"/>
        <v>0</v>
      </c>
      <c r="U637" s="1">
        <f t="shared" si="39"/>
        <v>0</v>
      </c>
    </row>
    <row r="638" spans="1:21" x14ac:dyDescent="0.3">
      <c r="A638" t="s">
        <v>359</v>
      </c>
      <c r="B638" t="s">
        <v>765</v>
      </c>
      <c r="C638" t="s">
        <v>574</v>
      </c>
      <c r="D638" t="s">
        <v>575</v>
      </c>
      <c r="E638" s="2">
        <v>374.04199999999997</v>
      </c>
      <c r="F638" s="2">
        <v>146.16</v>
      </c>
      <c r="G638" s="2">
        <v>67.376499999999993</v>
      </c>
      <c r="H638" s="2">
        <v>-55.637499999999903</v>
      </c>
      <c r="I638" s="1">
        <v>0.48475171237454601</v>
      </c>
      <c r="J638" s="1">
        <v>0.45336753626597998</v>
      </c>
      <c r="K638" s="1">
        <v>0.288510685957095</v>
      </c>
      <c r="L638" s="1">
        <v>0.344987691230493</v>
      </c>
      <c r="M638" s="2"/>
      <c r="N638" s="2"/>
      <c r="P638" s="1">
        <f>I638-'Passo 1'!I638</f>
        <v>4.4989600098384985E-2</v>
      </c>
      <c r="Q638" s="1">
        <f>J638-'Passo 1'!J638</f>
        <v>6.0046732719849505E-3</v>
      </c>
      <c r="R638" s="1">
        <f t="shared" si="37"/>
        <v>181.31749999999991</v>
      </c>
      <c r="S638">
        <f t="shared" si="36"/>
        <v>169.57849999999968</v>
      </c>
      <c r="T638" s="1">
        <f t="shared" si="38"/>
        <v>107.91511399676372</v>
      </c>
      <c r="U638" s="1">
        <f t="shared" si="39"/>
        <v>129.03988600323606</v>
      </c>
    </row>
    <row r="639" spans="1:21" x14ac:dyDescent="0.3">
      <c r="A639" t="s">
        <v>359</v>
      </c>
      <c r="B639" t="s">
        <v>476</v>
      </c>
      <c r="C639" t="s">
        <v>576</v>
      </c>
      <c r="D639" t="s">
        <v>577</v>
      </c>
      <c r="E639" s="2">
        <v>832.8</v>
      </c>
      <c r="F639" s="2">
        <v>0</v>
      </c>
      <c r="G639" s="2">
        <v>254.785</v>
      </c>
      <c r="H639" s="2">
        <v>-384.26499999999999</v>
      </c>
      <c r="I639" s="1">
        <v>0.80593780019212202</v>
      </c>
      <c r="J639" s="1">
        <v>0.96141330451488904</v>
      </c>
      <c r="K639" s="1">
        <v>0.69838231492474201</v>
      </c>
      <c r="L639" s="1">
        <v>0.56896878978226995</v>
      </c>
      <c r="M639" s="2"/>
      <c r="N639" s="2"/>
      <c r="P639" s="1">
        <f>I639-'Passo 1'!I639</f>
        <v>0.14622958693563803</v>
      </c>
      <c r="Q639" s="1">
        <f>J639-'Passo 1'!J639</f>
        <v>0.16712295869356408</v>
      </c>
      <c r="R639" s="1">
        <f t="shared" si="37"/>
        <v>671.18499999999915</v>
      </c>
      <c r="S639">
        <f t="shared" si="36"/>
        <v>800.66499999999951</v>
      </c>
      <c r="T639" s="1">
        <f t="shared" si="38"/>
        <v>581.61279186932506</v>
      </c>
      <c r="U639" s="1">
        <f t="shared" si="39"/>
        <v>473.83720813067441</v>
      </c>
    </row>
    <row r="640" spans="1:21" x14ac:dyDescent="0.3">
      <c r="A640" t="s">
        <v>359</v>
      </c>
      <c r="B640" t="s">
        <v>477</v>
      </c>
      <c r="C640" t="s">
        <v>574</v>
      </c>
      <c r="D640" t="s">
        <v>575</v>
      </c>
      <c r="E640" s="2">
        <v>342.04300000000001</v>
      </c>
      <c r="F640" s="2">
        <v>0.12</v>
      </c>
      <c r="G640" s="2">
        <v>138.6155</v>
      </c>
      <c r="H640" s="2">
        <v>-141.72999999999999</v>
      </c>
      <c r="I640" s="1">
        <v>0.905082109559324</v>
      </c>
      <c r="J640" s="1">
        <v>0.91418768985186005</v>
      </c>
      <c r="K640" s="1">
        <v>0.74245222728246196</v>
      </c>
      <c r="L640" s="1">
        <v>0.576992988669917</v>
      </c>
      <c r="M640" s="2"/>
      <c r="N640" s="2"/>
      <c r="P640" s="1">
        <f>I640-'Passo 1'!I640</f>
        <v>2.6180918773371031E-2</v>
      </c>
      <c r="Q640" s="1">
        <f>J640-'Passo 1'!J640</f>
        <v>2.166540464210609E-2</v>
      </c>
      <c r="R640" s="1">
        <f t="shared" si="37"/>
        <v>309.57699999999988</v>
      </c>
      <c r="S640">
        <f t="shared" si="36"/>
        <v>312.69149999999979</v>
      </c>
      <c r="T640" s="1">
        <f t="shared" si="38"/>
        <v>253.95058717637514</v>
      </c>
      <c r="U640" s="1">
        <f t="shared" si="39"/>
        <v>197.35641282362442</v>
      </c>
    </row>
    <row r="641" spans="1:21" x14ac:dyDescent="0.3">
      <c r="A641" t="s">
        <v>359</v>
      </c>
      <c r="B641" t="s">
        <v>478</v>
      </c>
      <c r="C641" t="s">
        <v>576</v>
      </c>
      <c r="D641" t="s">
        <v>577</v>
      </c>
      <c r="E641" s="2">
        <v>390.65</v>
      </c>
      <c r="F641" s="2">
        <v>0</v>
      </c>
      <c r="G641" s="2">
        <v>185.52949999999899</v>
      </c>
      <c r="H641" s="2">
        <v>-195.32499999999999</v>
      </c>
      <c r="I641" s="1">
        <v>0.97492512479201299</v>
      </c>
      <c r="J641" s="1">
        <v>1</v>
      </c>
      <c r="K641" s="1">
        <v>0.95111927573204902</v>
      </c>
      <c r="L641" s="1">
        <v>0.52380584905996397</v>
      </c>
      <c r="M641" s="2"/>
      <c r="N641" s="2"/>
      <c r="P641" s="1">
        <f>I641-'Passo 1'!I641</f>
        <v>0.13058748240112594</v>
      </c>
      <c r="Q641" s="1">
        <f>J641-'Passo 1'!J641</f>
        <v>9.964162293613299E-2</v>
      </c>
      <c r="R641" s="1">
        <f t="shared" si="37"/>
        <v>380.85449999999986</v>
      </c>
      <c r="S641">
        <f t="shared" si="36"/>
        <v>390.65</v>
      </c>
      <c r="T641" s="1">
        <f t="shared" si="38"/>
        <v>371.55474506472495</v>
      </c>
      <c r="U641" s="1">
        <f t="shared" si="39"/>
        <v>204.62475493527492</v>
      </c>
    </row>
    <row r="642" spans="1:21" x14ac:dyDescent="0.3">
      <c r="A642" t="s">
        <v>359</v>
      </c>
      <c r="B642" t="s">
        <v>479</v>
      </c>
      <c r="C642" t="s">
        <v>574</v>
      </c>
      <c r="D642" t="s">
        <v>575</v>
      </c>
      <c r="E642" s="2">
        <v>511.19600000000003</v>
      </c>
      <c r="F642" s="2">
        <v>0</v>
      </c>
      <c r="G642" s="2">
        <v>238.7765</v>
      </c>
      <c r="H642" s="2">
        <v>-222.89699999999999</v>
      </c>
      <c r="I642" s="1">
        <v>0.96709383485003797</v>
      </c>
      <c r="J642" s="1">
        <v>0.93603040712368601</v>
      </c>
      <c r="K642" s="1">
        <v>0.74949469243597</v>
      </c>
      <c r="L642" s="1">
        <v>0.65362954953775299</v>
      </c>
      <c r="M642" s="2"/>
      <c r="N642" s="2"/>
      <c r="P642" s="1">
        <f>I642-'Passo 1'!I642</f>
        <v>0.12566608502414001</v>
      </c>
      <c r="Q642" s="1">
        <f>J642-'Passo 1'!J642</f>
        <v>8.8434768660161978E-2</v>
      </c>
      <c r="R642" s="1">
        <f t="shared" si="37"/>
        <v>494.37450000000001</v>
      </c>
      <c r="S642">
        <f t="shared" ref="S642:S705" si="40">J642*E642</f>
        <v>478.49499999999983</v>
      </c>
      <c r="T642" s="1">
        <f t="shared" si="38"/>
        <v>383.13868879449814</v>
      </c>
      <c r="U642" s="1">
        <f t="shared" si="39"/>
        <v>334.13281120550118</v>
      </c>
    </row>
    <row r="643" spans="1:21" x14ac:dyDescent="0.3">
      <c r="A643" t="s">
        <v>359</v>
      </c>
      <c r="B643" t="s">
        <v>766</v>
      </c>
      <c r="C643" t="s">
        <v>576</v>
      </c>
      <c r="D643" t="s">
        <v>14</v>
      </c>
      <c r="E643" s="2">
        <v>50.976999999999997</v>
      </c>
      <c r="F643" s="2">
        <v>0</v>
      </c>
      <c r="G643" s="2">
        <v>25.355499999999999</v>
      </c>
      <c r="H643" s="2">
        <v>-25.3475</v>
      </c>
      <c r="I643" s="1">
        <v>0.99739098024599304</v>
      </c>
      <c r="J643" s="1">
        <v>0.99723404672695504</v>
      </c>
      <c r="K643" s="1">
        <v>0.83635062703257301</v>
      </c>
      <c r="L643" s="1">
        <v>0.65827439994037495</v>
      </c>
      <c r="M643" s="2"/>
      <c r="N643" s="2"/>
      <c r="P643" s="1">
        <f>I643-'Passo 1'!I643</f>
        <v>0.14999901916550606</v>
      </c>
      <c r="Q643" s="1">
        <f>J643-'Passo 1'!J643</f>
        <v>0.10954940463346208</v>
      </c>
      <c r="R643" s="1">
        <f t="shared" ref="R643:R706" si="41">I643*E643</f>
        <v>50.843999999999987</v>
      </c>
      <c r="S643">
        <f t="shared" si="40"/>
        <v>50.835999999999984</v>
      </c>
      <c r="T643" s="1">
        <f t="shared" ref="T643:T706" si="42">K643*E643</f>
        <v>42.634645914239471</v>
      </c>
      <c r="U643" s="1">
        <f t="shared" ref="U643:U706" si="43">L643*E643</f>
        <v>33.556854085760492</v>
      </c>
    </row>
    <row r="644" spans="1:21" x14ac:dyDescent="0.3">
      <c r="A644" t="s">
        <v>359</v>
      </c>
      <c r="B644" t="s">
        <v>480</v>
      </c>
      <c r="C644" t="s">
        <v>574</v>
      </c>
      <c r="D644" t="s">
        <v>575</v>
      </c>
      <c r="E644" s="2">
        <v>42.000999999999998</v>
      </c>
      <c r="F644" s="2">
        <v>0</v>
      </c>
      <c r="G644" s="2">
        <v>20.087499999999999</v>
      </c>
      <c r="H644" s="2">
        <v>-14.032999999999999</v>
      </c>
      <c r="I644" s="1">
        <v>0.97826242232327798</v>
      </c>
      <c r="J644" s="1">
        <v>0.83411109259303295</v>
      </c>
      <c r="K644" s="1">
        <v>0.74857228896306904</v>
      </c>
      <c r="L644" s="1">
        <v>0.563801225953242</v>
      </c>
      <c r="M644" s="2"/>
      <c r="N644" s="2"/>
      <c r="P644" s="1">
        <f>I644-'Passo 1'!I644</f>
        <v>5.415347253636893E-2</v>
      </c>
      <c r="Q644" s="1">
        <f>J644-'Passo 1'!J644</f>
        <v>8.6950310706887968E-2</v>
      </c>
      <c r="R644" s="1">
        <f t="shared" si="41"/>
        <v>41.087999999999994</v>
      </c>
      <c r="S644">
        <f t="shared" si="40"/>
        <v>35.033499999999975</v>
      </c>
      <c r="T644" s="1">
        <f t="shared" si="42"/>
        <v>31.440784708737862</v>
      </c>
      <c r="U644" s="1">
        <f t="shared" si="43"/>
        <v>23.680215291262115</v>
      </c>
    </row>
    <row r="645" spans="1:21" x14ac:dyDescent="0.3">
      <c r="A645" t="s">
        <v>359</v>
      </c>
      <c r="B645" t="s">
        <v>481</v>
      </c>
      <c r="C645" t="s">
        <v>576</v>
      </c>
      <c r="D645" t="s">
        <v>14</v>
      </c>
      <c r="E645" s="2">
        <v>0</v>
      </c>
      <c r="F645" s="2">
        <v>0</v>
      </c>
      <c r="G645" s="2">
        <v>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M645" s="2"/>
      <c r="N645" s="2"/>
      <c r="P645" s="1">
        <f>I645-'Passo 1'!I645</f>
        <v>0</v>
      </c>
      <c r="Q645" s="1">
        <f>J645-'Passo 1'!J645</f>
        <v>0</v>
      </c>
      <c r="R645" s="1">
        <f t="shared" si="41"/>
        <v>0</v>
      </c>
      <c r="S645">
        <f t="shared" si="40"/>
        <v>0</v>
      </c>
      <c r="T645" s="1">
        <f t="shared" si="42"/>
        <v>0</v>
      </c>
      <c r="U645" s="1">
        <f t="shared" si="43"/>
        <v>0</v>
      </c>
    </row>
    <row r="646" spans="1:21" x14ac:dyDescent="0.3">
      <c r="A646" t="s">
        <v>359</v>
      </c>
      <c r="B646" t="s">
        <v>482</v>
      </c>
      <c r="C646" t="s">
        <v>34</v>
      </c>
      <c r="D646" t="s">
        <v>35</v>
      </c>
      <c r="E646" s="2">
        <v>358.98599999999999</v>
      </c>
      <c r="F646" s="2">
        <v>0</v>
      </c>
      <c r="G646" s="2">
        <v>134.23650000000001</v>
      </c>
      <c r="H646" s="2">
        <v>-128.19450000000001</v>
      </c>
      <c r="I646" s="1">
        <v>0.87393240962043095</v>
      </c>
      <c r="J646" s="1">
        <v>0.85710166970299595</v>
      </c>
      <c r="K646" s="1">
        <v>0.77371347997416695</v>
      </c>
      <c r="L646" s="1">
        <v>0.45732059934926</v>
      </c>
      <c r="M646" s="2"/>
      <c r="N646" s="2"/>
      <c r="P646" s="1">
        <f>I646-'Passo 1'!I646</f>
        <v>0.1437883371496389</v>
      </c>
      <c r="Q646" s="1">
        <f>J646-'Passo 1'!J646</f>
        <v>9.9242031722684976E-2</v>
      </c>
      <c r="R646" s="1">
        <f t="shared" si="41"/>
        <v>313.72950000000003</v>
      </c>
      <c r="S646">
        <f t="shared" si="40"/>
        <v>307.68749999999972</v>
      </c>
      <c r="T646" s="1">
        <f t="shared" si="42"/>
        <v>277.75230732200629</v>
      </c>
      <c r="U646" s="1">
        <f t="shared" si="43"/>
        <v>164.17169267799343</v>
      </c>
    </row>
    <row r="647" spans="1:21" x14ac:dyDescent="0.3">
      <c r="A647" t="s">
        <v>359</v>
      </c>
      <c r="B647" t="s">
        <v>483</v>
      </c>
      <c r="C647" t="s">
        <v>574</v>
      </c>
      <c r="D647" t="s">
        <v>575</v>
      </c>
      <c r="E647" s="2">
        <v>55.575000000000003</v>
      </c>
      <c r="F647" s="2">
        <v>0</v>
      </c>
      <c r="G647" s="2">
        <v>18.287500000000001</v>
      </c>
      <c r="H647" s="2">
        <v>-18.287500000000001</v>
      </c>
      <c r="I647" s="1">
        <v>0.829059829059829</v>
      </c>
      <c r="J647" s="1">
        <v>0.829059829059829</v>
      </c>
      <c r="K647" s="1">
        <v>0.72588742144133001</v>
      </c>
      <c r="L647" s="1">
        <v>0.432232236678327</v>
      </c>
      <c r="M647" s="2"/>
      <c r="N647" s="2"/>
      <c r="P647" s="1">
        <f>I647-'Passo 1'!I647</f>
        <v>0</v>
      </c>
      <c r="Q647" s="1">
        <f>J647-'Passo 1'!J647</f>
        <v>0</v>
      </c>
      <c r="R647" s="1">
        <f t="shared" si="41"/>
        <v>46.074999999999996</v>
      </c>
      <c r="S647">
        <f t="shared" si="40"/>
        <v>46.074999999999996</v>
      </c>
      <c r="T647" s="1">
        <f t="shared" si="42"/>
        <v>40.34119344660192</v>
      </c>
      <c r="U647" s="1">
        <f t="shared" si="43"/>
        <v>24.021306553398023</v>
      </c>
    </row>
    <row r="648" spans="1:21" x14ac:dyDescent="0.3">
      <c r="A648" t="s">
        <v>359</v>
      </c>
      <c r="B648" t="s">
        <v>484</v>
      </c>
      <c r="C648" t="s">
        <v>34</v>
      </c>
      <c r="D648" t="s">
        <v>35</v>
      </c>
      <c r="E648" s="2">
        <v>65.403999999999996</v>
      </c>
      <c r="F648" s="2">
        <v>0</v>
      </c>
      <c r="G648" s="2">
        <v>16.017499999999998</v>
      </c>
      <c r="H648" s="2">
        <v>-17.535</v>
      </c>
      <c r="I648" s="1">
        <v>0.74490092349091797</v>
      </c>
      <c r="J648" s="1">
        <v>0.76810286832609598</v>
      </c>
      <c r="K648" s="1">
        <v>0.67482100052667404</v>
      </c>
      <c r="L648" s="1">
        <v>0.33818279129033901</v>
      </c>
      <c r="M648" s="2"/>
      <c r="N648" s="2"/>
      <c r="P648" s="1">
        <f>I648-'Passo 1'!I648</f>
        <v>0.10762338694881102</v>
      </c>
      <c r="Q648" s="1">
        <f>J648-'Passo 1'!J648</f>
        <v>9.4642529508898954E-2</v>
      </c>
      <c r="R648" s="1">
        <f t="shared" si="41"/>
        <v>48.719499999999996</v>
      </c>
      <c r="S648">
        <f t="shared" si="40"/>
        <v>50.236999999999981</v>
      </c>
      <c r="T648" s="1">
        <f t="shared" si="42"/>
        <v>44.135992718446587</v>
      </c>
      <c r="U648" s="1">
        <f t="shared" si="43"/>
        <v>22.118507281553331</v>
      </c>
    </row>
    <row r="649" spans="1:21" x14ac:dyDescent="0.3">
      <c r="A649" t="s">
        <v>359</v>
      </c>
      <c r="B649" t="s">
        <v>485</v>
      </c>
      <c r="C649" t="s">
        <v>574</v>
      </c>
      <c r="D649" t="s">
        <v>575</v>
      </c>
      <c r="E649" s="2">
        <v>1446.45</v>
      </c>
      <c r="F649" s="2">
        <v>3.6999999999999998E-2</v>
      </c>
      <c r="G649" s="2">
        <v>687.22500000000002</v>
      </c>
      <c r="H649" s="2">
        <v>-687.22500000000002</v>
      </c>
      <c r="I649" s="1">
        <v>0.97509868989595205</v>
      </c>
      <c r="J649" s="1">
        <v>0.97509868989595205</v>
      </c>
      <c r="K649" s="1">
        <v>0.953883418963132</v>
      </c>
      <c r="L649" s="1">
        <v>0.49632675076274702</v>
      </c>
      <c r="M649" s="2"/>
      <c r="N649" s="2"/>
      <c r="P649" s="1">
        <f>I649-'Passo 1'!I649</f>
        <v>0</v>
      </c>
      <c r="Q649" s="1">
        <f>J649-'Passo 1'!J649</f>
        <v>0</v>
      </c>
      <c r="R649" s="1">
        <f t="shared" si="41"/>
        <v>1410.4314999999999</v>
      </c>
      <c r="S649">
        <f t="shared" si="40"/>
        <v>1410.4314999999999</v>
      </c>
      <c r="T649" s="1">
        <f t="shared" si="42"/>
        <v>1379.7446713592224</v>
      </c>
      <c r="U649" s="1">
        <f t="shared" si="43"/>
        <v>717.91182864077541</v>
      </c>
    </row>
    <row r="650" spans="1:21" x14ac:dyDescent="0.3">
      <c r="A650" t="s">
        <v>359</v>
      </c>
      <c r="B650" t="s">
        <v>486</v>
      </c>
      <c r="C650" t="s">
        <v>34</v>
      </c>
      <c r="D650" t="s">
        <v>35</v>
      </c>
      <c r="E650" s="2">
        <v>744.702</v>
      </c>
      <c r="F650" s="2">
        <v>0</v>
      </c>
      <c r="G650" s="2">
        <v>175.38749999999999</v>
      </c>
      <c r="H650" s="2">
        <v>-247.74799999999999</v>
      </c>
      <c r="I650" s="1">
        <v>0.73551366855467004</v>
      </c>
      <c r="J650" s="1">
        <v>0.83268072329602905</v>
      </c>
      <c r="K650" s="1">
        <v>0.64847540941834403</v>
      </c>
      <c r="L650" s="1">
        <v>0.419718982432355</v>
      </c>
      <c r="M650" s="2"/>
      <c r="N650" s="2"/>
      <c r="P650" s="1">
        <f>I650-'Passo 1'!I650</f>
        <v>0.1116641287387441</v>
      </c>
      <c r="Q650" s="1">
        <f>J650-'Passo 1'!J650</f>
        <v>8.6256650311131056E-2</v>
      </c>
      <c r="R650" s="1">
        <f t="shared" si="41"/>
        <v>547.73849999999993</v>
      </c>
      <c r="S650">
        <f t="shared" si="40"/>
        <v>620.09899999999948</v>
      </c>
      <c r="T650" s="1">
        <f t="shared" si="42"/>
        <v>482.92093434465966</v>
      </c>
      <c r="U650" s="1">
        <f t="shared" si="43"/>
        <v>312.56556565533964</v>
      </c>
    </row>
    <row r="651" spans="1:21" x14ac:dyDescent="0.3">
      <c r="A651" t="s">
        <v>359</v>
      </c>
      <c r="B651" t="s">
        <v>487</v>
      </c>
      <c r="C651" t="s">
        <v>574</v>
      </c>
      <c r="D651" t="s">
        <v>575</v>
      </c>
      <c r="E651" s="2">
        <v>207</v>
      </c>
      <c r="F651" s="2">
        <v>0</v>
      </c>
      <c r="G651" s="2">
        <v>99.75</v>
      </c>
      <c r="H651" s="2">
        <v>-100.25</v>
      </c>
      <c r="I651" s="1">
        <v>0.98188405797101397</v>
      </c>
      <c r="J651" s="1">
        <v>0.98429951690821205</v>
      </c>
      <c r="K651" s="1">
        <v>0.71898469838031298</v>
      </c>
      <c r="L651" s="1">
        <v>0.74719887649891303</v>
      </c>
      <c r="M651" s="2"/>
      <c r="N651" s="2"/>
      <c r="P651" s="1">
        <f>I651-'Passo 1'!I651</f>
        <v>1.2077294685989282E-3</v>
      </c>
      <c r="Q651" s="1">
        <f>J651-'Passo 1'!J651</f>
        <v>3.6231884057970065E-3</v>
      </c>
      <c r="R651" s="1">
        <f t="shared" si="41"/>
        <v>203.24999999999989</v>
      </c>
      <c r="S651">
        <f t="shared" si="40"/>
        <v>203.74999999999989</v>
      </c>
      <c r="T651" s="1">
        <f t="shared" si="42"/>
        <v>148.8298325647248</v>
      </c>
      <c r="U651" s="1">
        <f t="shared" si="43"/>
        <v>154.670167435275</v>
      </c>
    </row>
    <row r="652" spans="1:21" x14ac:dyDescent="0.3">
      <c r="A652" t="s">
        <v>359</v>
      </c>
      <c r="B652" t="s">
        <v>488</v>
      </c>
      <c r="C652" t="s">
        <v>576</v>
      </c>
      <c r="D652" t="s">
        <v>591</v>
      </c>
      <c r="E652" s="2">
        <v>262</v>
      </c>
      <c r="F652" s="2">
        <v>0</v>
      </c>
      <c r="G652" s="2">
        <v>68</v>
      </c>
      <c r="H652" s="2">
        <v>-67.5</v>
      </c>
      <c r="I652" s="1">
        <v>0.75954198473282397</v>
      </c>
      <c r="J652" s="1">
        <v>0.757633587786259</v>
      </c>
      <c r="K652" s="1">
        <v>0.48439154963067199</v>
      </c>
      <c r="L652" s="1">
        <v>0.53278402288841098</v>
      </c>
      <c r="M652" s="2"/>
      <c r="N652" s="2"/>
      <c r="P652" s="1">
        <f>I652-'Passo 1'!I652</f>
        <v>2.156488549619473E-4</v>
      </c>
      <c r="Q652" s="1">
        <f>J652-'Passo 1'!J652</f>
        <v>2.156488549619473E-4</v>
      </c>
      <c r="R652" s="1">
        <f t="shared" si="41"/>
        <v>198.99999999999989</v>
      </c>
      <c r="S652">
        <f t="shared" si="40"/>
        <v>198.49999999999986</v>
      </c>
      <c r="T652" s="1">
        <f t="shared" si="42"/>
        <v>126.91058600323606</v>
      </c>
      <c r="U652" s="1">
        <f t="shared" si="43"/>
        <v>139.58941399676368</v>
      </c>
    </row>
    <row r="653" spans="1:21" x14ac:dyDescent="0.3">
      <c r="A653" t="s">
        <v>359</v>
      </c>
      <c r="B653" t="s">
        <v>489</v>
      </c>
      <c r="C653" t="s">
        <v>34</v>
      </c>
      <c r="D653" t="s">
        <v>35</v>
      </c>
      <c r="E653" s="2">
        <v>1516.1849999999999</v>
      </c>
      <c r="F653" s="2">
        <v>0</v>
      </c>
      <c r="G653" s="2">
        <v>359.6635</v>
      </c>
      <c r="H653" s="2">
        <v>-403.23500000000001</v>
      </c>
      <c r="I653" s="1">
        <v>0.73721610489485101</v>
      </c>
      <c r="J653" s="1">
        <v>0.76595369298601401</v>
      </c>
      <c r="K653" s="1">
        <v>0.64552519781354201</v>
      </c>
      <c r="L653" s="1">
        <v>0.35764460006732302</v>
      </c>
      <c r="M653" s="2"/>
      <c r="N653" s="2"/>
      <c r="P653" s="1">
        <f>I653-'Passo 1'!I653</f>
        <v>8.4743946154328009E-2</v>
      </c>
      <c r="Q653" s="1">
        <f>J653-'Passo 1'!J653</f>
        <v>7.4908404976965048E-2</v>
      </c>
      <c r="R653" s="1">
        <f t="shared" si="41"/>
        <v>1117.7559999999996</v>
      </c>
      <c r="S653">
        <f t="shared" si="40"/>
        <v>1161.3274999999996</v>
      </c>
      <c r="T653" s="1">
        <f t="shared" si="42"/>
        <v>978.73562204692519</v>
      </c>
      <c r="U653" s="1">
        <f t="shared" si="43"/>
        <v>542.25537795307412</v>
      </c>
    </row>
    <row r="654" spans="1:21" x14ac:dyDescent="0.3">
      <c r="A654" t="s">
        <v>359</v>
      </c>
      <c r="B654" t="s">
        <v>490</v>
      </c>
      <c r="C654" t="s">
        <v>574</v>
      </c>
      <c r="D654" t="s">
        <v>575</v>
      </c>
      <c r="E654" s="2">
        <v>141</v>
      </c>
      <c r="F654" s="2">
        <v>8.0180000000000007</v>
      </c>
      <c r="G654" s="2">
        <v>30.337499999999999</v>
      </c>
      <c r="H654" s="2">
        <v>-30.337499999999999</v>
      </c>
      <c r="I654" s="1">
        <v>0.68672695035460896</v>
      </c>
      <c r="J654" s="1">
        <v>0.68672695035460896</v>
      </c>
      <c r="K654" s="1">
        <v>0.45561102131102299</v>
      </c>
      <c r="L654" s="1">
        <v>0.446275503511671</v>
      </c>
      <c r="M654" s="2"/>
      <c r="N654" s="2"/>
      <c r="P654" s="1">
        <f>I654-'Passo 1'!I654</f>
        <v>1.7730496453899347E-3</v>
      </c>
      <c r="Q654" s="1">
        <f>J654-'Passo 1'!J654</f>
        <v>3.5460992907799804E-3</v>
      </c>
      <c r="R654" s="1">
        <f t="shared" si="41"/>
        <v>96.828499999999863</v>
      </c>
      <c r="S654">
        <f t="shared" si="40"/>
        <v>96.828499999999863</v>
      </c>
      <c r="T654" s="1">
        <f t="shared" si="42"/>
        <v>64.241154004854238</v>
      </c>
      <c r="U654" s="1">
        <f t="shared" si="43"/>
        <v>62.92484599514561</v>
      </c>
    </row>
    <row r="655" spans="1:21" x14ac:dyDescent="0.3">
      <c r="A655" t="s">
        <v>359</v>
      </c>
      <c r="B655" t="s">
        <v>491</v>
      </c>
      <c r="C655" t="s">
        <v>576</v>
      </c>
      <c r="D655" t="s">
        <v>591</v>
      </c>
      <c r="E655" s="2">
        <v>1644.9880000000001</v>
      </c>
      <c r="F655" s="2">
        <v>0</v>
      </c>
      <c r="G655" s="2">
        <v>821.49400000000003</v>
      </c>
      <c r="H655" s="2">
        <v>-821.49400000000003</v>
      </c>
      <c r="I655" s="1">
        <v>0.99939209282985597</v>
      </c>
      <c r="J655" s="1">
        <v>0.99939209282985597</v>
      </c>
      <c r="K655" s="1">
        <v>0.98552514005315495</v>
      </c>
      <c r="L655" s="1">
        <v>0.513259045606557</v>
      </c>
      <c r="M655" s="2"/>
      <c r="N655" s="2"/>
      <c r="P655" s="1">
        <f>I655-'Passo 1'!I655</f>
        <v>0</v>
      </c>
      <c r="Q655" s="1">
        <f>J655-'Passo 1'!J655</f>
        <v>0</v>
      </c>
      <c r="R655" s="1">
        <f t="shared" si="41"/>
        <v>1643.9879999999991</v>
      </c>
      <c r="S655">
        <f t="shared" si="40"/>
        <v>1643.9879999999991</v>
      </c>
      <c r="T655" s="1">
        <f t="shared" si="42"/>
        <v>1621.1770290857594</v>
      </c>
      <c r="U655" s="1">
        <f t="shared" si="43"/>
        <v>844.30497091423899</v>
      </c>
    </row>
    <row r="656" spans="1:21" x14ac:dyDescent="0.3">
      <c r="A656" t="s">
        <v>359</v>
      </c>
      <c r="B656" t="s">
        <v>492</v>
      </c>
      <c r="C656" t="s">
        <v>574</v>
      </c>
      <c r="D656" t="s">
        <v>575</v>
      </c>
      <c r="E656" s="2">
        <v>46</v>
      </c>
      <c r="F656" s="2">
        <v>0</v>
      </c>
      <c r="G656" s="2">
        <v>10.491499999999901</v>
      </c>
      <c r="H656" s="2">
        <v>-6.7445000000000004</v>
      </c>
      <c r="I656" s="1">
        <v>0.72807608695652104</v>
      </c>
      <c r="J656" s="1">
        <v>0.64661956521739095</v>
      </c>
      <c r="K656" s="1">
        <v>0.52579470856198096</v>
      </c>
      <c r="L656" s="1">
        <v>0.34890094361193102</v>
      </c>
      <c r="M656" s="2"/>
      <c r="N656" s="2"/>
      <c r="P656" s="1">
        <f>I656-'Passo 1'!I656</f>
        <v>0</v>
      </c>
      <c r="Q656" s="1">
        <f>J656-'Passo 1'!J656</f>
        <v>5.4347826086958984E-3</v>
      </c>
      <c r="R656" s="1">
        <f t="shared" si="41"/>
        <v>33.491499999999967</v>
      </c>
      <c r="S656">
        <f t="shared" si="40"/>
        <v>29.744499999999984</v>
      </c>
      <c r="T656" s="1">
        <f t="shared" si="42"/>
        <v>24.186556593851122</v>
      </c>
      <c r="U656" s="1">
        <f t="shared" si="43"/>
        <v>16.049443406148828</v>
      </c>
    </row>
    <row r="657" spans="1:21" x14ac:dyDescent="0.3">
      <c r="A657" t="s">
        <v>359</v>
      </c>
      <c r="B657" t="s">
        <v>493</v>
      </c>
      <c r="C657" t="s">
        <v>34</v>
      </c>
      <c r="D657" t="s">
        <v>35</v>
      </c>
      <c r="E657" s="2">
        <v>74</v>
      </c>
      <c r="F657" s="2">
        <v>0</v>
      </c>
      <c r="G657" s="2">
        <v>28.5</v>
      </c>
      <c r="H657" s="2">
        <v>-24.5</v>
      </c>
      <c r="I657" s="1">
        <v>0.88513513513513498</v>
      </c>
      <c r="J657" s="1">
        <v>0.83108108108108103</v>
      </c>
      <c r="K657" s="1">
        <v>0.75439124136272195</v>
      </c>
      <c r="L657" s="1">
        <v>0.461824974853494</v>
      </c>
      <c r="M657" s="2"/>
      <c r="N657" s="2"/>
      <c r="P657" s="1">
        <f>I657-'Passo 1'!I657</f>
        <v>3.3783783783783994E-2</v>
      </c>
      <c r="Q657" s="1">
        <f>J657-'Passo 1'!J657</f>
        <v>0</v>
      </c>
      <c r="R657" s="1">
        <f t="shared" si="41"/>
        <v>65.499999999999986</v>
      </c>
      <c r="S657">
        <f t="shared" si="40"/>
        <v>61.499999999999993</v>
      </c>
      <c r="T657" s="1">
        <f t="shared" si="42"/>
        <v>55.824951860841423</v>
      </c>
      <c r="U657" s="1">
        <f t="shared" si="43"/>
        <v>34.175048139158555</v>
      </c>
    </row>
    <row r="658" spans="1:21" x14ac:dyDescent="0.3">
      <c r="A658" t="s">
        <v>359</v>
      </c>
      <c r="B658" t="s">
        <v>494</v>
      </c>
      <c r="C658" t="s">
        <v>34</v>
      </c>
      <c r="D658" t="s">
        <v>35</v>
      </c>
      <c r="E658" s="2">
        <v>3547.491</v>
      </c>
      <c r="F658" s="2">
        <v>0</v>
      </c>
      <c r="G658" s="2">
        <v>850.72249999999997</v>
      </c>
      <c r="H658" s="2">
        <v>-1170.1804999999999</v>
      </c>
      <c r="I658" s="1">
        <v>0.73980962883344803</v>
      </c>
      <c r="J658" s="1">
        <v>0.82986144291838904</v>
      </c>
      <c r="K658" s="1">
        <v>0.63687979805981898</v>
      </c>
      <c r="L658" s="1">
        <v>0.43279127369201797</v>
      </c>
      <c r="M658" s="2"/>
      <c r="N658" s="2"/>
      <c r="P658" s="1">
        <f>I658-'Passo 1'!I658</f>
        <v>8.1748480827717018E-2</v>
      </c>
      <c r="Q658" s="1">
        <f>J658-'Passo 1'!J658</f>
        <v>8.8409526620364054E-2</v>
      </c>
      <c r="R658" s="1">
        <f t="shared" si="41"/>
        <v>2624.4679999999976</v>
      </c>
      <c r="S658">
        <f t="shared" si="40"/>
        <v>2943.925999999999</v>
      </c>
      <c r="T658" s="1">
        <f t="shared" si="42"/>
        <v>2259.3253516990253</v>
      </c>
      <c r="U658" s="1">
        <f t="shared" si="43"/>
        <v>1535.3231483009706</v>
      </c>
    </row>
    <row r="659" spans="1:21" x14ac:dyDescent="0.3">
      <c r="A659" t="s">
        <v>359</v>
      </c>
      <c r="B659" t="s">
        <v>495</v>
      </c>
      <c r="C659" t="s">
        <v>574</v>
      </c>
      <c r="D659" t="s">
        <v>575</v>
      </c>
      <c r="E659" s="2">
        <v>681</v>
      </c>
      <c r="F659" s="2">
        <v>6.1189999999999998</v>
      </c>
      <c r="G659" s="2">
        <v>119.919</v>
      </c>
      <c r="H659" s="2">
        <v>-120.919</v>
      </c>
      <c r="I659" s="1">
        <v>0.67159985315712101</v>
      </c>
      <c r="J659" s="1">
        <v>0.67306828193832602</v>
      </c>
      <c r="K659" s="1">
        <v>0.41036938533899697</v>
      </c>
      <c r="L659" s="1">
        <v>0.43879140761254298</v>
      </c>
      <c r="M659" s="2"/>
      <c r="N659" s="2"/>
      <c r="P659" s="1">
        <f>I659-'Passo 1'!I659</f>
        <v>1.1013215859030367E-3</v>
      </c>
      <c r="Q659" s="1">
        <f>J659-'Passo 1'!J659</f>
        <v>3.3039647577099984E-3</v>
      </c>
      <c r="R659" s="1">
        <f t="shared" si="41"/>
        <v>457.3594999999994</v>
      </c>
      <c r="S659">
        <f t="shared" si="40"/>
        <v>458.35950000000003</v>
      </c>
      <c r="T659" s="1">
        <f t="shared" si="42"/>
        <v>279.46155141585695</v>
      </c>
      <c r="U659" s="1">
        <f t="shared" si="43"/>
        <v>298.81694858414176</v>
      </c>
    </row>
    <row r="660" spans="1:21" x14ac:dyDescent="0.3">
      <c r="A660" t="s">
        <v>359</v>
      </c>
      <c r="B660" t="s">
        <v>496</v>
      </c>
      <c r="C660" t="s">
        <v>576</v>
      </c>
      <c r="D660" t="s">
        <v>591</v>
      </c>
      <c r="E660" s="2">
        <v>422</v>
      </c>
      <c r="F660" s="2">
        <v>0</v>
      </c>
      <c r="G660" s="2">
        <v>189.334</v>
      </c>
      <c r="H660" s="2">
        <v>-197.834</v>
      </c>
      <c r="I660" s="1">
        <v>0.94865876777251101</v>
      </c>
      <c r="J660" s="1">
        <v>0.96880094786729798</v>
      </c>
      <c r="K660" s="1">
        <v>0.67869689709581404</v>
      </c>
      <c r="L660" s="1">
        <v>0.73876281854399595</v>
      </c>
      <c r="M660" s="2"/>
      <c r="N660" s="2"/>
      <c r="P660" s="1">
        <f>I660-'Passo 1'!I660</f>
        <v>0.12575710900473902</v>
      </c>
      <c r="Q660" s="1">
        <f>J660-'Passo 1'!J660</f>
        <v>-2.3696682464460217E-3</v>
      </c>
      <c r="R660" s="1">
        <f t="shared" si="41"/>
        <v>400.33399999999966</v>
      </c>
      <c r="S660">
        <f t="shared" si="40"/>
        <v>408.83399999999972</v>
      </c>
      <c r="T660" s="1">
        <f t="shared" si="42"/>
        <v>286.41009057443353</v>
      </c>
      <c r="U660" s="1">
        <f t="shared" si="43"/>
        <v>311.75790942556631</v>
      </c>
    </row>
    <row r="661" spans="1:21" x14ac:dyDescent="0.3">
      <c r="A661" t="s">
        <v>359</v>
      </c>
      <c r="B661" t="s">
        <v>497</v>
      </c>
      <c r="C661" t="s">
        <v>574</v>
      </c>
      <c r="D661" t="s">
        <v>575</v>
      </c>
      <c r="E661" s="2">
        <v>35.438000000000002</v>
      </c>
      <c r="F661" s="2">
        <v>8.0000000000000002E-3</v>
      </c>
      <c r="G661" s="2">
        <v>7.2190000000000003</v>
      </c>
      <c r="H661" s="2">
        <v>-7.2190000000000003</v>
      </c>
      <c r="I661" s="1">
        <v>0.703595011005135</v>
      </c>
      <c r="J661" s="1">
        <v>0.703595011005135</v>
      </c>
      <c r="K661" s="1">
        <v>0.42771611037353902</v>
      </c>
      <c r="L661" s="1">
        <v>0.47958678482370598</v>
      </c>
      <c r="M661" s="2"/>
      <c r="N661" s="2"/>
      <c r="P661" s="1">
        <f>I661-'Passo 1'!I661</f>
        <v>0</v>
      </c>
      <c r="Q661" s="1">
        <f>J661-'Passo 1'!J661</f>
        <v>0</v>
      </c>
      <c r="R661" s="1">
        <f t="shared" si="41"/>
        <v>24.933999999999976</v>
      </c>
      <c r="S661">
        <f t="shared" si="40"/>
        <v>24.933999999999976</v>
      </c>
      <c r="T661" s="1">
        <f t="shared" si="42"/>
        <v>15.157403519417477</v>
      </c>
      <c r="U661" s="1">
        <f t="shared" si="43"/>
        <v>16.995596480582492</v>
      </c>
    </row>
    <row r="662" spans="1:21" x14ac:dyDescent="0.3">
      <c r="A662" t="s">
        <v>359</v>
      </c>
      <c r="B662" t="s">
        <v>498</v>
      </c>
      <c r="C662" t="s">
        <v>34</v>
      </c>
      <c r="D662" t="s">
        <v>35</v>
      </c>
      <c r="E662" s="2">
        <v>1139.8869999999999</v>
      </c>
      <c r="F662" s="2">
        <v>0</v>
      </c>
      <c r="G662" s="2">
        <v>281.92899999999997</v>
      </c>
      <c r="H662" s="2">
        <v>-257.91049999999899</v>
      </c>
      <c r="I662" s="1">
        <v>0.74733065645980701</v>
      </c>
      <c r="J662" s="1">
        <v>0.72625970819914598</v>
      </c>
      <c r="K662" s="1">
        <v>0.65244922800543403</v>
      </c>
      <c r="L662" s="1">
        <v>0.32114113665351801</v>
      </c>
      <c r="M662" s="2"/>
      <c r="N662" s="2"/>
      <c r="P662" s="1">
        <f>I662-'Passo 1'!I662</f>
        <v>7.9433750889343013E-2</v>
      </c>
      <c r="Q662" s="1">
        <f>J662-'Passo 1'!J662</f>
        <v>8.7263035721962035E-2</v>
      </c>
      <c r="R662" s="1">
        <f t="shared" si="41"/>
        <v>851.87249999999995</v>
      </c>
      <c r="S662">
        <f t="shared" si="40"/>
        <v>827.85399999999993</v>
      </c>
      <c r="T662" s="1">
        <f t="shared" si="42"/>
        <v>743.71839316343016</v>
      </c>
      <c r="U662" s="1">
        <f t="shared" si="43"/>
        <v>366.06460683656866</v>
      </c>
    </row>
    <row r="663" spans="1:21" x14ac:dyDescent="0.3">
      <c r="A663" t="s">
        <v>359</v>
      </c>
      <c r="B663" t="s">
        <v>499</v>
      </c>
      <c r="C663" t="s">
        <v>574</v>
      </c>
      <c r="D663" t="s">
        <v>575</v>
      </c>
      <c r="E663" s="2">
        <v>202</v>
      </c>
      <c r="F663" s="2">
        <v>4.0860000000000003</v>
      </c>
      <c r="G663" s="2">
        <v>47.957000000000001</v>
      </c>
      <c r="H663" s="2">
        <v>-51.957000000000001</v>
      </c>
      <c r="I663" s="1">
        <v>0.72729702970297005</v>
      </c>
      <c r="J663" s="1">
        <v>0.74709900990098999</v>
      </c>
      <c r="K663" s="1">
        <v>0.39886850487839998</v>
      </c>
      <c r="L663" s="1">
        <v>0.58564139611169796</v>
      </c>
      <c r="M663" s="2"/>
      <c r="N663" s="2"/>
      <c r="P663" s="1">
        <f>I663-'Passo 1'!I663</f>
        <v>6.5220297029703E-2</v>
      </c>
      <c r="Q663" s="1">
        <f>J663-'Passo 1'!J663</f>
        <v>2.4752475247530326E-3</v>
      </c>
      <c r="R663" s="1">
        <f t="shared" si="41"/>
        <v>146.91399999999996</v>
      </c>
      <c r="S663">
        <f t="shared" si="40"/>
        <v>150.91399999999999</v>
      </c>
      <c r="T663" s="1">
        <f t="shared" si="42"/>
        <v>80.571437985436802</v>
      </c>
      <c r="U663" s="1">
        <f t="shared" si="43"/>
        <v>118.29956201456299</v>
      </c>
    </row>
    <row r="664" spans="1:21" x14ac:dyDescent="0.3">
      <c r="A664" t="s">
        <v>359</v>
      </c>
      <c r="B664" t="s">
        <v>500</v>
      </c>
      <c r="C664" t="s">
        <v>576</v>
      </c>
      <c r="D664" t="s">
        <v>591</v>
      </c>
      <c r="E664" s="2">
        <v>41</v>
      </c>
      <c r="F664" s="2">
        <v>0</v>
      </c>
      <c r="G664" s="2">
        <v>11.491</v>
      </c>
      <c r="H664" s="2">
        <v>-10.991</v>
      </c>
      <c r="I664" s="1">
        <v>0.78026829268292597</v>
      </c>
      <c r="J664" s="1">
        <v>0.768073170731707</v>
      </c>
      <c r="K664" s="1">
        <v>0.64980937228668401</v>
      </c>
      <c r="L664" s="1">
        <v>0.39853209112795002</v>
      </c>
      <c r="M664" s="2"/>
      <c r="N664" s="2"/>
      <c r="P664" s="1">
        <f>I664-'Passo 1'!I664</f>
        <v>7.3121951219511927E-2</v>
      </c>
      <c r="Q664" s="1">
        <f>J664-'Passo 1'!J664</f>
        <v>0</v>
      </c>
      <c r="R664" s="1">
        <f t="shared" si="41"/>
        <v>31.990999999999964</v>
      </c>
      <c r="S664">
        <f t="shared" si="40"/>
        <v>31.490999999999985</v>
      </c>
      <c r="T664" s="1">
        <f t="shared" si="42"/>
        <v>26.642184263754043</v>
      </c>
      <c r="U664" s="1">
        <f t="shared" si="43"/>
        <v>16.339815736245949</v>
      </c>
    </row>
    <row r="665" spans="1:21" x14ac:dyDescent="0.3">
      <c r="A665" t="s">
        <v>359</v>
      </c>
      <c r="B665" t="s">
        <v>501</v>
      </c>
      <c r="C665" t="s">
        <v>574</v>
      </c>
      <c r="D665" t="s">
        <v>575</v>
      </c>
      <c r="E665" s="2">
        <v>49</v>
      </c>
      <c r="F665" s="2">
        <v>0</v>
      </c>
      <c r="G665" s="2">
        <v>6.4944999999999897</v>
      </c>
      <c r="H665" s="2">
        <v>-22.75</v>
      </c>
      <c r="I665" s="1">
        <v>0.63254081632653003</v>
      </c>
      <c r="J665" s="1">
        <v>0.96428571428571397</v>
      </c>
      <c r="K665" s="1">
        <v>0.617911986493626</v>
      </c>
      <c r="L665" s="1">
        <v>0.478914544118618</v>
      </c>
      <c r="M665" s="2"/>
      <c r="N665" s="2"/>
      <c r="P665" s="1">
        <f>I665-'Passo 1'!I665</f>
        <v>0</v>
      </c>
      <c r="Q665" s="1">
        <f>J665-'Passo 1'!J665</f>
        <v>1.5428571428572013E-2</v>
      </c>
      <c r="R665" s="1">
        <f t="shared" si="41"/>
        <v>30.99449999999997</v>
      </c>
      <c r="S665">
        <f t="shared" si="40"/>
        <v>47.249999999999986</v>
      </c>
      <c r="T665" s="1">
        <f t="shared" si="42"/>
        <v>30.277687338187675</v>
      </c>
      <c r="U665" s="1">
        <f t="shared" si="43"/>
        <v>23.466812661812281</v>
      </c>
    </row>
    <row r="666" spans="1:21" x14ac:dyDescent="0.3">
      <c r="A666" t="s">
        <v>359</v>
      </c>
      <c r="B666" t="s">
        <v>502</v>
      </c>
      <c r="C666" t="s">
        <v>576</v>
      </c>
      <c r="D666" t="s">
        <v>591</v>
      </c>
      <c r="E666" s="2">
        <v>0</v>
      </c>
      <c r="F666" s="2">
        <v>0</v>
      </c>
      <c r="G666" s="2">
        <v>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M666" s="2"/>
      <c r="N666" s="2"/>
      <c r="P666" s="1">
        <f>I666-'Passo 1'!I666</f>
        <v>0</v>
      </c>
      <c r="Q666" s="1">
        <f>J666-'Passo 1'!J666</f>
        <v>0</v>
      </c>
      <c r="R666" s="1">
        <f t="shared" si="41"/>
        <v>0</v>
      </c>
      <c r="S666">
        <f t="shared" si="40"/>
        <v>0</v>
      </c>
      <c r="T666" s="1">
        <f t="shared" si="42"/>
        <v>0</v>
      </c>
      <c r="U666" s="1">
        <f t="shared" si="43"/>
        <v>0</v>
      </c>
    </row>
    <row r="667" spans="1:21" x14ac:dyDescent="0.3">
      <c r="A667" t="s">
        <v>359</v>
      </c>
      <c r="B667" t="s">
        <v>503</v>
      </c>
      <c r="C667" t="s">
        <v>574</v>
      </c>
      <c r="D667" t="s">
        <v>575</v>
      </c>
      <c r="E667" s="2">
        <v>22.288</v>
      </c>
      <c r="F667" s="2">
        <v>3.0000000000000001E-3</v>
      </c>
      <c r="G667" s="2">
        <v>9.1440000000000001</v>
      </c>
      <c r="H667" s="2">
        <v>-9.1440000000000001</v>
      </c>
      <c r="I667" s="1">
        <v>0.91019831299353904</v>
      </c>
      <c r="J667" s="1">
        <v>0.91019831299353904</v>
      </c>
      <c r="K667" s="1">
        <v>0.82138231574829701</v>
      </c>
      <c r="L667" s="1">
        <v>0.49908161102844301</v>
      </c>
      <c r="M667" s="2"/>
      <c r="N667" s="2"/>
      <c r="P667" s="1">
        <f>I667-'Passo 1'!I667</f>
        <v>0</v>
      </c>
      <c r="Q667" s="1">
        <f>J667-'Passo 1'!J667</f>
        <v>0</v>
      </c>
      <c r="R667" s="1">
        <f t="shared" si="41"/>
        <v>20.286499999999997</v>
      </c>
      <c r="S667">
        <f t="shared" si="40"/>
        <v>20.286499999999997</v>
      </c>
      <c r="T667" s="1">
        <f t="shared" si="42"/>
        <v>18.306969053398046</v>
      </c>
      <c r="U667" s="1">
        <f t="shared" si="43"/>
        <v>11.123530946601937</v>
      </c>
    </row>
    <row r="668" spans="1:21" x14ac:dyDescent="0.3">
      <c r="A668" t="s">
        <v>359</v>
      </c>
      <c r="B668" t="s">
        <v>504</v>
      </c>
      <c r="C668" t="s">
        <v>576</v>
      </c>
      <c r="D668" t="s">
        <v>591</v>
      </c>
      <c r="E668" s="2">
        <v>12.5</v>
      </c>
      <c r="F668" s="2">
        <v>0</v>
      </c>
      <c r="G668" s="2">
        <v>5.9950000000000001</v>
      </c>
      <c r="H668" s="2">
        <v>-5.9950000000000001</v>
      </c>
      <c r="I668" s="1">
        <v>0.97960000000000003</v>
      </c>
      <c r="J668" s="1">
        <v>0.97960000000000003</v>
      </c>
      <c r="K668" s="1">
        <v>0.70524092880258804</v>
      </c>
      <c r="L668" s="1">
        <v>0.75395907119741101</v>
      </c>
      <c r="M668" s="2"/>
      <c r="N668" s="2"/>
      <c r="P668" s="1">
        <f>I668-'Passo 1'!I668</f>
        <v>1.760000000000006E-2</v>
      </c>
      <c r="Q668" s="1">
        <f>J668-'Passo 1'!J668</f>
        <v>0</v>
      </c>
      <c r="R668" s="1">
        <f t="shared" si="41"/>
        <v>12.245000000000001</v>
      </c>
      <c r="S668">
        <f t="shared" si="40"/>
        <v>12.245000000000001</v>
      </c>
      <c r="T668" s="1">
        <f t="shared" si="42"/>
        <v>8.8155116100323507</v>
      </c>
      <c r="U668" s="1">
        <f t="shared" si="43"/>
        <v>9.424488389967637</v>
      </c>
    </row>
    <row r="669" spans="1:21" x14ac:dyDescent="0.3">
      <c r="A669" t="s">
        <v>359</v>
      </c>
      <c r="B669" t="s">
        <v>505</v>
      </c>
      <c r="C669" t="s">
        <v>34</v>
      </c>
      <c r="D669" t="s">
        <v>35</v>
      </c>
      <c r="E669" s="2">
        <v>6.7380000000000004</v>
      </c>
      <c r="F669" s="2">
        <v>0</v>
      </c>
      <c r="G669" s="2">
        <v>3.3690000000000002</v>
      </c>
      <c r="H669" s="2">
        <v>-3.3690000000000002</v>
      </c>
      <c r="I669" s="1">
        <v>1</v>
      </c>
      <c r="J669" s="1">
        <v>1</v>
      </c>
      <c r="K669" s="1">
        <v>0.99600015273467102</v>
      </c>
      <c r="L669" s="1">
        <v>0.50399984726532898</v>
      </c>
      <c r="M669" s="2"/>
      <c r="N669" s="2"/>
      <c r="P669" s="1">
        <f>I669-'Passo 1'!I669</f>
        <v>0</v>
      </c>
      <c r="Q669" s="1">
        <f>J669-'Passo 1'!J669</f>
        <v>0</v>
      </c>
      <c r="R669" s="1">
        <f t="shared" si="41"/>
        <v>6.7380000000000004</v>
      </c>
      <c r="S669">
        <f t="shared" si="40"/>
        <v>6.7380000000000004</v>
      </c>
      <c r="T669" s="1">
        <f t="shared" si="42"/>
        <v>6.7110490291262135</v>
      </c>
      <c r="U669" s="1">
        <f t="shared" si="43"/>
        <v>3.3959509708737867</v>
      </c>
    </row>
    <row r="670" spans="1:21" x14ac:dyDescent="0.3">
      <c r="A670" t="s">
        <v>359</v>
      </c>
      <c r="B670" t="s">
        <v>506</v>
      </c>
      <c r="C670" t="s">
        <v>34</v>
      </c>
      <c r="D670" t="s">
        <v>35</v>
      </c>
      <c r="E670" s="2">
        <v>1821.4580000000001</v>
      </c>
      <c r="F670" s="2">
        <v>0</v>
      </c>
      <c r="G670" s="2">
        <v>448.39649999999898</v>
      </c>
      <c r="H670" s="2">
        <v>-412.18</v>
      </c>
      <c r="I670" s="1">
        <v>0.74617449318073703</v>
      </c>
      <c r="J670" s="1">
        <v>0.72629124580418503</v>
      </c>
      <c r="K670" s="1">
        <v>0.650721542336682</v>
      </c>
      <c r="L670" s="1">
        <v>0.32174419664824</v>
      </c>
      <c r="M670" s="2"/>
      <c r="N670" s="2"/>
      <c r="P670" s="1">
        <f>I670-'Passo 1'!I670</f>
        <v>0.10107122975111105</v>
      </c>
      <c r="Q670" s="1">
        <f>J670-'Passo 1'!J670</f>
        <v>8.6722010609084021E-2</v>
      </c>
      <c r="R670" s="1">
        <f t="shared" si="41"/>
        <v>1359.125499999999</v>
      </c>
      <c r="S670">
        <f t="shared" si="40"/>
        <v>1322.9089999999994</v>
      </c>
      <c r="T670" s="1">
        <f t="shared" si="42"/>
        <v>1185.2619590614881</v>
      </c>
      <c r="U670" s="1">
        <f t="shared" si="43"/>
        <v>586.04354093850998</v>
      </c>
    </row>
    <row r="671" spans="1:21" x14ac:dyDescent="0.3">
      <c r="A671" t="s">
        <v>359</v>
      </c>
      <c r="B671" t="s">
        <v>507</v>
      </c>
      <c r="C671" t="s">
        <v>574</v>
      </c>
      <c r="D671" t="s">
        <v>575</v>
      </c>
      <c r="E671" s="2">
        <v>630</v>
      </c>
      <c r="F671" s="2">
        <v>39.24</v>
      </c>
      <c r="G671" s="2">
        <v>128.38</v>
      </c>
      <c r="H671" s="2">
        <v>-144.63</v>
      </c>
      <c r="I671" s="1">
        <v>0.67263492063492003</v>
      </c>
      <c r="J671" s="1">
        <v>0.69842857142857095</v>
      </c>
      <c r="K671" s="1">
        <v>0.34589586126521799</v>
      </c>
      <c r="L671" s="1">
        <v>0.55631048794113103</v>
      </c>
      <c r="M671" s="2"/>
      <c r="N671" s="2"/>
      <c r="P671" s="1">
        <f>I671-'Passo 1'!I671</f>
        <v>5.5453968253967978E-2</v>
      </c>
      <c r="Q671" s="1">
        <f>J671-'Passo 1'!J671</f>
        <v>1.1904761904759642E-3</v>
      </c>
      <c r="R671" s="1">
        <f t="shared" si="41"/>
        <v>423.75999999999959</v>
      </c>
      <c r="S671">
        <f t="shared" si="40"/>
        <v>440.00999999999971</v>
      </c>
      <c r="T671" s="1">
        <f t="shared" si="42"/>
        <v>217.91439259708733</v>
      </c>
      <c r="U671" s="1">
        <f t="shared" si="43"/>
        <v>350.47560740291254</v>
      </c>
    </row>
    <row r="672" spans="1:21" x14ac:dyDescent="0.3">
      <c r="A672" t="s">
        <v>359</v>
      </c>
      <c r="B672" t="s">
        <v>508</v>
      </c>
      <c r="C672" t="s">
        <v>576</v>
      </c>
      <c r="D672" t="s">
        <v>591</v>
      </c>
      <c r="E672" s="2">
        <v>90</v>
      </c>
      <c r="F672" s="2">
        <v>0.75</v>
      </c>
      <c r="G672" s="2">
        <v>27.976500000000001</v>
      </c>
      <c r="H672" s="2">
        <v>-27.976500000000001</v>
      </c>
      <c r="I672" s="1">
        <v>0.80668333333333297</v>
      </c>
      <c r="J672" s="1">
        <v>0.80668333333333297</v>
      </c>
      <c r="K672" s="1">
        <v>0.58553837962962896</v>
      </c>
      <c r="L672" s="1">
        <v>0.53199495370370298</v>
      </c>
      <c r="M672" s="2"/>
      <c r="N672" s="2"/>
      <c r="P672" s="1">
        <f>I672-'Passo 1'!I672</f>
        <v>8.7716666666666998E-2</v>
      </c>
      <c r="Q672" s="1">
        <f>J672-'Passo 1'!J672</f>
        <v>0</v>
      </c>
      <c r="R672" s="1">
        <f t="shared" si="41"/>
        <v>72.601499999999973</v>
      </c>
      <c r="S672">
        <f t="shared" si="40"/>
        <v>72.601499999999973</v>
      </c>
      <c r="T672" s="1">
        <f t="shared" si="42"/>
        <v>52.698454166666608</v>
      </c>
      <c r="U672" s="1">
        <f t="shared" si="43"/>
        <v>47.879545833333268</v>
      </c>
    </row>
    <row r="673" spans="1:21" x14ac:dyDescent="0.3">
      <c r="A673" t="s">
        <v>359</v>
      </c>
      <c r="B673" t="s">
        <v>509</v>
      </c>
      <c r="C673" t="s">
        <v>574</v>
      </c>
      <c r="D673" t="s">
        <v>575</v>
      </c>
      <c r="E673" s="2">
        <v>62</v>
      </c>
      <c r="F673" s="2">
        <v>2.1</v>
      </c>
      <c r="G673" s="2">
        <v>26.95</v>
      </c>
      <c r="H673" s="2">
        <v>-26.95</v>
      </c>
      <c r="I673" s="1">
        <v>0.91774193548387095</v>
      </c>
      <c r="J673" s="1">
        <v>0.91774193548387095</v>
      </c>
      <c r="K673" s="1">
        <v>0.553173780535546</v>
      </c>
      <c r="L673" s="1">
        <v>0.79924557430316301</v>
      </c>
      <c r="M673" s="2"/>
      <c r="N673" s="2"/>
      <c r="P673" s="1">
        <f>I673-'Passo 1'!I673</f>
        <v>0</v>
      </c>
      <c r="Q673" s="1">
        <f>J673-'Passo 1'!J673</f>
        <v>0</v>
      </c>
      <c r="R673" s="1">
        <f t="shared" si="41"/>
        <v>56.9</v>
      </c>
      <c r="S673">
        <f t="shared" si="40"/>
        <v>56.9</v>
      </c>
      <c r="T673" s="1">
        <f t="shared" si="42"/>
        <v>34.296774393203854</v>
      </c>
      <c r="U673" s="1">
        <f t="shared" si="43"/>
        <v>49.553225606796104</v>
      </c>
    </row>
    <row r="674" spans="1:21" x14ac:dyDescent="0.3">
      <c r="A674" t="s">
        <v>359</v>
      </c>
      <c r="B674" t="s">
        <v>510</v>
      </c>
      <c r="C674" t="s">
        <v>34</v>
      </c>
      <c r="D674" t="s">
        <v>35</v>
      </c>
      <c r="E674" s="2">
        <v>135.29400000000001</v>
      </c>
      <c r="F674" s="2">
        <v>0</v>
      </c>
      <c r="G674" s="2">
        <v>31.440999999999999</v>
      </c>
      <c r="H674" s="2">
        <v>-31.350499999999901</v>
      </c>
      <c r="I674" s="1">
        <v>0.73239020207843597</v>
      </c>
      <c r="J674" s="1">
        <v>0.73172128845329398</v>
      </c>
      <c r="K674" s="1">
        <v>0.66424583059507902</v>
      </c>
      <c r="L674" s="1">
        <v>0.29986565993664999</v>
      </c>
      <c r="M674" s="2"/>
      <c r="N674" s="2"/>
      <c r="P674" s="1">
        <f>I674-'Passo 1'!I674</f>
        <v>8.5920292104601947E-2</v>
      </c>
      <c r="Q674" s="1">
        <f>J674-'Passo 1'!J674</f>
        <v>0.10965748665868402</v>
      </c>
      <c r="R674" s="1">
        <f t="shared" si="41"/>
        <v>99.087999999999923</v>
      </c>
      <c r="S674">
        <f t="shared" si="40"/>
        <v>98.99749999999996</v>
      </c>
      <c r="T674" s="1">
        <f t="shared" si="42"/>
        <v>89.868475404530628</v>
      </c>
      <c r="U674" s="1">
        <f t="shared" si="43"/>
        <v>40.570024595469128</v>
      </c>
    </row>
    <row r="675" spans="1:21" x14ac:dyDescent="0.3">
      <c r="A675" t="s">
        <v>359</v>
      </c>
      <c r="B675" t="s">
        <v>511</v>
      </c>
      <c r="C675" t="s">
        <v>574</v>
      </c>
      <c r="D675" t="s">
        <v>575</v>
      </c>
      <c r="E675" s="2">
        <v>18</v>
      </c>
      <c r="F675" s="2">
        <v>0</v>
      </c>
      <c r="G675" s="2">
        <v>7</v>
      </c>
      <c r="H675" s="2">
        <v>-4.5</v>
      </c>
      <c r="I675" s="1">
        <v>0.88888888888888795</v>
      </c>
      <c r="J675" s="1">
        <v>0.75</v>
      </c>
      <c r="K675" s="1">
        <v>0.63730967277957495</v>
      </c>
      <c r="L675" s="1">
        <v>0.501579216109313</v>
      </c>
      <c r="M675" s="2"/>
      <c r="N675" s="2"/>
      <c r="P675" s="1">
        <f>I675-'Passo 1'!I675</f>
        <v>3.3333333333296356E-4</v>
      </c>
      <c r="Q675" s="1">
        <f>J675-'Passo 1'!J675</f>
        <v>1.9444444444505216E-4</v>
      </c>
      <c r="R675" s="1">
        <f t="shared" si="41"/>
        <v>15.999999999999982</v>
      </c>
      <c r="S675">
        <f t="shared" si="40"/>
        <v>13.5</v>
      </c>
      <c r="T675" s="1">
        <f t="shared" si="42"/>
        <v>11.47157411003235</v>
      </c>
      <c r="U675" s="1">
        <f t="shared" si="43"/>
        <v>9.0284258899676342</v>
      </c>
    </row>
    <row r="676" spans="1:21" x14ac:dyDescent="0.3">
      <c r="A676" t="s">
        <v>359</v>
      </c>
      <c r="B676" t="s">
        <v>512</v>
      </c>
      <c r="C676" t="s">
        <v>574</v>
      </c>
      <c r="D676" t="s">
        <v>575</v>
      </c>
      <c r="E676" s="2">
        <v>29</v>
      </c>
      <c r="F676" s="2">
        <v>6.0000000000000001E-3</v>
      </c>
      <c r="G676" s="2">
        <v>10.106</v>
      </c>
      <c r="H676" s="2">
        <v>-10.106</v>
      </c>
      <c r="I676" s="1">
        <v>0.84837931034482705</v>
      </c>
      <c r="J676" s="1">
        <v>0.84837931034482705</v>
      </c>
      <c r="K676" s="1">
        <v>0.56485420154000598</v>
      </c>
      <c r="L676" s="1">
        <v>0.63200786742550996</v>
      </c>
      <c r="M676" s="2"/>
      <c r="N676" s="2"/>
      <c r="P676" s="1">
        <f>I676-'Passo 1'!I676</f>
        <v>0</v>
      </c>
      <c r="Q676" s="1">
        <f>J676-'Passo 1'!J676</f>
        <v>0</v>
      </c>
      <c r="R676" s="1">
        <f t="shared" si="41"/>
        <v>24.602999999999984</v>
      </c>
      <c r="S676">
        <f t="shared" si="40"/>
        <v>24.602999999999984</v>
      </c>
      <c r="T676" s="1">
        <f t="shared" si="42"/>
        <v>16.380771844660174</v>
      </c>
      <c r="U676" s="1">
        <f t="shared" si="43"/>
        <v>18.32822815533979</v>
      </c>
    </row>
    <row r="677" spans="1:21" x14ac:dyDescent="0.3">
      <c r="A677" t="s">
        <v>359</v>
      </c>
      <c r="B677" t="s">
        <v>513</v>
      </c>
      <c r="C677" t="s">
        <v>580</v>
      </c>
      <c r="D677" t="s">
        <v>581</v>
      </c>
      <c r="E677" s="2">
        <v>22</v>
      </c>
      <c r="F677" s="2">
        <v>6.0000000000000001E-3</v>
      </c>
      <c r="G677" s="2">
        <v>5.7449999999999903</v>
      </c>
      <c r="H677" s="2">
        <v>-5.9954999999999998</v>
      </c>
      <c r="I677" s="1">
        <v>0.76099999999999901</v>
      </c>
      <c r="J677" s="1">
        <v>0.77238636363636304</v>
      </c>
      <c r="K677" s="1">
        <v>0.62338475286849004</v>
      </c>
      <c r="L677" s="1">
        <v>0.41013797440423599</v>
      </c>
      <c r="M677" s="2"/>
      <c r="N677" s="2"/>
      <c r="P677" s="1">
        <f>I677-'Passo 1'!I677</f>
        <v>0</v>
      </c>
      <c r="Q677" s="1">
        <f>J677-'Passo 1'!J677</f>
        <v>1.1181818181818071E-2</v>
      </c>
      <c r="R677" s="1">
        <f t="shared" si="41"/>
        <v>16.74199999999998</v>
      </c>
      <c r="S677">
        <f t="shared" si="40"/>
        <v>16.992499999999986</v>
      </c>
      <c r="T677" s="1">
        <f t="shared" si="42"/>
        <v>13.71446456310678</v>
      </c>
      <c r="U677" s="1">
        <f t="shared" si="43"/>
        <v>9.023035436893192</v>
      </c>
    </row>
    <row r="678" spans="1:21" x14ac:dyDescent="0.3">
      <c r="A678" t="s">
        <v>359</v>
      </c>
      <c r="B678" t="s">
        <v>514</v>
      </c>
      <c r="C678" t="s">
        <v>34</v>
      </c>
      <c r="D678" t="s">
        <v>35</v>
      </c>
      <c r="E678" s="2">
        <v>1486.059</v>
      </c>
      <c r="F678" s="2">
        <v>0</v>
      </c>
      <c r="G678" s="2">
        <v>485.47550000000001</v>
      </c>
      <c r="H678" s="2">
        <v>-398.48950000000002</v>
      </c>
      <c r="I678" s="1">
        <v>0.82668655820529302</v>
      </c>
      <c r="J678" s="1">
        <v>0.76815187014782005</v>
      </c>
      <c r="K678" s="1">
        <v>0.75717560193761202</v>
      </c>
      <c r="L678" s="1">
        <v>0.33766282641550099</v>
      </c>
      <c r="M678" s="2"/>
      <c r="N678" s="2"/>
      <c r="P678" s="1">
        <f>I678-'Passo 1'!I678</f>
        <v>4.5146928890441029E-2</v>
      </c>
      <c r="Q678" s="1">
        <f>J678-'Passo 1'!J678</f>
        <v>2.5966331081067051E-2</v>
      </c>
      <c r="R678" s="1">
        <f t="shared" si="41"/>
        <v>1228.5049999999994</v>
      </c>
      <c r="S678">
        <f t="shared" si="40"/>
        <v>1141.5189999999993</v>
      </c>
      <c r="T678" s="1">
        <f t="shared" si="42"/>
        <v>1125.2076178398058</v>
      </c>
      <c r="U678" s="1">
        <f t="shared" si="43"/>
        <v>501.78688216019299</v>
      </c>
    </row>
    <row r="679" spans="1:21" x14ac:dyDescent="0.3">
      <c r="A679" t="s">
        <v>359</v>
      </c>
      <c r="B679" t="s">
        <v>515</v>
      </c>
      <c r="C679" t="s">
        <v>574</v>
      </c>
      <c r="D679" t="s">
        <v>575</v>
      </c>
      <c r="E679" s="2">
        <v>246</v>
      </c>
      <c r="F679" s="2">
        <v>6.9000000000000006E-2</v>
      </c>
      <c r="G679" s="2">
        <v>45.776000000000003</v>
      </c>
      <c r="H679" s="2">
        <v>-46.026000000000003</v>
      </c>
      <c r="I679" s="1">
        <v>0.68594105691056895</v>
      </c>
      <c r="J679" s="1">
        <v>0.68695731707316998</v>
      </c>
      <c r="K679" s="1">
        <v>0.390460695562659</v>
      </c>
      <c r="L679" s="1">
        <v>0.48257792232351898</v>
      </c>
      <c r="M679" s="2"/>
      <c r="N679" s="2"/>
      <c r="P679" s="1">
        <f>I679-'Passo 1'!I679</f>
        <v>0</v>
      </c>
      <c r="Q679" s="1">
        <f>J679-'Passo 1'!J679</f>
        <v>3.0487804878049918E-3</v>
      </c>
      <c r="R679" s="1">
        <f t="shared" si="41"/>
        <v>168.74149999999997</v>
      </c>
      <c r="S679">
        <f t="shared" si="40"/>
        <v>168.9914999999998</v>
      </c>
      <c r="T679" s="1">
        <f t="shared" si="42"/>
        <v>96.053331108414113</v>
      </c>
      <c r="U679" s="1">
        <f t="shared" si="43"/>
        <v>118.71416889158567</v>
      </c>
    </row>
    <row r="680" spans="1:21" x14ac:dyDescent="0.3">
      <c r="A680" t="s">
        <v>359</v>
      </c>
      <c r="B680" t="s">
        <v>516</v>
      </c>
      <c r="C680" t="s">
        <v>576</v>
      </c>
      <c r="D680" t="s">
        <v>591</v>
      </c>
      <c r="E680" s="2">
        <v>23</v>
      </c>
      <c r="F680" s="2">
        <v>0</v>
      </c>
      <c r="G680" s="2">
        <v>4.5</v>
      </c>
      <c r="H680" s="2">
        <v>-4.5</v>
      </c>
      <c r="I680" s="1">
        <v>0.69565217391304301</v>
      </c>
      <c r="J680" s="1">
        <v>0.69565217391304301</v>
      </c>
      <c r="K680" s="1">
        <v>0.51027978049809997</v>
      </c>
      <c r="L680" s="1">
        <v>0.38102456732798601</v>
      </c>
      <c r="M680" s="2"/>
      <c r="N680" s="2"/>
      <c r="P680" s="1">
        <f>I680-'Passo 1'!I680</f>
        <v>2.1739130434783038E-2</v>
      </c>
      <c r="Q680" s="1">
        <f>J680-'Passo 1'!J680</f>
        <v>1.0869565217397348E-4</v>
      </c>
      <c r="R680" s="1">
        <f t="shared" si="41"/>
        <v>15.999999999999989</v>
      </c>
      <c r="S680">
        <f t="shared" si="40"/>
        <v>15.999999999999989</v>
      </c>
      <c r="T680" s="1">
        <f t="shared" si="42"/>
        <v>11.7364349514563</v>
      </c>
      <c r="U680" s="1">
        <f t="shared" si="43"/>
        <v>8.7635650485436773</v>
      </c>
    </row>
    <row r="681" spans="1:21" x14ac:dyDescent="0.3">
      <c r="A681" t="s">
        <v>359</v>
      </c>
      <c r="B681" t="s">
        <v>517</v>
      </c>
      <c r="C681" t="s">
        <v>574</v>
      </c>
      <c r="D681" t="s">
        <v>575</v>
      </c>
      <c r="E681" s="2">
        <v>3</v>
      </c>
      <c r="F681" s="2">
        <v>1E-3</v>
      </c>
      <c r="G681" s="2">
        <v>0.5</v>
      </c>
      <c r="H681" s="2">
        <v>-0.5</v>
      </c>
      <c r="I681" s="1">
        <v>0.66649999999999998</v>
      </c>
      <c r="J681" s="1">
        <v>0.66649999999999998</v>
      </c>
      <c r="K681" s="1">
        <v>0.43937709007551201</v>
      </c>
      <c r="L681" s="1">
        <v>0.39378957659115399</v>
      </c>
      <c r="M681" s="2"/>
      <c r="N681" s="2"/>
      <c r="P681" s="1">
        <f>I681-'Passo 1'!I681</f>
        <v>0</v>
      </c>
      <c r="Q681" s="1">
        <f>J681-'Passo 1'!J681</f>
        <v>0</v>
      </c>
      <c r="R681" s="1">
        <f t="shared" si="41"/>
        <v>1.9994999999999998</v>
      </c>
      <c r="S681">
        <f t="shared" si="40"/>
        <v>1.9994999999999998</v>
      </c>
      <c r="T681" s="1">
        <f t="shared" si="42"/>
        <v>1.318131270226536</v>
      </c>
      <c r="U681" s="1">
        <f t="shared" si="43"/>
        <v>1.1813687297734621</v>
      </c>
    </row>
    <row r="682" spans="1:21" x14ac:dyDescent="0.3">
      <c r="A682" t="s">
        <v>359</v>
      </c>
      <c r="B682" t="s">
        <v>518</v>
      </c>
      <c r="C682" t="s">
        <v>34</v>
      </c>
      <c r="D682" t="s">
        <v>35</v>
      </c>
      <c r="E682" s="2">
        <v>326.20400000000001</v>
      </c>
      <c r="F682" s="2">
        <v>0</v>
      </c>
      <c r="G682" s="2">
        <v>81.075000000000003</v>
      </c>
      <c r="H682" s="2">
        <v>-80.8599999999999</v>
      </c>
      <c r="I682" s="1">
        <v>0.74854079042562305</v>
      </c>
      <c r="J682" s="1">
        <v>0.74788169366408697</v>
      </c>
      <c r="K682" s="1">
        <v>0.66628338468702497</v>
      </c>
      <c r="L682" s="1">
        <v>0.33013909940268399</v>
      </c>
      <c r="M682" s="2"/>
      <c r="N682" s="2"/>
      <c r="P682" s="1">
        <f>I682-'Passo 1'!I682</f>
        <v>0.116204890191414</v>
      </c>
      <c r="Q682" s="1">
        <f>J682-'Passo 1'!J682</f>
        <v>0.108864391607706</v>
      </c>
      <c r="R682" s="1">
        <f t="shared" si="41"/>
        <v>244.17699999999994</v>
      </c>
      <c r="S682">
        <f t="shared" si="40"/>
        <v>243.96199999999982</v>
      </c>
      <c r="T682" s="1">
        <f t="shared" si="42"/>
        <v>217.34430521844629</v>
      </c>
      <c r="U682" s="1">
        <f t="shared" si="43"/>
        <v>107.69269478155313</v>
      </c>
    </row>
    <row r="683" spans="1:21" x14ac:dyDescent="0.3">
      <c r="A683" t="s">
        <v>359</v>
      </c>
      <c r="B683" t="s">
        <v>519</v>
      </c>
      <c r="C683" t="s">
        <v>574</v>
      </c>
      <c r="D683" t="s">
        <v>575</v>
      </c>
      <c r="E683" s="2">
        <v>195.25</v>
      </c>
      <c r="F683" s="2">
        <v>1.018</v>
      </c>
      <c r="G683" s="2">
        <v>48.125</v>
      </c>
      <c r="H683" s="2">
        <v>-48.125</v>
      </c>
      <c r="I683" s="1">
        <v>0.74387195902688796</v>
      </c>
      <c r="J683" s="1">
        <v>0.74387195902688796</v>
      </c>
      <c r="K683" s="1">
        <v>0.52008047975999505</v>
      </c>
      <c r="L683" s="1">
        <v>0.47027035250632898</v>
      </c>
      <c r="M683" s="2"/>
      <c r="N683" s="2"/>
      <c r="P683" s="1">
        <f>I683-'Passo 1'!I683</f>
        <v>0</v>
      </c>
      <c r="Q683" s="1">
        <f>J683-'Passo 1'!J683</f>
        <v>0</v>
      </c>
      <c r="R683" s="1">
        <f t="shared" si="41"/>
        <v>145.24099999999987</v>
      </c>
      <c r="S683">
        <f t="shared" si="40"/>
        <v>145.24099999999987</v>
      </c>
      <c r="T683" s="1">
        <f t="shared" si="42"/>
        <v>101.54571367313903</v>
      </c>
      <c r="U683" s="1">
        <f t="shared" si="43"/>
        <v>91.820286326860739</v>
      </c>
    </row>
    <row r="684" spans="1:21" x14ac:dyDescent="0.3">
      <c r="A684" t="s">
        <v>359</v>
      </c>
      <c r="B684" t="s">
        <v>520</v>
      </c>
      <c r="C684" t="s">
        <v>34</v>
      </c>
      <c r="D684" t="s">
        <v>35</v>
      </c>
      <c r="E684" s="2">
        <v>43.271000000000001</v>
      </c>
      <c r="F684" s="2">
        <v>0</v>
      </c>
      <c r="G684" s="2">
        <v>10.256500000000001</v>
      </c>
      <c r="H684" s="2">
        <v>-9.1165000000000003</v>
      </c>
      <c r="I684" s="1">
        <v>0.73702941924152399</v>
      </c>
      <c r="J684" s="1">
        <v>0.71068382981673595</v>
      </c>
      <c r="K684" s="1">
        <v>0.70775365987624195</v>
      </c>
      <c r="L684" s="1">
        <v>0.23995958918201901</v>
      </c>
      <c r="M684" s="2"/>
      <c r="N684" s="2"/>
      <c r="P684" s="1">
        <f>I684-'Passo 1'!I684</f>
        <v>6.2628550299279606E-3</v>
      </c>
      <c r="Q684" s="1">
        <f>J684-'Passo 1'!J684</f>
        <v>7.916387418825499E-2</v>
      </c>
      <c r="R684" s="1">
        <f t="shared" si="41"/>
        <v>31.891999999999985</v>
      </c>
      <c r="S684">
        <f t="shared" si="40"/>
        <v>30.751999999999981</v>
      </c>
      <c r="T684" s="1">
        <f t="shared" si="42"/>
        <v>30.625208616504867</v>
      </c>
      <c r="U684" s="1">
        <f t="shared" si="43"/>
        <v>10.383291383495145</v>
      </c>
    </row>
    <row r="685" spans="1:21" x14ac:dyDescent="0.3">
      <c r="A685" t="s">
        <v>359</v>
      </c>
      <c r="B685" t="s">
        <v>521</v>
      </c>
      <c r="C685" t="s">
        <v>574</v>
      </c>
      <c r="D685" t="s">
        <v>575</v>
      </c>
      <c r="E685" s="2">
        <v>3</v>
      </c>
      <c r="F685" s="2">
        <v>0</v>
      </c>
      <c r="G685" s="2">
        <v>1</v>
      </c>
      <c r="H685" s="2">
        <v>-1</v>
      </c>
      <c r="I685" s="1">
        <v>0.83333333333333304</v>
      </c>
      <c r="J685" s="1">
        <v>0.83333333333333304</v>
      </c>
      <c r="K685" s="1">
        <v>0.56715355987055005</v>
      </c>
      <c r="L685" s="1">
        <v>0.59951310679611602</v>
      </c>
      <c r="M685" s="2"/>
      <c r="N685" s="2"/>
      <c r="P685" s="1">
        <f>I685-'Passo 1'!I685</f>
        <v>8.3333333333330817E-3</v>
      </c>
      <c r="Q685" s="1">
        <f>J685-'Passo 1'!J685</f>
        <v>3.3333333333307458E-4</v>
      </c>
      <c r="R685" s="1">
        <f t="shared" si="41"/>
        <v>2.4999999999999991</v>
      </c>
      <c r="S685">
        <f t="shared" si="40"/>
        <v>2.4999999999999991</v>
      </c>
      <c r="T685" s="1">
        <f t="shared" si="42"/>
        <v>1.70146067961165</v>
      </c>
      <c r="U685" s="1">
        <f t="shared" si="43"/>
        <v>1.7985393203883482</v>
      </c>
    </row>
    <row r="686" spans="1:21" x14ac:dyDescent="0.3">
      <c r="A686" t="s">
        <v>359</v>
      </c>
      <c r="B686" t="s">
        <v>522</v>
      </c>
      <c r="C686" t="s">
        <v>34</v>
      </c>
      <c r="D686" t="s">
        <v>35</v>
      </c>
      <c r="E686" s="2">
        <v>71.664000000000001</v>
      </c>
      <c r="F686" s="2">
        <v>0</v>
      </c>
      <c r="G686" s="2">
        <v>17.226500000000001</v>
      </c>
      <c r="H686" s="2">
        <v>-15.369</v>
      </c>
      <c r="I686" s="1">
        <v>0.74037871176601899</v>
      </c>
      <c r="J686" s="1">
        <v>0.71445914266577304</v>
      </c>
      <c r="K686" s="1">
        <v>0.673758071874067</v>
      </c>
      <c r="L686" s="1">
        <v>0.28107978255772498</v>
      </c>
      <c r="M686" s="2"/>
      <c r="N686" s="2"/>
      <c r="P686" s="1">
        <f>I686-'Passo 1'!I686</f>
        <v>0.11478566644340304</v>
      </c>
      <c r="Q686" s="1">
        <f>J686-'Passo 1'!J686</f>
        <v>8.9326579593659083E-2</v>
      </c>
      <c r="R686" s="1">
        <f t="shared" si="41"/>
        <v>53.058499999999988</v>
      </c>
      <c r="S686">
        <f t="shared" si="40"/>
        <v>51.200999999999958</v>
      </c>
      <c r="T686" s="1">
        <f t="shared" si="42"/>
        <v>48.284198462783138</v>
      </c>
      <c r="U686" s="1">
        <f t="shared" si="43"/>
        <v>20.143301537216804</v>
      </c>
    </row>
    <row r="687" spans="1:21" x14ac:dyDescent="0.3">
      <c r="A687" t="s">
        <v>359</v>
      </c>
      <c r="B687" t="s">
        <v>523</v>
      </c>
      <c r="C687" t="s">
        <v>34</v>
      </c>
      <c r="D687" t="s">
        <v>35</v>
      </c>
      <c r="E687" s="2">
        <v>5</v>
      </c>
      <c r="F687" s="2">
        <v>0</v>
      </c>
      <c r="G687" s="2">
        <v>1.925</v>
      </c>
      <c r="H687" s="2">
        <v>-1.75</v>
      </c>
      <c r="I687" s="1">
        <v>0.88500000000000001</v>
      </c>
      <c r="J687" s="1">
        <v>0.85</v>
      </c>
      <c r="K687" s="1">
        <v>0.75513897249190898</v>
      </c>
      <c r="L687" s="1">
        <v>0.47986102750809001</v>
      </c>
      <c r="M687" s="2"/>
      <c r="N687" s="2"/>
      <c r="P687" s="1">
        <f>I687-'Passo 1'!I687</f>
        <v>0</v>
      </c>
      <c r="Q687" s="1">
        <f>J687-'Passo 1'!J687</f>
        <v>-3.5000000000000031E-2</v>
      </c>
      <c r="R687" s="1">
        <f t="shared" si="41"/>
        <v>4.4249999999999998</v>
      </c>
      <c r="S687">
        <f t="shared" si="40"/>
        <v>4.25</v>
      </c>
      <c r="T687" s="1">
        <f t="shared" si="42"/>
        <v>3.7756948624595448</v>
      </c>
      <c r="U687" s="1">
        <f t="shared" si="43"/>
        <v>2.3993051375404502</v>
      </c>
    </row>
    <row r="688" spans="1:21" x14ac:dyDescent="0.3">
      <c r="A688" t="s">
        <v>359</v>
      </c>
      <c r="B688" t="s">
        <v>524</v>
      </c>
      <c r="C688" t="s">
        <v>34</v>
      </c>
      <c r="D688" t="s">
        <v>35</v>
      </c>
      <c r="E688" s="2">
        <v>3964.1390000000001</v>
      </c>
      <c r="F688" s="2">
        <v>0</v>
      </c>
      <c r="G688" s="2">
        <v>971.39400000000001</v>
      </c>
      <c r="H688" s="2">
        <v>-1025.0709999999999</v>
      </c>
      <c r="I688" s="1">
        <v>0.74504539321148899</v>
      </c>
      <c r="J688" s="1">
        <v>0.75858603848149597</v>
      </c>
      <c r="K688" s="1">
        <v>0.64826190700351005</v>
      </c>
      <c r="L688" s="1">
        <v>0.35536952468947403</v>
      </c>
      <c r="M688" s="2"/>
      <c r="N688" s="2"/>
      <c r="P688" s="1">
        <f>I688-'Passo 1'!I688</f>
        <v>5.671345025994301E-2</v>
      </c>
      <c r="Q688" s="1">
        <f>J688-'Passo 1'!J688</f>
        <v>6.702615624729602E-2</v>
      </c>
      <c r="R688" s="1">
        <f t="shared" si="41"/>
        <v>2953.4634999999989</v>
      </c>
      <c r="S688">
        <f t="shared" si="40"/>
        <v>3007.1404999999991</v>
      </c>
      <c r="T688" s="1">
        <f t="shared" si="42"/>
        <v>2569.8003077669873</v>
      </c>
      <c r="U688" s="1">
        <f t="shared" si="43"/>
        <v>1408.734192233007</v>
      </c>
    </row>
    <row r="689" spans="1:21" x14ac:dyDescent="0.3">
      <c r="A689" t="s">
        <v>359</v>
      </c>
      <c r="B689" t="s">
        <v>525</v>
      </c>
      <c r="C689" t="s">
        <v>574</v>
      </c>
      <c r="D689" t="s">
        <v>575</v>
      </c>
      <c r="E689" s="2">
        <v>186</v>
      </c>
      <c r="F689" s="2">
        <v>5.7000000000000002E-2</v>
      </c>
      <c r="G689" s="2">
        <v>76.518500000000003</v>
      </c>
      <c r="H689" s="2">
        <v>-76.768500000000003</v>
      </c>
      <c r="I689" s="1">
        <v>0.91123655913978496</v>
      </c>
      <c r="J689" s="1">
        <v>0.91258064516129</v>
      </c>
      <c r="K689" s="1">
        <v>0.60442900093955498</v>
      </c>
      <c r="L689" s="1">
        <v>0.71954142916797104</v>
      </c>
      <c r="M689" s="2"/>
      <c r="N689" s="2"/>
      <c r="P689" s="1">
        <f>I689-'Passo 1'!I689</f>
        <v>0</v>
      </c>
      <c r="Q689" s="1">
        <f>J689-'Passo 1'!J689</f>
        <v>1.3440860215050421E-3</v>
      </c>
      <c r="R689" s="1">
        <f t="shared" si="41"/>
        <v>169.49</v>
      </c>
      <c r="S689">
        <f t="shared" si="40"/>
        <v>169.73999999999995</v>
      </c>
      <c r="T689" s="1">
        <f t="shared" si="42"/>
        <v>112.42379417475723</v>
      </c>
      <c r="U689" s="1">
        <f t="shared" si="43"/>
        <v>133.83470582524262</v>
      </c>
    </row>
    <row r="690" spans="1:21" x14ac:dyDescent="0.3">
      <c r="A690" t="s">
        <v>359</v>
      </c>
      <c r="B690" t="s">
        <v>526</v>
      </c>
      <c r="C690" t="s">
        <v>576</v>
      </c>
      <c r="D690" t="s">
        <v>591</v>
      </c>
      <c r="E690" s="2">
        <v>1352</v>
      </c>
      <c r="F690" s="2">
        <v>0</v>
      </c>
      <c r="G690" s="2">
        <v>615.46450000000004</v>
      </c>
      <c r="H690" s="2">
        <v>-640.21400000000006</v>
      </c>
      <c r="I690" s="1">
        <v>0.95522522189349102</v>
      </c>
      <c r="J690" s="1">
        <v>0.97353106508875698</v>
      </c>
      <c r="K690" s="1">
        <v>0.71068588968638102</v>
      </c>
      <c r="L690" s="1">
        <v>0.71807039729586697</v>
      </c>
      <c r="M690" s="2"/>
      <c r="N690" s="2"/>
      <c r="P690" s="1">
        <f>I690-'Passo 1'!I690</f>
        <v>0.12784837278106498</v>
      </c>
      <c r="Q690" s="1">
        <f>J690-'Passo 1'!J690</f>
        <v>-1.2943786982250183E-3</v>
      </c>
      <c r="R690" s="1">
        <f t="shared" si="41"/>
        <v>1291.4644999999998</v>
      </c>
      <c r="S690">
        <f t="shared" si="40"/>
        <v>1316.2139999999995</v>
      </c>
      <c r="T690" s="1">
        <f t="shared" si="42"/>
        <v>960.84732285598716</v>
      </c>
      <c r="U690" s="1">
        <f t="shared" si="43"/>
        <v>970.83117714401214</v>
      </c>
    </row>
    <row r="691" spans="1:21" x14ac:dyDescent="0.3">
      <c r="A691" t="s">
        <v>359</v>
      </c>
      <c r="B691" t="s">
        <v>767</v>
      </c>
      <c r="C691" t="s">
        <v>576</v>
      </c>
      <c r="D691" t="s">
        <v>589</v>
      </c>
      <c r="E691" s="2">
        <v>71.596999999999994</v>
      </c>
      <c r="F691" s="2">
        <v>0</v>
      </c>
      <c r="G691" s="2">
        <v>35.455999999999896</v>
      </c>
      <c r="H691" s="2">
        <v>-35.4465</v>
      </c>
      <c r="I691" s="1">
        <v>0.99521628001173201</v>
      </c>
      <c r="J691" s="1">
        <v>0.99508359288796999</v>
      </c>
      <c r="K691" s="1">
        <v>0.99488422093583495</v>
      </c>
      <c r="L691" s="1">
        <v>0.495415651963866</v>
      </c>
      <c r="M691" s="2"/>
      <c r="N691" s="2"/>
      <c r="P691" s="1">
        <f>I691-'Passo 1'!I691</f>
        <v>5.2872327052809975E-2</v>
      </c>
      <c r="Q691" s="1">
        <f>J691-'Passo 1'!J691</f>
        <v>0.15555121024623997</v>
      </c>
      <c r="R691" s="1">
        <f t="shared" si="41"/>
        <v>71.254499999999965</v>
      </c>
      <c r="S691">
        <f t="shared" si="40"/>
        <v>71.244999999999976</v>
      </c>
      <c r="T691" s="1">
        <f t="shared" si="42"/>
        <v>71.230725566342969</v>
      </c>
      <c r="U691" s="1">
        <f t="shared" si="43"/>
        <v>35.470274433656911</v>
      </c>
    </row>
    <row r="692" spans="1:21" x14ac:dyDescent="0.3">
      <c r="A692" t="s">
        <v>359</v>
      </c>
      <c r="B692" t="s">
        <v>527</v>
      </c>
      <c r="C692" t="s">
        <v>574</v>
      </c>
      <c r="D692" t="s">
        <v>575</v>
      </c>
      <c r="E692" s="2">
        <v>84.97</v>
      </c>
      <c r="F692" s="2">
        <v>0</v>
      </c>
      <c r="G692" s="2">
        <v>41</v>
      </c>
      <c r="H692" s="2">
        <v>-40.341500000000003</v>
      </c>
      <c r="I692" s="1">
        <v>0.98252324349770503</v>
      </c>
      <c r="J692" s="1">
        <v>0.97477344945274802</v>
      </c>
      <c r="K692" s="1">
        <v>0.73032756421169698</v>
      </c>
      <c r="L692" s="1">
        <v>0.72696912873875497</v>
      </c>
      <c r="M692" s="2"/>
      <c r="N692" s="2"/>
      <c r="P692" s="1">
        <f>I692-'Passo 1'!I692</f>
        <v>3.1899493939038015E-2</v>
      </c>
      <c r="Q692" s="1">
        <f>J692-'Passo 1'!J692</f>
        <v>0.12164293279981198</v>
      </c>
      <c r="R692" s="1">
        <f t="shared" si="41"/>
        <v>83.484999999999999</v>
      </c>
      <c r="S692">
        <f t="shared" si="40"/>
        <v>82.826499999999996</v>
      </c>
      <c r="T692" s="1">
        <f t="shared" si="42"/>
        <v>62.055933131067889</v>
      </c>
      <c r="U692" s="1">
        <f t="shared" si="43"/>
        <v>61.770566868932008</v>
      </c>
    </row>
    <row r="693" spans="1:21" x14ac:dyDescent="0.3">
      <c r="A693" t="s">
        <v>359</v>
      </c>
      <c r="B693" t="s">
        <v>528</v>
      </c>
      <c r="C693" t="s">
        <v>574</v>
      </c>
      <c r="D693" t="s">
        <v>575</v>
      </c>
      <c r="E693" s="2">
        <v>735</v>
      </c>
      <c r="F693" s="2">
        <v>0</v>
      </c>
      <c r="G693" s="2">
        <v>167.49949999999899</v>
      </c>
      <c r="H693" s="2">
        <v>-203.47499999999999</v>
      </c>
      <c r="I693" s="1">
        <v>0.72789047619047598</v>
      </c>
      <c r="J693" s="1">
        <v>0.77683673469387704</v>
      </c>
      <c r="K693" s="1">
        <v>0.71910591280848901</v>
      </c>
      <c r="L693" s="1">
        <v>0.28562129807586401</v>
      </c>
      <c r="M693" s="2"/>
      <c r="N693" s="2"/>
      <c r="P693" s="1">
        <f>I693-'Passo 1'!I693</f>
        <v>-0.27206122448979597</v>
      </c>
      <c r="Q693" s="1">
        <f>J693-'Passo 1'!J693</f>
        <v>-0.22311496598639491</v>
      </c>
      <c r="R693" s="1">
        <f t="shared" si="41"/>
        <v>534.9994999999999</v>
      </c>
      <c r="S693">
        <f t="shared" si="40"/>
        <v>570.97499999999957</v>
      </c>
      <c r="T693" s="1">
        <f t="shared" si="42"/>
        <v>528.54284591423948</v>
      </c>
      <c r="U693" s="1">
        <f t="shared" si="43"/>
        <v>209.93165408576004</v>
      </c>
    </row>
    <row r="694" spans="1:21" x14ac:dyDescent="0.3">
      <c r="A694" t="s">
        <v>359</v>
      </c>
      <c r="B694" t="s">
        <v>529</v>
      </c>
      <c r="C694" t="s">
        <v>574</v>
      </c>
      <c r="D694" t="s">
        <v>575</v>
      </c>
      <c r="E694" s="2">
        <v>3.02</v>
      </c>
      <c r="F694" s="2">
        <v>0</v>
      </c>
      <c r="G694" s="2">
        <v>0</v>
      </c>
      <c r="H694" s="2">
        <v>-1.51</v>
      </c>
      <c r="I694" s="1">
        <v>0.5</v>
      </c>
      <c r="J694" s="1">
        <v>1</v>
      </c>
      <c r="K694" s="1">
        <v>0.15728155339805799</v>
      </c>
      <c r="L694" s="1">
        <v>0.84271844660194095</v>
      </c>
      <c r="M694" s="2"/>
      <c r="N694" s="2"/>
      <c r="P694" s="1">
        <f>I694-'Passo 1'!I694</f>
        <v>0</v>
      </c>
      <c r="Q694" s="1">
        <f>J694-'Passo 1'!J694</f>
        <v>0</v>
      </c>
      <c r="R694" s="1">
        <f t="shared" si="41"/>
        <v>1.51</v>
      </c>
      <c r="S694">
        <f t="shared" si="40"/>
        <v>3.02</v>
      </c>
      <c r="T694" s="1">
        <f t="shared" si="42"/>
        <v>0.47499029126213516</v>
      </c>
      <c r="U694" s="1">
        <f t="shared" si="43"/>
        <v>2.5450097087378616</v>
      </c>
    </row>
    <row r="695" spans="1:21" x14ac:dyDescent="0.3">
      <c r="A695" t="s">
        <v>359</v>
      </c>
      <c r="B695" t="s">
        <v>768</v>
      </c>
      <c r="C695" t="s">
        <v>576</v>
      </c>
      <c r="D695" t="s">
        <v>577</v>
      </c>
      <c r="E695" s="2">
        <v>28.46</v>
      </c>
      <c r="F695" s="2">
        <v>0</v>
      </c>
      <c r="G695" s="2">
        <v>7.8424999999999896</v>
      </c>
      <c r="H695" s="2">
        <v>-9.3034999999999997</v>
      </c>
      <c r="I695" s="1">
        <v>0.77556219255094805</v>
      </c>
      <c r="J695" s="1">
        <v>0.82689739985945099</v>
      </c>
      <c r="K695" s="1">
        <v>0.49905726995476501</v>
      </c>
      <c r="L695" s="1">
        <v>0.60340232245563497</v>
      </c>
      <c r="M695" s="2"/>
      <c r="N695" s="2"/>
      <c r="P695" s="1">
        <f>I695-'Passo 1'!I695</f>
        <v>-0.22443780744905195</v>
      </c>
      <c r="Q695" s="1">
        <f>J695-'Passo 1'!J695</f>
        <v>5.8099086437104042E-2</v>
      </c>
      <c r="R695" s="1">
        <f t="shared" si="41"/>
        <v>22.072499999999984</v>
      </c>
      <c r="S695">
        <f t="shared" si="40"/>
        <v>23.533499999999975</v>
      </c>
      <c r="T695" s="1">
        <f t="shared" si="42"/>
        <v>14.203169902912613</v>
      </c>
      <c r="U695" s="1">
        <f t="shared" si="43"/>
        <v>17.17283009708737</v>
      </c>
    </row>
    <row r="696" spans="1:21" x14ac:dyDescent="0.3">
      <c r="A696" t="s">
        <v>359</v>
      </c>
      <c r="B696" t="s">
        <v>530</v>
      </c>
      <c r="C696" t="s">
        <v>574</v>
      </c>
      <c r="D696" t="s">
        <v>575</v>
      </c>
      <c r="E696" s="2">
        <v>503.97899999999998</v>
      </c>
      <c r="F696" s="2">
        <v>0.11899999999999999</v>
      </c>
      <c r="G696" s="2">
        <v>248.18700000000001</v>
      </c>
      <c r="H696" s="2">
        <v>-231.40799999999999</v>
      </c>
      <c r="I696" s="1">
        <v>0.99233698229489697</v>
      </c>
      <c r="J696" s="1">
        <v>0.95904392841765196</v>
      </c>
      <c r="K696" s="1">
        <v>0.71529412150083704</v>
      </c>
      <c r="L696" s="1">
        <v>0.73620484968645405</v>
      </c>
      <c r="M696" s="2"/>
      <c r="N696" s="2"/>
      <c r="P696" s="1">
        <f>I696-'Passo 1'!I696</f>
        <v>5.8168098273935986E-2</v>
      </c>
      <c r="Q696" s="1">
        <f>J696-'Passo 1'!J696</f>
        <v>5.2069629885372004E-2</v>
      </c>
      <c r="R696" s="1">
        <f t="shared" si="41"/>
        <v>500.11699999999985</v>
      </c>
      <c r="S696">
        <f t="shared" si="40"/>
        <v>483.33799999999979</v>
      </c>
      <c r="T696" s="1">
        <f t="shared" si="42"/>
        <v>360.49321605987035</v>
      </c>
      <c r="U696" s="1">
        <f t="shared" si="43"/>
        <v>371.0317839401294</v>
      </c>
    </row>
    <row r="697" spans="1:21" x14ac:dyDescent="0.3">
      <c r="A697" t="s">
        <v>359</v>
      </c>
      <c r="B697" t="s">
        <v>531</v>
      </c>
      <c r="C697" t="s">
        <v>574</v>
      </c>
      <c r="D697" t="s">
        <v>575</v>
      </c>
      <c r="E697" s="2">
        <v>73.444999999999993</v>
      </c>
      <c r="F697" s="2">
        <v>0</v>
      </c>
      <c r="G697" s="2">
        <v>21.407499999999999</v>
      </c>
      <c r="H697" s="2">
        <v>-25.878499999999999</v>
      </c>
      <c r="I697" s="1">
        <v>0.79147661515419698</v>
      </c>
      <c r="J697" s="1">
        <v>0.85235210021104202</v>
      </c>
      <c r="K697" s="1">
        <v>0.49887177039111402</v>
      </c>
      <c r="L697" s="1">
        <v>0.64495694497412404</v>
      </c>
      <c r="M697" s="2"/>
      <c r="N697" s="2"/>
      <c r="P697" s="1">
        <f>I697-'Passo 1'!I697</f>
        <v>2.9913540744775036E-2</v>
      </c>
      <c r="Q697" s="1">
        <f>J697-'Passo 1'!J697</f>
        <v>4.0601810878889033E-2</v>
      </c>
      <c r="R697" s="1">
        <f t="shared" si="41"/>
        <v>58.129999999999995</v>
      </c>
      <c r="S697">
        <f t="shared" si="40"/>
        <v>62.600999999999978</v>
      </c>
      <c r="T697" s="1">
        <f t="shared" si="42"/>
        <v>36.639637176375366</v>
      </c>
      <c r="U697" s="1">
        <f t="shared" si="43"/>
        <v>47.368862823624532</v>
      </c>
    </row>
    <row r="698" spans="1:21" x14ac:dyDescent="0.3">
      <c r="A698" t="s">
        <v>359</v>
      </c>
      <c r="B698" t="s">
        <v>532</v>
      </c>
      <c r="C698" t="s">
        <v>574</v>
      </c>
      <c r="D698" t="s">
        <v>575</v>
      </c>
      <c r="E698" s="2">
        <v>50.832000000000001</v>
      </c>
      <c r="F698" s="2">
        <v>0</v>
      </c>
      <c r="G698" s="2">
        <v>24.917000000000002</v>
      </c>
      <c r="H698" s="2">
        <v>-25.245999999999999</v>
      </c>
      <c r="I698" s="1">
        <v>0.990183349071451</v>
      </c>
      <c r="J698" s="1">
        <v>0.99665564998426104</v>
      </c>
      <c r="K698" s="1">
        <v>0.70946572098532801</v>
      </c>
      <c r="L698" s="1">
        <v>0.77737327807038403</v>
      </c>
      <c r="M698" s="2"/>
      <c r="N698" s="2"/>
      <c r="P698" s="1">
        <f>I698-'Passo 1'!I698</f>
        <v>3.5469782813975947E-2</v>
      </c>
      <c r="Q698" s="1">
        <f>J698-'Passo 1'!J698</f>
        <v>1.8718523764557071E-2</v>
      </c>
      <c r="R698" s="1">
        <f t="shared" si="41"/>
        <v>50.332999999999998</v>
      </c>
      <c r="S698">
        <f t="shared" si="40"/>
        <v>50.661999999999956</v>
      </c>
      <c r="T698" s="1">
        <f t="shared" si="42"/>
        <v>36.063561529126197</v>
      </c>
      <c r="U698" s="1">
        <f t="shared" si="43"/>
        <v>39.515438470873761</v>
      </c>
    </row>
    <row r="699" spans="1:21" x14ac:dyDescent="0.3">
      <c r="A699" t="s">
        <v>359</v>
      </c>
      <c r="B699" t="s">
        <v>533</v>
      </c>
      <c r="C699" t="s">
        <v>576</v>
      </c>
      <c r="D699" t="s">
        <v>14</v>
      </c>
      <c r="E699" s="2">
        <v>10.589</v>
      </c>
      <c r="F699" s="2">
        <v>10.589</v>
      </c>
      <c r="G699" s="2">
        <v>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M699" s="2"/>
      <c r="N699" s="2"/>
      <c r="P699" s="1">
        <f>I699-'Passo 1'!I699</f>
        <v>0</v>
      </c>
      <c r="Q699" s="1">
        <f>J699-'Passo 1'!J699</f>
        <v>0</v>
      </c>
      <c r="R699" s="1">
        <f t="shared" si="41"/>
        <v>0</v>
      </c>
      <c r="S699">
        <f t="shared" si="40"/>
        <v>0</v>
      </c>
      <c r="T699" s="1">
        <f t="shared" si="42"/>
        <v>0</v>
      </c>
      <c r="U699" s="1">
        <f t="shared" si="43"/>
        <v>0</v>
      </c>
    </row>
    <row r="700" spans="1:21" x14ac:dyDescent="0.3">
      <c r="A700" t="s">
        <v>359</v>
      </c>
      <c r="B700" t="s">
        <v>769</v>
      </c>
      <c r="C700" t="s">
        <v>574</v>
      </c>
      <c r="D700" t="s">
        <v>575</v>
      </c>
      <c r="E700" s="2">
        <v>78.716999999999999</v>
      </c>
      <c r="F700" s="2">
        <v>0</v>
      </c>
      <c r="G700" s="2">
        <v>26.3795</v>
      </c>
      <c r="H700" s="2">
        <v>-10.961499999999999</v>
      </c>
      <c r="I700" s="1">
        <v>0.83511820826505001</v>
      </c>
      <c r="J700" s="1">
        <v>0.63925200401437998</v>
      </c>
      <c r="K700" s="1">
        <v>0.66937102281068805</v>
      </c>
      <c r="L700" s="1">
        <v>0.30499918946874199</v>
      </c>
      <c r="M700" s="2"/>
      <c r="N700" s="2"/>
      <c r="P700" s="1">
        <f>I700-'Passo 1'!I700</f>
        <v>0.10387845065233703</v>
      </c>
      <c r="Q700" s="1">
        <f>J700-'Passo 1'!J700</f>
        <v>3.8111208506397265E-4</v>
      </c>
      <c r="R700" s="1">
        <f t="shared" si="41"/>
        <v>65.737999999999943</v>
      </c>
      <c r="S700">
        <f t="shared" si="40"/>
        <v>50.319999999999951</v>
      </c>
      <c r="T700" s="1">
        <f t="shared" si="42"/>
        <v>52.690878802588934</v>
      </c>
      <c r="U700" s="1">
        <f t="shared" si="43"/>
        <v>24.008621197410964</v>
      </c>
    </row>
    <row r="701" spans="1:21" x14ac:dyDescent="0.3">
      <c r="A701" t="s">
        <v>359</v>
      </c>
      <c r="B701" t="s">
        <v>534</v>
      </c>
      <c r="C701" t="s">
        <v>576</v>
      </c>
      <c r="D701" t="s">
        <v>577</v>
      </c>
      <c r="E701" s="2">
        <v>0</v>
      </c>
      <c r="F701" s="2">
        <v>0</v>
      </c>
      <c r="G701" s="2">
        <v>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M701" s="2"/>
      <c r="N701" s="2"/>
      <c r="P701" s="1">
        <f>I701-'Passo 1'!I701</f>
        <v>0</v>
      </c>
      <c r="Q701" s="1">
        <f>J701-'Passo 1'!J701</f>
        <v>0</v>
      </c>
      <c r="R701" s="1">
        <f t="shared" si="41"/>
        <v>0</v>
      </c>
      <c r="S701">
        <f t="shared" si="40"/>
        <v>0</v>
      </c>
      <c r="T701" s="1">
        <f t="shared" si="42"/>
        <v>0</v>
      </c>
      <c r="U701" s="1">
        <f t="shared" si="43"/>
        <v>0</v>
      </c>
    </row>
    <row r="702" spans="1:21" x14ac:dyDescent="0.3">
      <c r="A702" t="s">
        <v>359</v>
      </c>
      <c r="B702" t="s">
        <v>535</v>
      </c>
      <c r="C702" t="s">
        <v>574</v>
      </c>
      <c r="D702" t="s">
        <v>575</v>
      </c>
      <c r="E702" s="2">
        <v>177.035</v>
      </c>
      <c r="F702" s="2">
        <v>3.4809999999999999</v>
      </c>
      <c r="G702" s="2">
        <v>73.86</v>
      </c>
      <c r="H702" s="2">
        <v>-74.174999999999997</v>
      </c>
      <c r="I702" s="1">
        <v>0.90737424803004996</v>
      </c>
      <c r="J702" s="1">
        <v>0.90915355720620195</v>
      </c>
      <c r="K702" s="1">
        <v>0.53963166394336404</v>
      </c>
      <c r="L702" s="1">
        <v>0.78672753056619504</v>
      </c>
      <c r="M702" s="2"/>
      <c r="N702" s="2"/>
      <c r="P702" s="1">
        <f>I702-'Passo 1'!I702</f>
        <v>0.178851639506312</v>
      </c>
      <c r="Q702" s="1">
        <f>J702-'Passo 1'!J702</f>
        <v>6.1050074843957969E-2</v>
      </c>
      <c r="R702" s="1">
        <f t="shared" si="41"/>
        <v>160.63699999999989</v>
      </c>
      <c r="S702">
        <f t="shared" si="40"/>
        <v>160.95199999999997</v>
      </c>
      <c r="T702" s="1">
        <f t="shared" si="42"/>
        <v>95.533691626213454</v>
      </c>
      <c r="U702" s="1">
        <f t="shared" si="43"/>
        <v>139.27830837378633</v>
      </c>
    </row>
    <row r="703" spans="1:21" x14ac:dyDescent="0.3">
      <c r="A703" t="s">
        <v>359</v>
      </c>
      <c r="B703" t="s">
        <v>536</v>
      </c>
      <c r="C703" t="s">
        <v>576</v>
      </c>
      <c r="D703" t="s">
        <v>577</v>
      </c>
      <c r="E703" s="2">
        <v>115.899</v>
      </c>
      <c r="F703" s="2">
        <v>0</v>
      </c>
      <c r="G703" s="2">
        <v>56.58</v>
      </c>
      <c r="H703" s="2">
        <v>-56.118000000000002</v>
      </c>
      <c r="I703" s="1">
        <v>0.98818367716718802</v>
      </c>
      <c r="J703" s="1">
        <v>0.98419744777780604</v>
      </c>
      <c r="K703" s="1">
        <v>0.96957418824184904</v>
      </c>
      <c r="L703" s="1">
        <v>0.50280693670314602</v>
      </c>
      <c r="M703" s="2"/>
      <c r="N703" s="2"/>
      <c r="P703" s="1">
        <f>I703-'Passo 1'!I703</f>
        <v>6.3555336974434051E-2</v>
      </c>
      <c r="Q703" s="1">
        <f>J703-'Passo 1'!J703</f>
        <v>5.0643232469650079E-2</v>
      </c>
      <c r="R703" s="1">
        <f t="shared" si="41"/>
        <v>114.52949999999993</v>
      </c>
      <c r="S703">
        <f t="shared" si="40"/>
        <v>114.06749999999994</v>
      </c>
      <c r="T703" s="1">
        <f t="shared" si="42"/>
        <v>112.37267884304207</v>
      </c>
      <c r="U703" s="1">
        <f t="shared" si="43"/>
        <v>58.27482115695792</v>
      </c>
    </row>
    <row r="704" spans="1:21" x14ac:dyDescent="0.3">
      <c r="A704" t="s">
        <v>359</v>
      </c>
      <c r="B704" t="s">
        <v>537</v>
      </c>
      <c r="C704" t="s">
        <v>576</v>
      </c>
      <c r="D704" t="s">
        <v>577</v>
      </c>
      <c r="E704" s="2">
        <v>74.326999999999998</v>
      </c>
      <c r="F704" s="2">
        <v>0</v>
      </c>
      <c r="G704" s="2">
        <v>37.058</v>
      </c>
      <c r="H704" s="2">
        <v>-37.163499999999999</v>
      </c>
      <c r="I704" s="1">
        <v>0.99858059655306897</v>
      </c>
      <c r="J704" s="1">
        <v>1</v>
      </c>
      <c r="K704" s="1">
        <v>0.978439287983219</v>
      </c>
      <c r="L704" s="1">
        <v>0.52014130856984897</v>
      </c>
      <c r="M704" s="2"/>
      <c r="N704" s="2"/>
      <c r="P704" s="1">
        <f>I704-'Passo 1'!I704</f>
        <v>5.4515855611016018E-2</v>
      </c>
      <c r="Q704" s="1">
        <f>J704-'Passo 1'!J704</f>
        <v>4.2212116727434967E-2</v>
      </c>
      <c r="R704" s="1">
        <f t="shared" si="41"/>
        <v>74.221499999999949</v>
      </c>
      <c r="S704">
        <f t="shared" si="40"/>
        <v>74.326999999999998</v>
      </c>
      <c r="T704" s="1">
        <f t="shared" si="42"/>
        <v>72.724456957928723</v>
      </c>
      <c r="U704" s="1">
        <f t="shared" si="43"/>
        <v>38.660543042071161</v>
      </c>
    </row>
    <row r="705" spans="1:21" x14ac:dyDescent="0.3">
      <c r="A705" t="s">
        <v>359</v>
      </c>
      <c r="B705" t="s">
        <v>770</v>
      </c>
      <c r="C705" t="s">
        <v>574</v>
      </c>
      <c r="D705" t="s">
        <v>575</v>
      </c>
      <c r="E705" s="2">
        <v>248.21</v>
      </c>
      <c r="F705" s="2">
        <v>0</v>
      </c>
      <c r="G705" s="2">
        <v>100.99299999999999</v>
      </c>
      <c r="H705" s="2">
        <v>-92.685000000000002</v>
      </c>
      <c r="I705" s="1">
        <v>0.90688529873897095</v>
      </c>
      <c r="J705" s="1">
        <v>0.87341364167438795</v>
      </c>
      <c r="K705" s="1">
        <v>0.54818250110923605</v>
      </c>
      <c r="L705" s="1">
        <v>0.73211643930412296</v>
      </c>
      <c r="M705" s="2"/>
      <c r="N705" s="2"/>
      <c r="P705" s="1">
        <f>I705-'Passo 1'!I705</f>
        <v>6.1216308770798977E-2</v>
      </c>
      <c r="Q705" s="1">
        <f>J705-'Passo 1'!J705</f>
        <v>6.242093388662795E-2</v>
      </c>
      <c r="R705" s="1">
        <f t="shared" si="41"/>
        <v>225.09799999999998</v>
      </c>
      <c r="S705">
        <f t="shared" si="40"/>
        <v>216.78999999999985</v>
      </c>
      <c r="T705" s="1">
        <f t="shared" si="42"/>
        <v>136.06437860032349</v>
      </c>
      <c r="U705" s="1">
        <f t="shared" si="43"/>
        <v>181.71862139967635</v>
      </c>
    </row>
    <row r="706" spans="1:21" x14ac:dyDescent="0.3">
      <c r="A706" t="s">
        <v>359</v>
      </c>
      <c r="B706" t="s">
        <v>538</v>
      </c>
      <c r="C706" t="s">
        <v>574</v>
      </c>
      <c r="D706" t="s">
        <v>575</v>
      </c>
      <c r="E706" s="2">
        <v>112.631</v>
      </c>
      <c r="F706" s="2">
        <v>0</v>
      </c>
      <c r="G706" s="2">
        <v>43.000500000000002</v>
      </c>
      <c r="H706" s="2">
        <v>-37.951999999999998</v>
      </c>
      <c r="I706" s="1">
        <v>0.88178210261828405</v>
      </c>
      <c r="J706" s="1">
        <v>0.836958741376708</v>
      </c>
      <c r="K706" s="1">
        <v>0.69148142893170095</v>
      </c>
      <c r="L706" s="1">
        <v>0.52725941506329099</v>
      </c>
      <c r="M706" s="2"/>
      <c r="N706" s="2"/>
      <c r="P706" s="1">
        <f>I706-'Passo 1'!I706</f>
        <v>7.9835924390265101E-2</v>
      </c>
      <c r="Q706" s="1">
        <f>J706-'Passo 1'!J706</f>
        <v>4.2803491045982023E-2</v>
      </c>
      <c r="R706" s="1">
        <f t="shared" si="41"/>
        <v>99.315999999999946</v>
      </c>
      <c r="S706">
        <f t="shared" ref="S706:S769" si="44">J706*E706</f>
        <v>94.267499999999998</v>
      </c>
      <c r="T706" s="1">
        <f t="shared" si="42"/>
        <v>77.882244822006413</v>
      </c>
      <c r="U706" s="1">
        <f t="shared" si="43"/>
        <v>59.385755177993531</v>
      </c>
    </row>
    <row r="707" spans="1:21" x14ac:dyDescent="0.3">
      <c r="A707" t="s">
        <v>359</v>
      </c>
      <c r="B707" t="s">
        <v>539</v>
      </c>
      <c r="C707" t="s">
        <v>574</v>
      </c>
      <c r="D707" t="s">
        <v>575</v>
      </c>
      <c r="E707" s="2">
        <v>1435.4090000000001</v>
      </c>
      <c r="F707" s="2">
        <v>392.26900000000001</v>
      </c>
      <c r="G707" s="2">
        <v>320.96249999999998</v>
      </c>
      <c r="H707" s="2">
        <v>-283.84199999999998</v>
      </c>
      <c r="I707" s="1">
        <v>0.58696336723540099</v>
      </c>
      <c r="J707" s="1">
        <v>0.56110279369852001</v>
      </c>
      <c r="K707" s="1">
        <v>0.40749353928376703</v>
      </c>
      <c r="L707" s="1">
        <v>0.37721277090378103</v>
      </c>
      <c r="M707" s="2"/>
      <c r="N707" s="2"/>
      <c r="P707" s="1">
        <f>I707-'Passo 1'!I707</f>
        <v>3.1783972373030989E-2</v>
      </c>
      <c r="Q707" s="1">
        <f>J707-'Passo 1'!J707</f>
        <v>1.0368473375880982E-2</v>
      </c>
      <c r="R707" s="1">
        <f t="shared" ref="R707:R770" si="45">I707*E707</f>
        <v>842.5324999999998</v>
      </c>
      <c r="S707">
        <f t="shared" si="44"/>
        <v>805.41199999999901</v>
      </c>
      <c r="T707" s="1">
        <f t="shared" ref="T707:T770" si="46">K707*E707</f>
        <v>584.91989372977275</v>
      </c>
      <c r="U707" s="1">
        <f t="shared" ref="U707:U770" si="47">L707*E707</f>
        <v>541.45460627022544</v>
      </c>
    </row>
    <row r="708" spans="1:21" x14ac:dyDescent="0.3">
      <c r="A708" t="s">
        <v>359</v>
      </c>
      <c r="B708" t="s">
        <v>540</v>
      </c>
      <c r="C708" t="s">
        <v>576</v>
      </c>
      <c r="D708" t="s">
        <v>14</v>
      </c>
      <c r="E708" s="2">
        <v>0</v>
      </c>
      <c r="F708" s="2">
        <v>0</v>
      </c>
      <c r="G708" s="2">
        <v>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M708" s="2"/>
      <c r="N708" s="2"/>
      <c r="P708" s="1">
        <f>I708-'Passo 1'!I708</f>
        <v>0</v>
      </c>
      <c r="Q708" s="1">
        <f>J708-'Passo 1'!J708</f>
        <v>0</v>
      </c>
      <c r="R708" s="1">
        <f t="shared" si="45"/>
        <v>0</v>
      </c>
      <c r="S708">
        <f t="shared" si="44"/>
        <v>0</v>
      </c>
      <c r="T708" s="1">
        <f t="shared" si="46"/>
        <v>0</v>
      </c>
      <c r="U708" s="1">
        <f t="shared" si="47"/>
        <v>0</v>
      </c>
    </row>
    <row r="709" spans="1:21" x14ac:dyDescent="0.3">
      <c r="A709" t="s">
        <v>359</v>
      </c>
      <c r="B709" t="s">
        <v>771</v>
      </c>
      <c r="C709" t="s">
        <v>576</v>
      </c>
      <c r="D709" t="s">
        <v>577</v>
      </c>
      <c r="E709" s="2">
        <v>75.043000000000006</v>
      </c>
      <c r="F709" s="2">
        <v>0</v>
      </c>
      <c r="G709" s="2">
        <v>37.494</v>
      </c>
      <c r="H709" s="2">
        <v>-37.500999999999998</v>
      </c>
      <c r="I709" s="1">
        <v>0.99963354343509703</v>
      </c>
      <c r="J709" s="1">
        <v>0.99972682328798101</v>
      </c>
      <c r="K709" s="1">
        <v>0.99194020401334504</v>
      </c>
      <c r="L709" s="1">
        <v>0.507420162709733</v>
      </c>
      <c r="M709" s="2"/>
      <c r="N709" s="2"/>
      <c r="P709" s="1">
        <f>I709-'Passo 1'!I709</f>
        <v>3.605932598643502E-2</v>
      </c>
      <c r="Q709" s="1">
        <f>J709-'Passo 1'!J709</f>
        <v>1.4485028583612003E-2</v>
      </c>
      <c r="R709" s="1">
        <f t="shared" si="45"/>
        <v>75.015499999999989</v>
      </c>
      <c r="S709">
        <f t="shared" si="44"/>
        <v>75.022499999999965</v>
      </c>
      <c r="T709" s="1">
        <f t="shared" si="46"/>
        <v>74.438168729773452</v>
      </c>
      <c r="U709" s="1">
        <f t="shared" si="47"/>
        <v>38.078331270226499</v>
      </c>
    </row>
    <row r="710" spans="1:21" x14ac:dyDescent="0.3">
      <c r="A710" t="s">
        <v>359</v>
      </c>
      <c r="B710" t="s">
        <v>541</v>
      </c>
      <c r="C710" t="s">
        <v>576</v>
      </c>
      <c r="D710" t="s">
        <v>14</v>
      </c>
      <c r="E710" s="2">
        <v>0</v>
      </c>
      <c r="F710" s="2">
        <v>0</v>
      </c>
      <c r="G710" s="2">
        <v>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M710" s="2"/>
      <c r="N710" s="2"/>
      <c r="P710" s="1">
        <f>I710-'Passo 1'!I710</f>
        <v>0</v>
      </c>
      <c r="Q710" s="1">
        <f>J710-'Passo 1'!J710</f>
        <v>0</v>
      </c>
      <c r="R710" s="1">
        <f t="shared" si="45"/>
        <v>0</v>
      </c>
      <c r="S710">
        <f t="shared" si="44"/>
        <v>0</v>
      </c>
      <c r="T710" s="1">
        <f t="shared" si="46"/>
        <v>0</v>
      </c>
      <c r="U710" s="1">
        <f t="shared" si="47"/>
        <v>0</v>
      </c>
    </row>
    <row r="711" spans="1:21" x14ac:dyDescent="0.3">
      <c r="A711" t="s">
        <v>359</v>
      </c>
      <c r="B711" t="s">
        <v>772</v>
      </c>
      <c r="C711" t="s">
        <v>574</v>
      </c>
      <c r="D711" t="s">
        <v>575</v>
      </c>
      <c r="E711" s="2">
        <v>255.84399999999999</v>
      </c>
      <c r="F711" s="2">
        <v>0</v>
      </c>
      <c r="G711" s="2">
        <v>102.13849999999999</v>
      </c>
      <c r="H711" s="2">
        <v>-103.157</v>
      </c>
      <c r="I711" s="1">
        <v>0.89922179140413605</v>
      </c>
      <c r="J711" s="1">
        <v>0.90320273291537001</v>
      </c>
      <c r="K711" s="1">
        <v>0.73382774268694895</v>
      </c>
      <c r="L711" s="1">
        <v>0.568596781632557</v>
      </c>
      <c r="M711" s="2"/>
      <c r="N711" s="2"/>
      <c r="P711" s="1">
        <f>I711-'Passo 1'!I711</f>
        <v>7.7156392176482069E-2</v>
      </c>
      <c r="Q711" s="1">
        <f>J711-'Passo 1'!J711</f>
        <v>2.1133972264348988E-2</v>
      </c>
      <c r="R711" s="1">
        <f t="shared" si="45"/>
        <v>230.06049999999979</v>
      </c>
      <c r="S711">
        <f t="shared" si="44"/>
        <v>231.07899999999992</v>
      </c>
      <c r="T711" s="1">
        <f t="shared" si="46"/>
        <v>187.74542499999976</v>
      </c>
      <c r="U711" s="1">
        <f t="shared" si="47"/>
        <v>145.4720749999999</v>
      </c>
    </row>
    <row r="712" spans="1:21" x14ac:dyDescent="0.3">
      <c r="A712" t="s">
        <v>359</v>
      </c>
      <c r="B712" t="s">
        <v>773</v>
      </c>
      <c r="C712" t="s">
        <v>576</v>
      </c>
      <c r="D712" t="s">
        <v>14</v>
      </c>
      <c r="E712" s="2">
        <v>0</v>
      </c>
      <c r="F712" s="2">
        <v>0</v>
      </c>
      <c r="G712" s="2">
        <v>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M712" s="2"/>
      <c r="N712" s="2"/>
      <c r="P712" s="1">
        <f>I712-'Passo 1'!I712</f>
        <v>0</v>
      </c>
      <c r="Q712" s="1">
        <f>J712-'Passo 1'!J712</f>
        <v>0</v>
      </c>
      <c r="R712" s="1">
        <f t="shared" si="45"/>
        <v>0</v>
      </c>
      <c r="S712">
        <f t="shared" si="44"/>
        <v>0</v>
      </c>
      <c r="T712" s="1">
        <f t="shared" si="46"/>
        <v>0</v>
      </c>
      <c r="U712" s="1">
        <f t="shared" si="47"/>
        <v>0</v>
      </c>
    </row>
    <row r="713" spans="1:21" x14ac:dyDescent="0.3">
      <c r="A713" t="s">
        <v>359</v>
      </c>
      <c r="B713" t="s">
        <v>542</v>
      </c>
      <c r="C713" t="s">
        <v>574</v>
      </c>
      <c r="D713" t="s">
        <v>575</v>
      </c>
      <c r="E713" s="2">
        <v>106.59699999999999</v>
      </c>
      <c r="F713" s="2">
        <v>0</v>
      </c>
      <c r="G713" s="2">
        <v>34.487000000000002</v>
      </c>
      <c r="H713" s="2">
        <v>-34.244500000000002</v>
      </c>
      <c r="I713" s="1">
        <v>0.82352692852519305</v>
      </c>
      <c r="J713" s="1">
        <v>0.82125200521590602</v>
      </c>
      <c r="K713" s="1">
        <v>0.60174168555111796</v>
      </c>
      <c r="L713" s="1">
        <v>0.543037248189981</v>
      </c>
      <c r="M713" s="2"/>
      <c r="N713" s="2"/>
      <c r="P713" s="1">
        <f>I713-'Passo 1'!I713</f>
        <v>5.7102920344851094E-2</v>
      </c>
      <c r="Q713" s="1">
        <f>J713-'Passo 1'!J713</f>
        <v>2.4193926658348075E-2</v>
      </c>
      <c r="R713" s="1">
        <f t="shared" si="45"/>
        <v>87.785499999999999</v>
      </c>
      <c r="S713">
        <f t="shared" si="44"/>
        <v>87.542999999999935</v>
      </c>
      <c r="T713" s="1">
        <f t="shared" si="46"/>
        <v>64.14385845469252</v>
      </c>
      <c r="U713" s="1">
        <f t="shared" si="47"/>
        <v>57.886141545307403</v>
      </c>
    </row>
    <row r="714" spans="1:21" x14ac:dyDescent="0.3">
      <c r="A714" t="s">
        <v>359</v>
      </c>
      <c r="B714" t="s">
        <v>543</v>
      </c>
      <c r="C714" t="s">
        <v>574</v>
      </c>
      <c r="D714" t="s">
        <v>575</v>
      </c>
      <c r="E714" s="2">
        <v>0</v>
      </c>
      <c r="F714" s="2">
        <v>0</v>
      </c>
      <c r="G714" s="2">
        <v>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M714" s="2"/>
      <c r="N714" s="2"/>
      <c r="P714" s="1">
        <f>I714-'Passo 1'!I714</f>
        <v>0</v>
      </c>
      <c r="Q714" s="1">
        <f>J714-'Passo 1'!J714</f>
        <v>0</v>
      </c>
      <c r="R714" s="1">
        <f t="shared" si="45"/>
        <v>0</v>
      </c>
      <c r="S714">
        <f t="shared" si="44"/>
        <v>0</v>
      </c>
      <c r="T714" s="1">
        <f t="shared" si="46"/>
        <v>0</v>
      </c>
      <c r="U714" s="1">
        <f t="shared" si="47"/>
        <v>0</v>
      </c>
    </row>
    <row r="715" spans="1:21" x14ac:dyDescent="0.3">
      <c r="A715" t="s">
        <v>359</v>
      </c>
      <c r="B715" t="s">
        <v>774</v>
      </c>
      <c r="C715" t="s">
        <v>576</v>
      </c>
      <c r="D715" t="s">
        <v>14</v>
      </c>
      <c r="E715" s="2">
        <v>0</v>
      </c>
      <c r="F715" s="2">
        <v>0</v>
      </c>
      <c r="G715" s="2">
        <v>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M715" s="2"/>
      <c r="N715" s="2"/>
      <c r="P715" s="1">
        <f>I715-'Passo 1'!I715</f>
        <v>0</v>
      </c>
      <c r="Q715" s="1">
        <f>J715-'Passo 1'!J715</f>
        <v>0</v>
      </c>
      <c r="R715" s="1">
        <f t="shared" si="45"/>
        <v>0</v>
      </c>
      <c r="S715">
        <f t="shared" si="44"/>
        <v>0</v>
      </c>
      <c r="T715" s="1">
        <f t="shared" si="46"/>
        <v>0</v>
      </c>
      <c r="U715" s="1">
        <f t="shared" si="47"/>
        <v>0</v>
      </c>
    </row>
    <row r="716" spans="1:21" x14ac:dyDescent="0.3">
      <c r="A716" t="s">
        <v>359</v>
      </c>
      <c r="B716" t="s">
        <v>544</v>
      </c>
      <c r="C716" t="s">
        <v>574</v>
      </c>
      <c r="D716" t="s">
        <v>575</v>
      </c>
      <c r="E716" s="2">
        <v>64.009</v>
      </c>
      <c r="F716" s="2">
        <v>0</v>
      </c>
      <c r="G716" s="2">
        <v>16.494</v>
      </c>
      <c r="H716" s="2">
        <v>-16.494</v>
      </c>
      <c r="I716" s="1">
        <v>0.75768251339655301</v>
      </c>
      <c r="J716" s="1">
        <v>0.75768251339655301</v>
      </c>
      <c r="K716" s="1">
        <v>0.57902313658763904</v>
      </c>
      <c r="L716" s="1">
        <v>0.43634189020546799</v>
      </c>
      <c r="M716" s="2"/>
      <c r="N716" s="2"/>
      <c r="P716" s="1">
        <f>I716-'Passo 1'!I716</f>
        <v>4.1291068443500056E-2</v>
      </c>
      <c r="Q716" s="1">
        <f>J716-'Passo 1'!J716</f>
        <v>3.6510490712242993E-2</v>
      </c>
      <c r="R716" s="1">
        <f t="shared" si="45"/>
        <v>48.498499999999964</v>
      </c>
      <c r="S716">
        <f t="shared" si="44"/>
        <v>48.498499999999964</v>
      </c>
      <c r="T716" s="1">
        <f t="shared" si="46"/>
        <v>37.062691949838189</v>
      </c>
      <c r="U716" s="1">
        <f t="shared" si="47"/>
        <v>27.9298080501618</v>
      </c>
    </row>
    <row r="717" spans="1:21" x14ac:dyDescent="0.3">
      <c r="A717" t="s">
        <v>359</v>
      </c>
      <c r="B717" t="s">
        <v>545</v>
      </c>
      <c r="C717" t="s">
        <v>574</v>
      </c>
      <c r="D717" t="s">
        <v>575</v>
      </c>
      <c r="E717" s="2">
        <v>135.47900000000001</v>
      </c>
      <c r="F717" s="2">
        <v>12.507</v>
      </c>
      <c r="G717" s="2">
        <v>42.381999999999998</v>
      </c>
      <c r="H717" s="2">
        <v>-41.587499999999999</v>
      </c>
      <c r="I717" s="1">
        <v>0.76667232560027698</v>
      </c>
      <c r="J717" s="1">
        <v>0.76080794809527597</v>
      </c>
      <c r="K717" s="1">
        <v>0.63299454887513895</v>
      </c>
      <c r="L717" s="1">
        <v>0.440644170040707</v>
      </c>
      <c r="M717" s="2"/>
      <c r="N717" s="2"/>
      <c r="P717" s="1">
        <f>I717-'Passo 1'!I717</f>
        <v>0.10581713771137902</v>
      </c>
      <c r="Q717" s="1">
        <f>J717-'Passo 1'!J717</f>
        <v>5.1731264624036988E-2</v>
      </c>
      <c r="R717" s="1">
        <f t="shared" si="45"/>
        <v>103.86799999999994</v>
      </c>
      <c r="S717">
        <f t="shared" si="44"/>
        <v>103.0734999999999</v>
      </c>
      <c r="T717" s="1">
        <f t="shared" si="46"/>
        <v>85.757468487054965</v>
      </c>
      <c r="U717" s="1">
        <f t="shared" si="47"/>
        <v>59.698031512944951</v>
      </c>
    </row>
    <row r="718" spans="1:21" x14ac:dyDescent="0.3">
      <c r="A718" t="s">
        <v>359</v>
      </c>
      <c r="B718" t="s">
        <v>546</v>
      </c>
      <c r="C718" t="s">
        <v>574</v>
      </c>
      <c r="D718" t="s">
        <v>575</v>
      </c>
      <c r="E718" s="2">
        <v>73.096999999999994</v>
      </c>
      <c r="F718" s="2">
        <v>0</v>
      </c>
      <c r="G718" s="2">
        <v>30.138999999999999</v>
      </c>
      <c r="H718" s="2">
        <v>-30.146999999999998</v>
      </c>
      <c r="I718" s="1">
        <v>0.91231514289232096</v>
      </c>
      <c r="J718" s="1">
        <v>0.91242458650833802</v>
      </c>
      <c r="K718" s="1">
        <v>0.77937149129010297</v>
      </c>
      <c r="L718" s="1">
        <v>0.54536823811055601</v>
      </c>
      <c r="M718" s="2"/>
      <c r="N718" s="2"/>
      <c r="P718" s="1">
        <f>I718-'Passo 1'!I718</f>
        <v>-8.7684857107679037E-2</v>
      </c>
      <c r="Q718" s="1">
        <f>J718-'Passo 1'!J718</f>
        <v>-8.757541349166198E-2</v>
      </c>
      <c r="R718" s="1">
        <f t="shared" si="45"/>
        <v>66.687499999999986</v>
      </c>
      <c r="S718">
        <f t="shared" si="44"/>
        <v>66.695499999999981</v>
      </c>
      <c r="T718" s="1">
        <f t="shared" si="46"/>
        <v>56.969717898832656</v>
      </c>
      <c r="U718" s="1">
        <f t="shared" si="47"/>
        <v>39.864782101167307</v>
      </c>
    </row>
    <row r="719" spans="1:21" x14ac:dyDescent="0.3">
      <c r="A719" t="s">
        <v>359</v>
      </c>
      <c r="B719" t="s">
        <v>547</v>
      </c>
      <c r="C719" t="s">
        <v>574</v>
      </c>
      <c r="D719" t="s">
        <v>575</v>
      </c>
      <c r="E719" s="2">
        <v>56.171999999999997</v>
      </c>
      <c r="F719" s="2">
        <v>0</v>
      </c>
      <c r="G719" s="2">
        <v>27.49</v>
      </c>
      <c r="H719" s="2">
        <v>-27.615500000000001</v>
      </c>
      <c r="I719" s="1">
        <v>0.98938973153884402</v>
      </c>
      <c r="J719" s="1">
        <v>0.99162394075339999</v>
      </c>
      <c r="K719" s="1">
        <v>0.66834560320624004</v>
      </c>
      <c r="L719" s="1">
        <v>0.81266806908600397</v>
      </c>
      <c r="M719" s="2"/>
      <c r="N719" s="2"/>
      <c r="P719" s="1">
        <f>I719-'Passo 1'!I719</f>
        <v>0.22483621733247805</v>
      </c>
      <c r="Q719" s="1">
        <f>J719-'Passo 1'!J719</f>
        <v>2.1950437940611023E-2</v>
      </c>
      <c r="R719" s="1">
        <f t="shared" si="45"/>
        <v>55.575999999999944</v>
      </c>
      <c r="S719">
        <f t="shared" si="44"/>
        <v>55.701499999999982</v>
      </c>
      <c r="T719" s="1">
        <f t="shared" si="46"/>
        <v>37.542309223300911</v>
      </c>
      <c r="U719" s="1">
        <f t="shared" si="47"/>
        <v>45.649190776699015</v>
      </c>
    </row>
    <row r="720" spans="1:21" x14ac:dyDescent="0.3">
      <c r="A720" t="s">
        <v>359</v>
      </c>
      <c r="B720" t="s">
        <v>548</v>
      </c>
      <c r="C720" t="s">
        <v>574</v>
      </c>
      <c r="D720" t="s">
        <v>575</v>
      </c>
      <c r="E720" s="2">
        <v>350</v>
      </c>
      <c r="F720" s="2">
        <v>0.128</v>
      </c>
      <c r="G720" s="2">
        <v>122.0735</v>
      </c>
      <c r="H720" s="2">
        <v>-110.8775</v>
      </c>
      <c r="I720" s="1">
        <v>0.84859857142857098</v>
      </c>
      <c r="J720" s="1">
        <v>0.81660999999999995</v>
      </c>
      <c r="K720" s="1">
        <v>0.63102797087378604</v>
      </c>
      <c r="L720" s="1">
        <v>0.53436345769764204</v>
      </c>
      <c r="M720" s="2"/>
      <c r="N720" s="2"/>
      <c r="P720" s="1">
        <f>I720-'Passo 1'!I720</f>
        <v>4.8391428571428974E-2</v>
      </c>
      <c r="Q720" s="1">
        <f>J720-'Passo 1'!J720</f>
        <v>9.2957142857149622E-3</v>
      </c>
      <c r="R720" s="1">
        <f t="shared" si="45"/>
        <v>297.00949999999983</v>
      </c>
      <c r="S720">
        <f t="shared" si="44"/>
        <v>285.81349999999998</v>
      </c>
      <c r="T720" s="1">
        <f t="shared" si="46"/>
        <v>220.8597898058251</v>
      </c>
      <c r="U720" s="1">
        <f t="shared" si="47"/>
        <v>187.02721019417473</v>
      </c>
    </row>
    <row r="721" spans="1:21" x14ac:dyDescent="0.3">
      <c r="A721" t="s">
        <v>359</v>
      </c>
      <c r="B721" t="s">
        <v>549</v>
      </c>
      <c r="C721" t="s">
        <v>574</v>
      </c>
      <c r="D721" t="s">
        <v>575</v>
      </c>
      <c r="E721" s="2">
        <v>0</v>
      </c>
      <c r="F721" s="2">
        <v>0</v>
      </c>
      <c r="G721" s="2">
        <v>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M721" s="2"/>
      <c r="N721" s="2"/>
      <c r="P721" s="1">
        <f>I721-'Passo 1'!I721</f>
        <v>0</v>
      </c>
      <c r="Q721" s="1">
        <f>J721-'Passo 1'!J721</f>
        <v>0</v>
      </c>
      <c r="R721" s="1">
        <f t="shared" si="45"/>
        <v>0</v>
      </c>
      <c r="S721">
        <f t="shared" si="44"/>
        <v>0</v>
      </c>
      <c r="T721" s="1">
        <f t="shared" si="46"/>
        <v>0</v>
      </c>
      <c r="U721" s="1">
        <f t="shared" si="47"/>
        <v>0</v>
      </c>
    </row>
    <row r="722" spans="1:21" x14ac:dyDescent="0.3">
      <c r="A722" t="s">
        <v>359</v>
      </c>
      <c r="B722" t="s">
        <v>550</v>
      </c>
      <c r="C722" t="s">
        <v>574</v>
      </c>
      <c r="D722" t="s">
        <v>575</v>
      </c>
      <c r="E722" s="2">
        <v>116.00700000000001</v>
      </c>
      <c r="F722" s="2">
        <v>0</v>
      </c>
      <c r="G722" s="2">
        <v>45.048499999999997</v>
      </c>
      <c r="H722" s="2">
        <v>-52.585500000000003</v>
      </c>
      <c r="I722" s="1">
        <v>0.88832570448335002</v>
      </c>
      <c r="J722" s="1">
        <v>0.95329592179782197</v>
      </c>
      <c r="K722" s="1">
        <v>0.65147221161439195</v>
      </c>
      <c r="L722" s="1">
        <v>0.69014941466678004</v>
      </c>
      <c r="M722" s="2"/>
      <c r="N722" s="2"/>
      <c r="P722" s="1">
        <f>I722-'Passo 1'!I722</f>
        <v>0.10485143137914099</v>
      </c>
      <c r="Q722" s="1">
        <f>J722-'Passo 1'!J722</f>
        <v>0.18201056832777296</v>
      </c>
      <c r="R722" s="1">
        <f t="shared" si="45"/>
        <v>103.05199999999999</v>
      </c>
      <c r="S722">
        <f t="shared" si="44"/>
        <v>110.58899999999994</v>
      </c>
      <c r="T722" s="1">
        <f t="shared" si="46"/>
        <v>75.575336852750766</v>
      </c>
      <c r="U722" s="1">
        <f t="shared" si="47"/>
        <v>80.062163147249152</v>
      </c>
    </row>
    <row r="723" spans="1:21" x14ac:dyDescent="0.3">
      <c r="A723" t="s">
        <v>359</v>
      </c>
      <c r="B723" t="s">
        <v>775</v>
      </c>
      <c r="C723" t="s">
        <v>574</v>
      </c>
      <c r="D723" t="s">
        <v>575</v>
      </c>
      <c r="E723" s="2">
        <v>46.021999999999998</v>
      </c>
      <c r="F723" s="2">
        <v>0</v>
      </c>
      <c r="G723" s="2">
        <v>22.584499999999998</v>
      </c>
      <c r="H723" s="2">
        <v>-22.390499999999999</v>
      </c>
      <c r="I723" s="1">
        <v>0.99073269305984102</v>
      </c>
      <c r="J723" s="1">
        <v>0.986517317804528</v>
      </c>
      <c r="K723" s="1">
        <v>0.75748651376666698</v>
      </c>
      <c r="L723" s="1">
        <v>0.71976349709770104</v>
      </c>
      <c r="M723" s="2"/>
      <c r="N723" s="2"/>
      <c r="P723" s="1">
        <f>I723-'Passo 1'!I723</f>
        <v>4.3500934335752972E-2</v>
      </c>
      <c r="Q723" s="1">
        <f>J723-'Passo 1'!J723</f>
        <v>1.7926209204293997E-2</v>
      </c>
      <c r="R723" s="1">
        <f t="shared" si="45"/>
        <v>45.595500000000001</v>
      </c>
      <c r="S723">
        <f t="shared" si="44"/>
        <v>45.401499999999984</v>
      </c>
      <c r="T723" s="1">
        <f t="shared" si="46"/>
        <v>34.861044336569549</v>
      </c>
      <c r="U723" s="1">
        <f t="shared" si="47"/>
        <v>33.124955663430399</v>
      </c>
    </row>
    <row r="724" spans="1:21" x14ac:dyDescent="0.3">
      <c r="A724" t="s">
        <v>359</v>
      </c>
      <c r="B724" t="s">
        <v>551</v>
      </c>
      <c r="C724" t="s">
        <v>574</v>
      </c>
      <c r="D724" t="s">
        <v>575</v>
      </c>
      <c r="E724" s="2">
        <v>100.131</v>
      </c>
      <c r="F724" s="2">
        <v>0</v>
      </c>
      <c r="G724" s="2">
        <v>39.796999999999997</v>
      </c>
      <c r="H724" s="2">
        <v>-38.482500000000002</v>
      </c>
      <c r="I724" s="1">
        <v>0.89744934136281396</v>
      </c>
      <c r="J724" s="1">
        <v>0.88432153878419195</v>
      </c>
      <c r="K724" s="1">
        <v>0.65019704607675899</v>
      </c>
      <c r="L724" s="1">
        <v>0.63157383407024803</v>
      </c>
      <c r="M724" s="2"/>
      <c r="N724" s="2"/>
      <c r="P724" s="1">
        <f>I724-'Passo 1'!I724</f>
        <v>0.10734437886368797</v>
      </c>
      <c r="Q724" s="1">
        <f>J724-'Passo 1'!J724</f>
        <v>0.11666217255395395</v>
      </c>
      <c r="R724" s="1">
        <f t="shared" si="45"/>
        <v>89.862499999999926</v>
      </c>
      <c r="S724">
        <f t="shared" si="44"/>
        <v>88.547999999999931</v>
      </c>
      <c r="T724" s="1">
        <f t="shared" si="46"/>
        <v>65.10488042071195</v>
      </c>
      <c r="U724" s="1">
        <f t="shared" si="47"/>
        <v>63.240119579288006</v>
      </c>
    </row>
    <row r="725" spans="1:21" x14ac:dyDescent="0.3">
      <c r="A725" t="s">
        <v>359</v>
      </c>
      <c r="B725" t="s">
        <v>552</v>
      </c>
      <c r="C725" t="s">
        <v>574</v>
      </c>
      <c r="D725" t="s">
        <v>575</v>
      </c>
      <c r="E725" s="2">
        <v>70.424000000000007</v>
      </c>
      <c r="F725" s="2">
        <v>0</v>
      </c>
      <c r="G725" s="2">
        <v>27.225000000000001</v>
      </c>
      <c r="H725" s="2">
        <v>-28.213000000000001</v>
      </c>
      <c r="I725" s="1">
        <v>0.88658695899125295</v>
      </c>
      <c r="J725" s="1">
        <v>0.90061626718164201</v>
      </c>
      <c r="K725" s="1">
        <v>0.63708025914323096</v>
      </c>
      <c r="L725" s="1">
        <v>0.65012296702966399</v>
      </c>
      <c r="M725" s="2"/>
      <c r="N725" s="2"/>
      <c r="P725" s="1">
        <f>I725-'Passo 1'!I725</f>
        <v>0.142877428149495</v>
      </c>
      <c r="Q725" s="1">
        <f>J725-'Passo 1'!J725</f>
        <v>0.14976428490287397</v>
      </c>
      <c r="R725" s="1">
        <f t="shared" si="45"/>
        <v>62.437000000000005</v>
      </c>
      <c r="S725">
        <f t="shared" si="44"/>
        <v>63.424999999999962</v>
      </c>
      <c r="T725" s="1">
        <f t="shared" si="46"/>
        <v>44.865740169902899</v>
      </c>
      <c r="U725" s="1">
        <f t="shared" si="47"/>
        <v>45.784259830097064</v>
      </c>
    </row>
    <row r="726" spans="1:21" x14ac:dyDescent="0.3">
      <c r="A726" t="s">
        <v>359</v>
      </c>
      <c r="B726" t="s">
        <v>553</v>
      </c>
      <c r="C726" t="s">
        <v>574</v>
      </c>
      <c r="D726" t="s">
        <v>575</v>
      </c>
      <c r="E726" s="2">
        <v>91.843999999999994</v>
      </c>
      <c r="F726" s="2">
        <v>0</v>
      </c>
      <c r="G726" s="2">
        <v>29.221499999999999</v>
      </c>
      <c r="H726" s="2">
        <v>-45.323</v>
      </c>
      <c r="I726" s="1">
        <v>0.818164496319846</v>
      </c>
      <c r="J726" s="1">
        <v>0.99347807151256395</v>
      </c>
      <c r="K726" s="1">
        <v>0.552634698730744</v>
      </c>
      <c r="L726" s="1">
        <v>0.75900786910166596</v>
      </c>
      <c r="M726" s="2"/>
      <c r="N726" s="2"/>
      <c r="P726" s="1">
        <f>I726-'Passo 1'!I726</f>
        <v>6.9438395540263986E-2</v>
      </c>
      <c r="Q726" s="1">
        <f>J726-'Passo 1'!J726</f>
        <v>0.237489656373851</v>
      </c>
      <c r="R726" s="1">
        <f t="shared" si="45"/>
        <v>75.143499999999932</v>
      </c>
      <c r="S726">
        <f t="shared" si="44"/>
        <v>91.244999999999919</v>
      </c>
      <c r="T726" s="1">
        <f t="shared" si="46"/>
        <v>50.756181270226449</v>
      </c>
      <c r="U726" s="1">
        <f t="shared" si="47"/>
        <v>69.710318729773405</v>
      </c>
    </row>
    <row r="727" spans="1:21" x14ac:dyDescent="0.3">
      <c r="A727" t="s">
        <v>359</v>
      </c>
      <c r="B727" t="s">
        <v>554</v>
      </c>
      <c r="C727" t="s">
        <v>574</v>
      </c>
      <c r="D727" t="s">
        <v>575</v>
      </c>
      <c r="E727" s="2">
        <v>212.29499999999999</v>
      </c>
      <c r="F727" s="2">
        <v>1.1299999999999999</v>
      </c>
      <c r="G727" s="2">
        <v>90.596500000000006</v>
      </c>
      <c r="H727" s="2">
        <v>-80.823999999999998</v>
      </c>
      <c r="I727" s="1">
        <v>0.92408676605666595</v>
      </c>
      <c r="J727" s="1">
        <v>0.87805412280081896</v>
      </c>
      <c r="K727" s="1">
        <v>0.70773905681407001</v>
      </c>
      <c r="L727" s="1">
        <v>0.59706322303237003</v>
      </c>
      <c r="M727" s="2"/>
      <c r="N727" s="2"/>
      <c r="P727" s="1">
        <f>I727-'Passo 1'!I727</f>
        <v>8.0136131326691951E-2</v>
      </c>
      <c r="Q727" s="1">
        <f>J727-'Passo 1'!J727</f>
        <v>8.7131114722437952E-2</v>
      </c>
      <c r="R727" s="1">
        <f t="shared" si="45"/>
        <v>196.17899999999989</v>
      </c>
      <c r="S727">
        <f t="shared" si="44"/>
        <v>186.40649999999985</v>
      </c>
      <c r="T727" s="1">
        <f t="shared" si="46"/>
        <v>150.249463066343</v>
      </c>
      <c r="U727" s="1">
        <f t="shared" si="47"/>
        <v>126.75353693365699</v>
      </c>
    </row>
    <row r="728" spans="1:21" x14ac:dyDescent="0.3">
      <c r="A728" t="s">
        <v>359</v>
      </c>
      <c r="B728" t="s">
        <v>555</v>
      </c>
      <c r="C728" t="s">
        <v>574</v>
      </c>
      <c r="D728" t="s">
        <v>575</v>
      </c>
      <c r="E728" s="2">
        <v>47.223999999999997</v>
      </c>
      <c r="F728" s="2">
        <v>0</v>
      </c>
      <c r="G728" s="2">
        <v>16.4815</v>
      </c>
      <c r="H728" s="2">
        <v>-17.401</v>
      </c>
      <c r="I728" s="1">
        <v>0.84900686091817701</v>
      </c>
      <c r="J728" s="1">
        <v>0.86847789259698405</v>
      </c>
      <c r="K728" s="1">
        <v>0.60108049301764699</v>
      </c>
      <c r="L728" s="1">
        <v>0.61640426049751396</v>
      </c>
      <c r="M728" s="2"/>
      <c r="N728" s="2"/>
      <c r="P728" s="1">
        <f>I728-'Passo 1'!I728</f>
        <v>0.16382559715399003</v>
      </c>
      <c r="Q728" s="1">
        <f>J728-'Passo 1'!J728</f>
        <v>2.6946044384210999E-2</v>
      </c>
      <c r="R728" s="1">
        <f t="shared" si="45"/>
        <v>40.093499999999992</v>
      </c>
      <c r="S728">
        <f t="shared" si="44"/>
        <v>41.01299999999997</v>
      </c>
      <c r="T728" s="1">
        <f t="shared" si="46"/>
        <v>28.38542520226536</v>
      </c>
      <c r="U728" s="1">
        <f t="shared" si="47"/>
        <v>29.109074797734596</v>
      </c>
    </row>
    <row r="729" spans="1:21" x14ac:dyDescent="0.3">
      <c r="A729" t="s">
        <v>359</v>
      </c>
      <c r="B729" t="s">
        <v>556</v>
      </c>
      <c r="C729" t="s">
        <v>574</v>
      </c>
      <c r="D729" t="s">
        <v>575</v>
      </c>
      <c r="E729" s="2">
        <v>62.033000000000001</v>
      </c>
      <c r="F729" s="2">
        <v>0</v>
      </c>
      <c r="G729" s="2">
        <v>28.249499999999902</v>
      </c>
      <c r="H729" s="2">
        <v>-29.477499999999999</v>
      </c>
      <c r="I729" s="1">
        <v>0.95539470926764702</v>
      </c>
      <c r="J729" s="1">
        <v>0.97519062434510595</v>
      </c>
      <c r="K729" s="1">
        <v>0.82728710412878104</v>
      </c>
      <c r="L729" s="1">
        <v>0.60329822948397205</v>
      </c>
      <c r="M729" s="2"/>
      <c r="N729" s="2"/>
      <c r="P729" s="1">
        <f>I729-'Passo 1'!I729</f>
        <v>8.6486225073749701E-3</v>
      </c>
      <c r="Q729" s="1">
        <f>J729-'Passo 1'!J729</f>
        <v>1.551593506681892E-2</v>
      </c>
      <c r="R729" s="1">
        <f t="shared" si="45"/>
        <v>59.265999999999948</v>
      </c>
      <c r="S729">
        <f t="shared" si="44"/>
        <v>60.493999999999957</v>
      </c>
      <c r="T729" s="1">
        <f t="shared" si="46"/>
        <v>51.319100930420674</v>
      </c>
      <c r="U729" s="1">
        <f t="shared" si="47"/>
        <v>37.424399069579238</v>
      </c>
    </row>
    <row r="730" spans="1:21" x14ac:dyDescent="0.3">
      <c r="A730" t="s">
        <v>359</v>
      </c>
      <c r="B730" t="s">
        <v>557</v>
      </c>
      <c r="C730" t="s">
        <v>576</v>
      </c>
      <c r="D730" t="s">
        <v>577</v>
      </c>
      <c r="E730" s="2">
        <v>502.26799999999997</v>
      </c>
      <c r="F730" s="2">
        <v>0</v>
      </c>
      <c r="G730" s="2">
        <v>145.47649999999999</v>
      </c>
      <c r="H730" s="2">
        <v>-210.40649999999999</v>
      </c>
      <c r="I730" s="1">
        <v>0.78963919660420301</v>
      </c>
      <c r="J730" s="1">
        <v>0.91891281148709403</v>
      </c>
      <c r="K730" s="1">
        <v>0.74887486131515801</v>
      </c>
      <c r="L730" s="1">
        <v>0.45967714677613902</v>
      </c>
      <c r="M730" s="2"/>
      <c r="N730" s="2"/>
      <c r="P730" s="1">
        <f>I730-'Passo 1'!I730</f>
        <v>9.2735352441326024E-2</v>
      </c>
      <c r="Q730" s="1">
        <f>J730-'Passo 1'!J730</f>
        <v>5.9138746645217011E-2</v>
      </c>
      <c r="R730" s="1">
        <f t="shared" si="45"/>
        <v>396.61049999999983</v>
      </c>
      <c r="S730">
        <f t="shared" si="44"/>
        <v>461.54049999999972</v>
      </c>
      <c r="T730" s="1">
        <f t="shared" si="46"/>
        <v>376.13587884304178</v>
      </c>
      <c r="U730" s="1">
        <f t="shared" si="47"/>
        <v>230.88112115695779</v>
      </c>
    </row>
    <row r="731" spans="1:21" x14ac:dyDescent="0.3">
      <c r="A731" t="s">
        <v>359</v>
      </c>
      <c r="B731" t="s">
        <v>558</v>
      </c>
      <c r="C731" t="s">
        <v>576</v>
      </c>
      <c r="D731" t="s">
        <v>14</v>
      </c>
      <c r="E731" s="2">
        <v>58.851999999999997</v>
      </c>
      <c r="F731" s="2">
        <v>0</v>
      </c>
      <c r="G731" s="2">
        <v>19.2925</v>
      </c>
      <c r="H731" s="2">
        <v>-21.068000000000001</v>
      </c>
      <c r="I731" s="1">
        <v>0.82781383810235798</v>
      </c>
      <c r="J731" s="1">
        <v>0.85798273635560396</v>
      </c>
      <c r="K731" s="1">
        <v>0.65081672363231502</v>
      </c>
      <c r="L731" s="1">
        <v>0.53497985082564603</v>
      </c>
      <c r="M731" s="2"/>
      <c r="N731" s="2"/>
      <c r="P731" s="1">
        <f>I731-'Passo 1'!I731</f>
        <v>0.11103276014409003</v>
      </c>
      <c r="Q731" s="1">
        <f>J731-'Passo 1'!J731</f>
        <v>8.8297763882281943E-2</v>
      </c>
      <c r="R731" s="1">
        <f t="shared" si="45"/>
        <v>48.71849999999997</v>
      </c>
      <c r="S731">
        <f t="shared" si="44"/>
        <v>50.494</v>
      </c>
      <c r="T731" s="1">
        <f t="shared" si="46"/>
        <v>38.301865819208999</v>
      </c>
      <c r="U731" s="1">
        <f t="shared" si="47"/>
        <v>31.48463418079092</v>
      </c>
    </row>
    <row r="732" spans="1:21" x14ac:dyDescent="0.3">
      <c r="A732" t="s">
        <v>359</v>
      </c>
      <c r="B732" t="s">
        <v>776</v>
      </c>
      <c r="C732" t="s">
        <v>576</v>
      </c>
      <c r="D732" t="s">
        <v>14</v>
      </c>
      <c r="E732" s="2">
        <v>41.709000000000003</v>
      </c>
      <c r="F732" s="2">
        <v>0</v>
      </c>
      <c r="G732" s="2">
        <v>20.437000000000001</v>
      </c>
      <c r="H732" s="2">
        <v>-20.6</v>
      </c>
      <c r="I732" s="1">
        <v>0.98999016998729195</v>
      </c>
      <c r="J732" s="1">
        <v>0.99389819942937896</v>
      </c>
      <c r="K732" s="1">
        <v>0.74795891160988104</v>
      </c>
      <c r="L732" s="1">
        <v>0.73592945780678998</v>
      </c>
      <c r="M732" s="2"/>
      <c r="N732" s="2"/>
      <c r="P732" s="1">
        <f>I732-'Passo 1'!I732</f>
        <v>4.2221103358986989E-2</v>
      </c>
      <c r="Q732" s="1">
        <f>J732-'Passo 1'!J732</f>
        <v>2.3975640748999938E-3</v>
      </c>
      <c r="R732" s="1">
        <f t="shared" si="45"/>
        <v>41.291499999999964</v>
      </c>
      <c r="S732">
        <f t="shared" si="44"/>
        <v>41.454499999999967</v>
      </c>
      <c r="T732" s="1">
        <f t="shared" si="46"/>
        <v>31.196618244336531</v>
      </c>
      <c r="U732" s="1">
        <f t="shared" si="47"/>
        <v>30.694881755663406</v>
      </c>
    </row>
    <row r="733" spans="1:21" x14ac:dyDescent="0.3">
      <c r="A733" t="s">
        <v>359</v>
      </c>
      <c r="B733" t="s">
        <v>777</v>
      </c>
      <c r="C733" t="s">
        <v>574</v>
      </c>
      <c r="D733" t="s">
        <v>575</v>
      </c>
      <c r="E733" s="2">
        <v>3484.3939999999998</v>
      </c>
      <c r="F733" s="2">
        <v>0.53900000000000003</v>
      </c>
      <c r="G733" s="2">
        <v>892.3</v>
      </c>
      <c r="H733" s="2">
        <v>-754.88850000000002</v>
      </c>
      <c r="I733" s="1">
        <v>0.75600735737692104</v>
      </c>
      <c r="J733" s="1">
        <v>0.71657108811460402</v>
      </c>
      <c r="K733" s="1">
        <v>0.46865411594798501</v>
      </c>
      <c r="L733" s="1">
        <v>0.50400167441326504</v>
      </c>
      <c r="M733" s="2"/>
      <c r="N733" s="2"/>
      <c r="P733" s="1">
        <f>I733-'Passo 1'!I733</f>
        <v>8.5114082965360049E-2</v>
      </c>
      <c r="Q733" s="1">
        <f>J733-'Passo 1'!J733</f>
        <v>5.3526954758847056E-2</v>
      </c>
      <c r="R733" s="1">
        <f t="shared" si="45"/>
        <v>2634.2274999999991</v>
      </c>
      <c r="S733">
        <f t="shared" si="44"/>
        <v>2496.8159999999975</v>
      </c>
      <c r="T733" s="1">
        <f t="shared" si="46"/>
        <v>1632.9755896844631</v>
      </c>
      <c r="U733" s="1">
        <f t="shared" si="47"/>
        <v>1756.1404103155342</v>
      </c>
    </row>
    <row r="734" spans="1:21" x14ac:dyDescent="0.3">
      <c r="A734" t="s">
        <v>359</v>
      </c>
      <c r="B734" t="s">
        <v>778</v>
      </c>
      <c r="C734" t="s">
        <v>576</v>
      </c>
      <c r="D734" t="s">
        <v>577</v>
      </c>
      <c r="E734" s="2">
        <v>368.75</v>
      </c>
      <c r="F734" s="2">
        <v>0</v>
      </c>
      <c r="G734" s="2">
        <v>174.149</v>
      </c>
      <c r="H734" s="2">
        <v>-183.77500000000001</v>
      </c>
      <c r="I734" s="1">
        <v>0.97226847457627097</v>
      </c>
      <c r="J734" s="1">
        <v>0.99837288135593205</v>
      </c>
      <c r="K734" s="1">
        <v>0.94779454149525499</v>
      </c>
      <c r="L734" s="1">
        <v>0.52284681443694803</v>
      </c>
      <c r="M734" s="2"/>
      <c r="N734" s="2"/>
      <c r="P734" s="1">
        <f>I734-'Passo 1'!I734</f>
        <v>9.8412203389830921E-2</v>
      </c>
      <c r="Q734" s="1">
        <f>J734-'Passo 1'!J734</f>
        <v>4.7206779661017051E-2</v>
      </c>
      <c r="R734" s="1">
        <f t="shared" si="45"/>
        <v>358.52399999999994</v>
      </c>
      <c r="S734">
        <f t="shared" si="44"/>
        <v>368.14999999999992</v>
      </c>
      <c r="T734" s="1">
        <f t="shared" si="46"/>
        <v>349.49923717637529</v>
      </c>
      <c r="U734" s="1">
        <f t="shared" si="47"/>
        <v>192.79976282362458</v>
      </c>
    </row>
    <row r="735" spans="1:21" x14ac:dyDescent="0.3">
      <c r="A735" t="s">
        <v>359</v>
      </c>
      <c r="B735" t="s">
        <v>559</v>
      </c>
      <c r="C735" t="s">
        <v>574</v>
      </c>
      <c r="D735" t="s">
        <v>575</v>
      </c>
      <c r="E735" s="2">
        <v>1165.433</v>
      </c>
      <c r="F735" s="2">
        <v>0</v>
      </c>
      <c r="G735" s="2">
        <v>412.947</v>
      </c>
      <c r="H735" s="2">
        <v>-415.1635</v>
      </c>
      <c r="I735" s="1">
        <v>0.85432924930047405</v>
      </c>
      <c r="J735" s="1">
        <v>0.85623111753313996</v>
      </c>
      <c r="K735" s="1">
        <v>0.589701286996413</v>
      </c>
      <c r="L735" s="1">
        <v>0.62085907983720101</v>
      </c>
      <c r="M735" s="2"/>
      <c r="N735" s="2"/>
      <c r="P735" s="1">
        <f>I735-'Passo 1'!I735</f>
        <v>4.1271355796515086E-2</v>
      </c>
      <c r="Q735" s="1">
        <f>J735-'Passo 1'!J735</f>
        <v>4.0228824823049014E-2</v>
      </c>
      <c r="R735" s="1">
        <f t="shared" si="45"/>
        <v>995.66349999999932</v>
      </c>
      <c r="S735">
        <f t="shared" si="44"/>
        <v>997.87999999999988</v>
      </c>
      <c r="T735" s="1">
        <f t="shared" si="46"/>
        <v>687.25734000809064</v>
      </c>
      <c r="U735" s="1">
        <f t="shared" si="47"/>
        <v>723.56965999190868</v>
      </c>
    </row>
    <row r="736" spans="1:21" x14ac:dyDescent="0.3">
      <c r="A736" t="s">
        <v>359</v>
      </c>
      <c r="B736" t="s">
        <v>779</v>
      </c>
      <c r="C736" t="s">
        <v>574</v>
      </c>
      <c r="D736" t="s">
        <v>575</v>
      </c>
      <c r="E736" s="2">
        <v>197.47</v>
      </c>
      <c r="F736" s="2">
        <v>0.39</v>
      </c>
      <c r="G736" s="2">
        <v>68.415999999999997</v>
      </c>
      <c r="H736" s="2">
        <v>-67.9285</v>
      </c>
      <c r="I736" s="1">
        <v>0.84547526206512302</v>
      </c>
      <c r="J736" s="1">
        <v>0.84300653263786895</v>
      </c>
      <c r="K736" s="1">
        <v>0.68949419480866603</v>
      </c>
      <c r="L736" s="1">
        <v>0.49997509166522802</v>
      </c>
      <c r="M736" s="2"/>
      <c r="N736" s="2"/>
      <c r="P736" s="1">
        <f>I736-'Passo 1'!I736</f>
        <v>1.852686484022803E-2</v>
      </c>
      <c r="Q736" s="1">
        <f>J736-'Passo 1'!J736</f>
        <v>7.7606725072169036E-3</v>
      </c>
      <c r="R736" s="1">
        <f t="shared" si="45"/>
        <v>166.95599999999985</v>
      </c>
      <c r="S736">
        <f t="shared" si="44"/>
        <v>166.46849999999998</v>
      </c>
      <c r="T736" s="1">
        <f t="shared" si="46"/>
        <v>136.15441864886728</v>
      </c>
      <c r="U736" s="1">
        <f t="shared" si="47"/>
        <v>98.730081351132583</v>
      </c>
    </row>
    <row r="737" spans="1:21" x14ac:dyDescent="0.3">
      <c r="A737" t="s">
        <v>359</v>
      </c>
      <c r="B737" t="s">
        <v>780</v>
      </c>
      <c r="C737" t="s">
        <v>574</v>
      </c>
      <c r="D737" t="s">
        <v>575</v>
      </c>
      <c r="E737" s="2">
        <v>307.21899999999999</v>
      </c>
      <c r="F737" s="2">
        <v>0</v>
      </c>
      <c r="G737" s="2">
        <v>152.48599999999999</v>
      </c>
      <c r="H737" s="2">
        <v>-152.83850000000001</v>
      </c>
      <c r="I737" s="1">
        <v>0.99634299961916395</v>
      </c>
      <c r="J737" s="1">
        <v>0.99749038959178904</v>
      </c>
      <c r="K737" s="1">
        <v>0.793829943011779</v>
      </c>
      <c r="L737" s="1">
        <v>0.70000344619917398</v>
      </c>
      <c r="M737" s="2"/>
      <c r="N737" s="2"/>
      <c r="P737" s="1">
        <f>I737-'Passo 1'!I737</f>
        <v>2.3125197334800895E-2</v>
      </c>
      <c r="Q737" s="1">
        <f>J737-'Passo 1'!J737</f>
        <v>2.5429742301095071E-2</v>
      </c>
      <c r="R737" s="1">
        <f t="shared" si="45"/>
        <v>306.0954999999999</v>
      </c>
      <c r="S737">
        <f t="shared" si="44"/>
        <v>306.44799999999981</v>
      </c>
      <c r="T737" s="1">
        <f t="shared" si="46"/>
        <v>243.87964126213572</v>
      </c>
      <c r="U737" s="1">
        <f t="shared" si="47"/>
        <v>215.05435873786402</v>
      </c>
    </row>
    <row r="738" spans="1:21" x14ac:dyDescent="0.3">
      <c r="A738" t="s">
        <v>359</v>
      </c>
      <c r="B738" t="s">
        <v>560</v>
      </c>
      <c r="C738" t="s">
        <v>574</v>
      </c>
      <c r="D738" t="s">
        <v>575</v>
      </c>
      <c r="E738" s="2">
        <v>377.63200000000001</v>
      </c>
      <c r="F738" s="2">
        <v>0</v>
      </c>
      <c r="G738" s="2">
        <v>140.01300000000001</v>
      </c>
      <c r="H738" s="2">
        <v>-143.3365</v>
      </c>
      <c r="I738" s="1">
        <v>0.87076571900686295</v>
      </c>
      <c r="J738" s="1">
        <v>0.879566615117363</v>
      </c>
      <c r="K738" s="1">
        <v>0.64312996412287704</v>
      </c>
      <c r="L738" s="1">
        <v>0.60720237000134902</v>
      </c>
      <c r="M738" s="2"/>
      <c r="N738" s="2"/>
      <c r="P738" s="1">
        <f>I738-'Passo 1'!I738</f>
        <v>9.4127351495636002E-2</v>
      </c>
      <c r="Q738" s="1">
        <f>J738-'Passo 1'!J738</f>
        <v>2.2099557240911949E-2</v>
      </c>
      <c r="R738" s="1">
        <f t="shared" si="45"/>
        <v>328.82899999999967</v>
      </c>
      <c r="S738">
        <f t="shared" si="44"/>
        <v>332.15250000000003</v>
      </c>
      <c r="T738" s="1">
        <f t="shared" si="46"/>
        <v>242.86645461165031</v>
      </c>
      <c r="U738" s="1">
        <f t="shared" si="47"/>
        <v>229.29904538834944</v>
      </c>
    </row>
    <row r="739" spans="1:21" x14ac:dyDescent="0.3">
      <c r="A739" t="s">
        <v>359</v>
      </c>
      <c r="B739" t="s">
        <v>561</v>
      </c>
      <c r="C739" t="s">
        <v>574</v>
      </c>
      <c r="D739" t="s">
        <v>575</v>
      </c>
      <c r="E739" s="2">
        <v>58.387</v>
      </c>
      <c r="F739" s="2">
        <v>0</v>
      </c>
      <c r="G739" s="2">
        <v>26.5625</v>
      </c>
      <c r="H739" s="2">
        <v>-29.07</v>
      </c>
      <c r="I739" s="1">
        <v>0.95493859934574399</v>
      </c>
      <c r="J739" s="1">
        <v>0.99788480312398298</v>
      </c>
      <c r="K739" s="1">
        <v>0.67802885423080606</v>
      </c>
      <c r="L739" s="1">
        <v>0.77479454823892102</v>
      </c>
      <c r="M739" s="2"/>
      <c r="N739" s="2"/>
      <c r="P739" s="1">
        <f>I739-'Passo 1'!I739</f>
        <v>4.2663606624761985E-2</v>
      </c>
      <c r="Q739" s="1">
        <f>J739-'Passo 1'!J739</f>
        <v>8.8684124890815008E-2</v>
      </c>
      <c r="R739" s="1">
        <f t="shared" si="45"/>
        <v>55.755999999999958</v>
      </c>
      <c r="S739">
        <f t="shared" si="44"/>
        <v>58.263499999999993</v>
      </c>
      <c r="T739" s="1">
        <f t="shared" si="46"/>
        <v>39.588070711974076</v>
      </c>
      <c r="U739" s="1">
        <f t="shared" si="47"/>
        <v>45.237929288025882</v>
      </c>
    </row>
    <row r="740" spans="1:21" x14ac:dyDescent="0.3">
      <c r="A740" t="s">
        <v>359</v>
      </c>
      <c r="B740" t="s">
        <v>781</v>
      </c>
      <c r="C740" t="s">
        <v>574</v>
      </c>
      <c r="D740" t="s">
        <v>575</v>
      </c>
      <c r="E740" s="2">
        <v>40.789000000000001</v>
      </c>
      <c r="F740" s="2">
        <v>0</v>
      </c>
      <c r="G740" s="2">
        <v>12.7525</v>
      </c>
      <c r="H740" s="2">
        <v>-13.3325</v>
      </c>
      <c r="I740" s="1">
        <v>0.81264556620657502</v>
      </c>
      <c r="J740" s="1">
        <v>0.82686508617519405</v>
      </c>
      <c r="K740" s="1">
        <v>0.60397593253812798</v>
      </c>
      <c r="L740" s="1">
        <v>0.53553471984363998</v>
      </c>
      <c r="M740" s="2"/>
      <c r="N740" s="2"/>
      <c r="P740" s="1">
        <f>I740-'Passo 1'!I740</f>
        <v>0.11949300056387802</v>
      </c>
      <c r="Q740" s="1">
        <f>J740-'Passo 1'!J740</f>
        <v>5.5284512981441103E-2</v>
      </c>
      <c r="R740" s="1">
        <f t="shared" si="45"/>
        <v>33.146999999999991</v>
      </c>
      <c r="S740">
        <f t="shared" si="44"/>
        <v>33.72699999999999</v>
      </c>
      <c r="T740" s="1">
        <f t="shared" si="46"/>
        <v>24.635574312297702</v>
      </c>
      <c r="U740" s="1">
        <f t="shared" si="47"/>
        <v>21.843925687702232</v>
      </c>
    </row>
    <row r="741" spans="1:21" x14ac:dyDescent="0.3">
      <c r="A741" t="s">
        <v>359</v>
      </c>
      <c r="B741" t="s">
        <v>782</v>
      </c>
      <c r="C741" t="s">
        <v>574</v>
      </c>
      <c r="D741" t="s">
        <v>575</v>
      </c>
      <c r="E741" s="2">
        <v>72.882999999999996</v>
      </c>
      <c r="F741" s="2">
        <v>3.2000000000000001E-2</v>
      </c>
      <c r="G741" s="2">
        <v>31.577999999999999</v>
      </c>
      <c r="H741" s="2">
        <v>-31.5015</v>
      </c>
      <c r="I741" s="1">
        <v>0.933050231192459</v>
      </c>
      <c r="J741" s="1">
        <v>0.93200060370731097</v>
      </c>
      <c r="K741" s="1">
        <v>0.69691206662875504</v>
      </c>
      <c r="L741" s="1">
        <v>0.66835829820254899</v>
      </c>
      <c r="M741" s="2"/>
      <c r="N741" s="2"/>
      <c r="P741" s="1">
        <f>I741-'Passo 1'!I741</f>
        <v>0.10665724517377195</v>
      </c>
      <c r="Q741" s="1">
        <f>J741-'Passo 1'!J741</f>
        <v>6.0432473965121969E-2</v>
      </c>
      <c r="R741" s="1">
        <f t="shared" si="45"/>
        <v>68.003499999999988</v>
      </c>
      <c r="S741">
        <f t="shared" si="44"/>
        <v>67.926999999999936</v>
      </c>
      <c r="T741" s="1">
        <f t="shared" si="46"/>
        <v>50.793042152103553</v>
      </c>
      <c r="U741" s="1">
        <f t="shared" si="47"/>
        <v>48.711957847896379</v>
      </c>
    </row>
    <row r="742" spans="1:21" x14ac:dyDescent="0.3">
      <c r="A742" t="s">
        <v>359</v>
      </c>
      <c r="B742" t="s">
        <v>783</v>
      </c>
      <c r="C742" t="s">
        <v>574</v>
      </c>
      <c r="D742" t="s">
        <v>575</v>
      </c>
      <c r="E742" s="2">
        <v>46.353000000000002</v>
      </c>
      <c r="F742" s="2">
        <v>0</v>
      </c>
      <c r="G742" s="2">
        <v>21.5745</v>
      </c>
      <c r="H742" s="2">
        <v>-22.527999999999999</v>
      </c>
      <c r="I742" s="1">
        <v>0.965439130153388</v>
      </c>
      <c r="J742" s="1">
        <v>0.98600953552089299</v>
      </c>
      <c r="K742" s="1">
        <v>0.65992273343220798</v>
      </c>
      <c r="L742" s="1">
        <v>0.79152593224207302</v>
      </c>
      <c r="M742" s="2"/>
      <c r="N742" s="2"/>
      <c r="P742" s="1">
        <f>I742-'Passo 1'!I742</f>
        <v>0.10661661596876204</v>
      </c>
      <c r="Q742" s="1">
        <f>J742-'Passo 1'!J742</f>
        <v>0.10723146290423402</v>
      </c>
      <c r="R742" s="1">
        <f t="shared" si="45"/>
        <v>44.750999999999998</v>
      </c>
      <c r="S742">
        <f t="shared" si="44"/>
        <v>45.704499999999953</v>
      </c>
      <c r="T742" s="1">
        <f t="shared" si="46"/>
        <v>30.589398462783137</v>
      </c>
      <c r="U742" s="1">
        <f t="shared" si="47"/>
        <v>36.689601537216809</v>
      </c>
    </row>
    <row r="743" spans="1:21" x14ac:dyDescent="0.3">
      <c r="A743" t="s">
        <v>359</v>
      </c>
      <c r="B743" t="s">
        <v>784</v>
      </c>
      <c r="C743" t="s">
        <v>576</v>
      </c>
      <c r="D743" t="s">
        <v>14</v>
      </c>
      <c r="E743" s="2">
        <v>0</v>
      </c>
      <c r="F743" s="2">
        <v>0</v>
      </c>
      <c r="G743" s="2">
        <v>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M743" s="2"/>
      <c r="N743" s="2"/>
      <c r="P743" s="1">
        <f>I743-'Passo 1'!I743</f>
        <v>0</v>
      </c>
      <c r="Q743" s="1">
        <f>J743-'Passo 1'!J743</f>
        <v>0</v>
      </c>
      <c r="R743" s="1">
        <f t="shared" si="45"/>
        <v>0</v>
      </c>
      <c r="S743">
        <f t="shared" si="44"/>
        <v>0</v>
      </c>
      <c r="T743" s="1">
        <f t="shared" si="46"/>
        <v>0</v>
      </c>
      <c r="U743" s="1">
        <f t="shared" si="47"/>
        <v>0</v>
      </c>
    </row>
    <row r="744" spans="1:21" x14ac:dyDescent="0.3">
      <c r="A744" t="s">
        <v>359</v>
      </c>
      <c r="B744" t="s">
        <v>723</v>
      </c>
      <c r="C744" t="s">
        <v>576</v>
      </c>
      <c r="D744" t="s">
        <v>14</v>
      </c>
      <c r="E744" s="2">
        <v>50.994</v>
      </c>
      <c r="F744" s="2">
        <v>0</v>
      </c>
      <c r="G744" s="2">
        <v>25.074000000000002</v>
      </c>
      <c r="H744" s="2">
        <v>-25.102499999999999</v>
      </c>
      <c r="I744" s="1">
        <v>0.99170490645958298</v>
      </c>
      <c r="J744" s="1">
        <v>0.99226379574067503</v>
      </c>
      <c r="K744" s="1">
        <v>0.83277189908417204</v>
      </c>
      <c r="L744" s="1">
        <v>0.65119680311608596</v>
      </c>
      <c r="M744" s="2"/>
      <c r="N744" s="2"/>
      <c r="P744" s="1">
        <f>I744-'Passo 1'!I744</f>
        <v>-8.2950935404170201E-3</v>
      </c>
      <c r="Q744" s="1">
        <f>J744-'Passo 1'!J744</f>
        <v>-7.7362042593249747E-3</v>
      </c>
      <c r="R744" s="1">
        <f t="shared" si="45"/>
        <v>50.570999999999977</v>
      </c>
      <c r="S744">
        <f t="shared" si="44"/>
        <v>50.599499999999985</v>
      </c>
      <c r="T744" s="1">
        <f t="shared" si="46"/>
        <v>42.466370221898266</v>
      </c>
      <c r="U744" s="1">
        <f t="shared" si="47"/>
        <v>33.207129778101688</v>
      </c>
    </row>
    <row r="745" spans="1:21" x14ac:dyDescent="0.3">
      <c r="A745" t="s">
        <v>359</v>
      </c>
      <c r="B745" t="s">
        <v>785</v>
      </c>
      <c r="C745" t="s">
        <v>576</v>
      </c>
      <c r="D745" t="s">
        <v>14</v>
      </c>
      <c r="E745" s="2">
        <v>71.334000000000003</v>
      </c>
      <c r="F745" s="2">
        <v>0</v>
      </c>
      <c r="G745" s="2">
        <v>19.036000000000001</v>
      </c>
      <c r="H745" s="2">
        <v>-17.225999999999999</v>
      </c>
      <c r="I745" s="1">
        <v>0.76685731909047505</v>
      </c>
      <c r="J745" s="1">
        <v>0.74148372445117305</v>
      </c>
      <c r="K745" s="1">
        <v>0.65486768599749001</v>
      </c>
      <c r="L745" s="1">
        <v>0.35347335754415798</v>
      </c>
      <c r="M745" s="2"/>
      <c r="N745" s="2"/>
      <c r="P745" s="1">
        <f>I745-'Passo 1'!I745</f>
        <v>3.6581433818375086E-2</v>
      </c>
      <c r="Q745" s="1">
        <f>J745-'Passo 1'!J745</f>
        <v>1.0254577060028081E-2</v>
      </c>
      <c r="R745" s="1">
        <f t="shared" si="45"/>
        <v>54.702999999999953</v>
      </c>
      <c r="S745">
        <f t="shared" si="44"/>
        <v>52.892999999999979</v>
      </c>
      <c r="T745" s="1">
        <f t="shared" si="46"/>
        <v>46.714331512944952</v>
      </c>
      <c r="U745" s="1">
        <f t="shared" si="47"/>
        <v>25.214668487054968</v>
      </c>
    </row>
    <row r="746" spans="1:21" x14ac:dyDescent="0.3">
      <c r="A746" t="s">
        <v>359</v>
      </c>
      <c r="B746" t="s">
        <v>786</v>
      </c>
      <c r="C746" t="s">
        <v>574</v>
      </c>
      <c r="D746" t="s">
        <v>575</v>
      </c>
      <c r="E746" s="2">
        <v>50.465000000000003</v>
      </c>
      <c r="F746" s="2">
        <v>0</v>
      </c>
      <c r="G746" s="2">
        <v>23.3065</v>
      </c>
      <c r="H746" s="2">
        <v>-21.620999999999999</v>
      </c>
      <c r="I746" s="1">
        <v>0.96183493510353701</v>
      </c>
      <c r="J746" s="1">
        <v>0.92843554939066597</v>
      </c>
      <c r="K746" s="1">
        <v>0.82595150697221298</v>
      </c>
      <c r="L746" s="1">
        <v>0.56431897752199001</v>
      </c>
      <c r="M746" s="2"/>
      <c r="N746" s="2"/>
      <c r="P746" s="1">
        <f>I746-'Passo 1'!I746</f>
        <v>8.3057564648767013E-2</v>
      </c>
      <c r="Q746" s="1">
        <f>J746-'Passo 1'!J746</f>
        <v>6.159714653720394E-2</v>
      </c>
      <c r="R746" s="1">
        <f t="shared" si="45"/>
        <v>48.539000000000001</v>
      </c>
      <c r="S746">
        <f t="shared" si="44"/>
        <v>46.853499999999961</v>
      </c>
      <c r="T746" s="1">
        <f t="shared" si="46"/>
        <v>41.68164279935273</v>
      </c>
      <c r="U746" s="1">
        <f t="shared" si="47"/>
        <v>28.478357200647228</v>
      </c>
    </row>
    <row r="747" spans="1:21" x14ac:dyDescent="0.3">
      <c r="A747" t="s">
        <v>359</v>
      </c>
      <c r="B747" t="s">
        <v>787</v>
      </c>
      <c r="C747" t="s">
        <v>574</v>
      </c>
      <c r="D747" t="s">
        <v>575</v>
      </c>
      <c r="E747" s="2">
        <v>698.14200000000005</v>
      </c>
      <c r="F747" s="2">
        <v>0</v>
      </c>
      <c r="G747" s="2">
        <v>279.36899999999901</v>
      </c>
      <c r="H747" s="2">
        <v>-259.27350000000001</v>
      </c>
      <c r="I747" s="1">
        <v>0.900160712290622</v>
      </c>
      <c r="J747" s="1">
        <v>0.87137645350086301</v>
      </c>
      <c r="K747" s="1">
        <v>0.63433764451986596</v>
      </c>
      <c r="L747" s="1">
        <v>0.63719952127162005</v>
      </c>
      <c r="M747" s="2"/>
      <c r="N747" s="2"/>
      <c r="P747" s="1">
        <f>I747-'Passo 1'!I747</f>
        <v>0.10213466601350396</v>
      </c>
      <c r="Q747" s="1">
        <f>J747-'Passo 1'!J747</f>
        <v>0.11820016558236002</v>
      </c>
      <c r="R747" s="1">
        <f t="shared" si="45"/>
        <v>628.43999999999949</v>
      </c>
      <c r="S747">
        <f t="shared" si="44"/>
        <v>608.34449999999958</v>
      </c>
      <c r="T747" s="1">
        <f t="shared" si="46"/>
        <v>442.85775182038827</v>
      </c>
      <c r="U747" s="1">
        <f t="shared" si="47"/>
        <v>444.8557481796114</v>
      </c>
    </row>
    <row r="748" spans="1:21" x14ac:dyDescent="0.3">
      <c r="A748" t="s">
        <v>359</v>
      </c>
      <c r="B748" t="s">
        <v>788</v>
      </c>
      <c r="C748" t="s">
        <v>574</v>
      </c>
      <c r="D748" t="s">
        <v>575</v>
      </c>
      <c r="E748" s="2">
        <v>245.55</v>
      </c>
      <c r="F748" s="2">
        <v>8.9999999999999993E-3</v>
      </c>
      <c r="G748" s="2">
        <v>120.3925</v>
      </c>
      <c r="H748" s="2">
        <v>-119.3175</v>
      </c>
      <c r="I748" s="1">
        <v>0.99027896558745598</v>
      </c>
      <c r="J748" s="1">
        <v>0.98590103848503297</v>
      </c>
      <c r="K748" s="1">
        <v>0.67413500569028295</v>
      </c>
      <c r="L748" s="1">
        <v>0.80206332458868101</v>
      </c>
      <c r="M748" s="2"/>
      <c r="N748" s="2"/>
      <c r="P748" s="1">
        <f>I748-'Passo 1'!I748</f>
        <v>4.196701282834403E-2</v>
      </c>
      <c r="Q748" s="1">
        <f>J748-'Passo 1'!J748</f>
        <v>9.3319079617185996E-2</v>
      </c>
      <c r="R748" s="1">
        <f t="shared" si="45"/>
        <v>243.16299999999984</v>
      </c>
      <c r="S748">
        <f t="shared" si="44"/>
        <v>242.08799999999985</v>
      </c>
      <c r="T748" s="1">
        <f t="shared" si="46"/>
        <v>165.53385064724898</v>
      </c>
      <c r="U748" s="1">
        <f t="shared" si="47"/>
        <v>196.94664935275063</v>
      </c>
    </row>
    <row r="749" spans="1:21" x14ac:dyDescent="0.3">
      <c r="A749" t="s">
        <v>359</v>
      </c>
      <c r="B749" t="s">
        <v>789</v>
      </c>
      <c r="C749" t="s">
        <v>574</v>
      </c>
      <c r="D749" t="s">
        <v>575</v>
      </c>
      <c r="E749" s="2">
        <v>1679.0329999999999</v>
      </c>
      <c r="F749" s="2">
        <v>511.37599999999998</v>
      </c>
      <c r="G749" s="2">
        <v>424.30599999999998</v>
      </c>
      <c r="H749" s="2">
        <v>-419.9325</v>
      </c>
      <c r="I749" s="1">
        <v>0.60042566167550004</v>
      </c>
      <c r="J749" s="1">
        <v>0.59782088857098103</v>
      </c>
      <c r="K749" s="1">
        <v>0.42797162612845202</v>
      </c>
      <c r="L749" s="1">
        <v>0.422557815520401</v>
      </c>
      <c r="M749" s="2"/>
      <c r="N749" s="2"/>
      <c r="P749" s="1">
        <f>I749-'Passo 1'!I749</f>
        <v>3.615741918116E-2</v>
      </c>
      <c r="Q749" s="1">
        <f>J749-'Passo 1'!J749</f>
        <v>4.5493149926178034E-2</v>
      </c>
      <c r="R749" s="1">
        <f t="shared" si="45"/>
        <v>1008.1344999999998</v>
      </c>
      <c r="S749">
        <f t="shared" si="44"/>
        <v>1003.761</v>
      </c>
      <c r="T749" s="1">
        <f t="shared" si="46"/>
        <v>718.57848333333311</v>
      </c>
      <c r="U749" s="1">
        <f t="shared" si="47"/>
        <v>709.48851666666542</v>
      </c>
    </row>
    <row r="750" spans="1:21" x14ac:dyDescent="0.3">
      <c r="A750" t="s">
        <v>359</v>
      </c>
      <c r="B750" t="s">
        <v>790</v>
      </c>
      <c r="C750" t="s">
        <v>574</v>
      </c>
      <c r="D750" t="s">
        <v>575</v>
      </c>
      <c r="E750" s="2">
        <v>516.63900000000001</v>
      </c>
      <c r="F750" s="2">
        <v>0.67600000000000005</v>
      </c>
      <c r="G750" s="2">
        <v>208.26349999999999</v>
      </c>
      <c r="H750" s="2">
        <v>-196.80599999999899</v>
      </c>
      <c r="I750" s="1">
        <v>0.90245800258981601</v>
      </c>
      <c r="J750" s="1">
        <v>0.88028100859594405</v>
      </c>
      <c r="K750" s="1">
        <v>0.75767486556483299</v>
      </c>
      <c r="L750" s="1">
        <v>0.52571837420219802</v>
      </c>
      <c r="M750" s="2"/>
      <c r="N750" s="2"/>
      <c r="P750" s="1">
        <f>I750-'Passo 1'!I750</f>
        <v>2.3114786146612998E-2</v>
      </c>
      <c r="Q750" s="1">
        <f>J750-'Passo 1'!J750</f>
        <v>-4.7421894203925063E-5</v>
      </c>
      <c r="R750" s="1">
        <f t="shared" si="45"/>
        <v>466.24499999999995</v>
      </c>
      <c r="S750">
        <f t="shared" si="44"/>
        <v>454.78749999999997</v>
      </c>
      <c r="T750" s="1">
        <f t="shared" si="46"/>
        <v>391.44438487054975</v>
      </c>
      <c r="U750" s="1">
        <f t="shared" si="47"/>
        <v>271.60661512944938</v>
      </c>
    </row>
    <row r="751" spans="1:21" x14ac:dyDescent="0.3">
      <c r="A751" t="s">
        <v>359</v>
      </c>
      <c r="B751" t="s">
        <v>562</v>
      </c>
      <c r="C751" t="s">
        <v>574</v>
      </c>
      <c r="D751" t="s">
        <v>575</v>
      </c>
      <c r="E751" s="2">
        <v>1814.703</v>
      </c>
      <c r="F751" s="2">
        <v>0</v>
      </c>
      <c r="G751" s="2">
        <v>780.02699999999902</v>
      </c>
      <c r="H751" s="2">
        <v>-650.51499999999999</v>
      </c>
      <c r="I751" s="1">
        <v>0.92983727915807701</v>
      </c>
      <c r="J751" s="1">
        <v>0.85846912690396104</v>
      </c>
      <c r="K751" s="1">
        <v>0.668163130818341</v>
      </c>
      <c r="L751" s="1">
        <v>0.62014327524369695</v>
      </c>
      <c r="M751" s="2"/>
      <c r="N751" s="2"/>
      <c r="P751" s="1">
        <f>I751-'Passo 1'!I751</f>
        <v>0.10059745313696</v>
      </c>
      <c r="Q751" s="1">
        <f>J751-'Passo 1'!J751</f>
        <v>7.5814058829461017E-2</v>
      </c>
      <c r="R751" s="1">
        <f t="shared" si="45"/>
        <v>1687.3784999999998</v>
      </c>
      <c r="S751">
        <f t="shared" si="44"/>
        <v>1557.8664999999987</v>
      </c>
      <c r="T751" s="1">
        <f t="shared" si="46"/>
        <v>1212.5176379854358</v>
      </c>
      <c r="U751" s="1">
        <f t="shared" si="47"/>
        <v>1125.3758620145625</v>
      </c>
    </row>
    <row r="752" spans="1:21" x14ac:dyDescent="0.3">
      <c r="A752" t="s">
        <v>359</v>
      </c>
      <c r="B752" t="s">
        <v>563</v>
      </c>
      <c r="C752" t="s">
        <v>576</v>
      </c>
      <c r="D752" t="s">
        <v>589</v>
      </c>
      <c r="E752" s="2">
        <v>0</v>
      </c>
      <c r="F752" s="2">
        <v>0</v>
      </c>
      <c r="G752" s="2">
        <v>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M752" s="2"/>
      <c r="N752" s="2"/>
      <c r="P752" s="1">
        <f>I752-'Passo 1'!I752</f>
        <v>0</v>
      </c>
      <c r="Q752" s="1">
        <f>J752-'Passo 1'!J752</f>
        <v>0</v>
      </c>
      <c r="R752" s="1">
        <f t="shared" si="45"/>
        <v>0</v>
      </c>
      <c r="S752">
        <f t="shared" si="44"/>
        <v>0</v>
      </c>
      <c r="T752" s="1">
        <f t="shared" si="46"/>
        <v>0</v>
      </c>
      <c r="U752" s="1">
        <f t="shared" si="47"/>
        <v>0</v>
      </c>
    </row>
    <row r="753" spans="1:21" x14ac:dyDescent="0.3">
      <c r="A753" t="s">
        <v>359</v>
      </c>
      <c r="B753" t="s">
        <v>791</v>
      </c>
      <c r="C753" t="s">
        <v>576</v>
      </c>
      <c r="D753" t="s">
        <v>577</v>
      </c>
      <c r="E753" s="2">
        <v>919.36400000000003</v>
      </c>
      <c r="F753" s="2">
        <v>0</v>
      </c>
      <c r="G753" s="2">
        <v>374.67749999999899</v>
      </c>
      <c r="H753" s="2">
        <v>-445.32249999999999</v>
      </c>
      <c r="I753" s="1">
        <v>0.90753988626920301</v>
      </c>
      <c r="J753" s="1">
        <v>0.98438105037830403</v>
      </c>
      <c r="K753" s="1">
        <v>0.879254301251579</v>
      </c>
      <c r="L753" s="1">
        <v>0.51266663539592805</v>
      </c>
      <c r="M753" s="2"/>
      <c r="N753" s="2"/>
      <c r="P753" s="1">
        <f>I753-'Passo 1'!I753</f>
        <v>0.12627588202279005</v>
      </c>
      <c r="Q753" s="1">
        <f>J753-'Passo 1'!J753</f>
        <v>0.10232562945688506</v>
      </c>
      <c r="R753" s="1">
        <f t="shared" si="45"/>
        <v>834.35949999999957</v>
      </c>
      <c r="S753">
        <f t="shared" si="44"/>
        <v>905.0044999999991</v>
      </c>
      <c r="T753" s="1">
        <f t="shared" si="46"/>
        <v>808.35475141585675</v>
      </c>
      <c r="U753" s="1">
        <f t="shared" si="47"/>
        <v>471.32724858414201</v>
      </c>
    </row>
    <row r="754" spans="1:21" x14ac:dyDescent="0.3">
      <c r="A754" t="s">
        <v>359</v>
      </c>
      <c r="B754" t="s">
        <v>564</v>
      </c>
      <c r="C754" t="s">
        <v>576</v>
      </c>
      <c r="D754" t="s">
        <v>589</v>
      </c>
      <c r="E754" s="2">
        <v>0</v>
      </c>
      <c r="F754" s="2">
        <v>0</v>
      </c>
      <c r="G754" s="2">
        <v>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M754" s="2"/>
      <c r="N754" s="2"/>
      <c r="P754" s="1">
        <f>I754-'Passo 1'!I754</f>
        <v>0</v>
      </c>
      <c r="Q754" s="1">
        <f>J754-'Passo 1'!J754</f>
        <v>0</v>
      </c>
      <c r="R754" s="1">
        <f t="shared" si="45"/>
        <v>0</v>
      </c>
      <c r="S754">
        <f t="shared" si="44"/>
        <v>0</v>
      </c>
      <c r="T754" s="1">
        <f t="shared" si="46"/>
        <v>0</v>
      </c>
      <c r="U754" s="1">
        <f t="shared" si="47"/>
        <v>0</v>
      </c>
    </row>
    <row r="755" spans="1:21" x14ac:dyDescent="0.3">
      <c r="A755" t="s">
        <v>359</v>
      </c>
      <c r="B755" t="s">
        <v>565</v>
      </c>
      <c r="C755" t="s">
        <v>576</v>
      </c>
      <c r="D755" t="s">
        <v>589</v>
      </c>
      <c r="E755" s="2">
        <v>0</v>
      </c>
      <c r="F755" s="2">
        <v>0</v>
      </c>
      <c r="G755" s="2">
        <v>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M755" s="2"/>
      <c r="N755" s="2"/>
      <c r="P755" s="1">
        <f>I755-'Passo 1'!I755</f>
        <v>0</v>
      </c>
      <c r="Q755" s="1">
        <f>J755-'Passo 1'!J755</f>
        <v>0</v>
      </c>
      <c r="R755" s="1">
        <f t="shared" si="45"/>
        <v>0</v>
      </c>
      <c r="S755">
        <f t="shared" si="44"/>
        <v>0</v>
      </c>
      <c r="T755" s="1">
        <f t="shared" si="46"/>
        <v>0</v>
      </c>
      <c r="U755" s="1">
        <f t="shared" si="47"/>
        <v>0</v>
      </c>
    </row>
    <row r="756" spans="1:21" x14ac:dyDescent="0.3">
      <c r="A756" t="s">
        <v>359</v>
      </c>
      <c r="B756" t="s">
        <v>566</v>
      </c>
      <c r="C756" t="s">
        <v>576</v>
      </c>
      <c r="D756" t="s">
        <v>577</v>
      </c>
      <c r="E756" s="2">
        <v>1001.1</v>
      </c>
      <c r="F756" s="2">
        <v>0</v>
      </c>
      <c r="G756" s="2">
        <v>140.75</v>
      </c>
      <c r="H756" s="2">
        <v>-354.82499999999999</v>
      </c>
      <c r="I756" s="1">
        <v>0.64059534512036698</v>
      </c>
      <c r="J756" s="1">
        <v>0.85443512136649602</v>
      </c>
      <c r="K756" s="1">
        <v>0.48686825769970099</v>
      </c>
      <c r="L756" s="1">
        <v>0.50816220878716201</v>
      </c>
      <c r="M756" s="2"/>
      <c r="N756" s="2"/>
      <c r="P756" s="1">
        <f>I756-'Passo 1'!I756</f>
        <v>4.5794126460892981E-2</v>
      </c>
      <c r="Q756" s="1">
        <f>J756-'Passo 1'!J756</f>
        <v>0.12338677454799707</v>
      </c>
      <c r="R756" s="1">
        <f t="shared" si="45"/>
        <v>641.29999999999939</v>
      </c>
      <c r="S756">
        <f t="shared" si="44"/>
        <v>855.3749999999992</v>
      </c>
      <c r="T756" s="1">
        <f t="shared" si="46"/>
        <v>487.40381278317068</v>
      </c>
      <c r="U756" s="1">
        <f t="shared" si="47"/>
        <v>508.7211872168279</v>
      </c>
    </row>
    <row r="757" spans="1:21" x14ac:dyDescent="0.3">
      <c r="A757" t="s">
        <v>359</v>
      </c>
      <c r="B757" t="s">
        <v>792</v>
      </c>
      <c r="C757" t="s">
        <v>574</v>
      </c>
      <c r="D757" t="s">
        <v>575</v>
      </c>
      <c r="E757" s="2">
        <v>1097.8019999999999</v>
      </c>
      <c r="F757" s="2">
        <v>0</v>
      </c>
      <c r="G757" s="2">
        <v>429.89800000000002</v>
      </c>
      <c r="H757" s="2">
        <v>-415.94799999999998</v>
      </c>
      <c r="I757" s="1">
        <v>0.89159884933712996</v>
      </c>
      <c r="J757" s="1">
        <v>0.87889163984033503</v>
      </c>
      <c r="K757" s="1">
        <v>0.71800194983905696</v>
      </c>
      <c r="L757" s="1">
        <v>0.55248853933840802</v>
      </c>
      <c r="M757" s="2"/>
      <c r="N757" s="2"/>
      <c r="P757" s="1">
        <f>I757-'Passo 1'!I757</f>
        <v>7.5760474110996956E-2</v>
      </c>
      <c r="Q757" s="1">
        <f>J757-'Passo 1'!J757</f>
        <v>5.6260145272097994E-2</v>
      </c>
      <c r="R757" s="1">
        <f t="shared" si="45"/>
        <v>978.79899999999986</v>
      </c>
      <c r="S757">
        <f t="shared" si="44"/>
        <v>964.84899999999936</v>
      </c>
      <c r="T757" s="1">
        <f t="shared" si="46"/>
        <v>788.22397653721634</v>
      </c>
      <c r="U757" s="1">
        <f t="shared" si="47"/>
        <v>606.52302346278293</v>
      </c>
    </row>
    <row r="758" spans="1:21" x14ac:dyDescent="0.3">
      <c r="A758" t="s">
        <v>359</v>
      </c>
      <c r="B758" t="s">
        <v>793</v>
      </c>
      <c r="C758" t="s">
        <v>574</v>
      </c>
      <c r="D758" t="s">
        <v>575</v>
      </c>
      <c r="E758" s="2">
        <v>803.42899999999997</v>
      </c>
      <c r="F758" s="2">
        <v>0.29799999999999999</v>
      </c>
      <c r="G758" s="2">
        <v>179.67850000000001</v>
      </c>
      <c r="H758" s="2">
        <v>-320.39749999999998</v>
      </c>
      <c r="I758" s="1">
        <v>0.72345409488579504</v>
      </c>
      <c r="J758" s="1">
        <v>0.89860211667739098</v>
      </c>
      <c r="K758" s="1">
        <v>0.57805978044487005</v>
      </c>
      <c r="L758" s="1">
        <v>0.54418188621142305</v>
      </c>
      <c r="M758" s="2"/>
      <c r="N758" s="2"/>
      <c r="P758" s="1">
        <f>I758-'Passo 1'!I758</f>
        <v>4.7586656692750084E-2</v>
      </c>
      <c r="Q758" s="1">
        <f>J758-'Passo 1'!J758</f>
        <v>0.12390142750635103</v>
      </c>
      <c r="R758" s="1">
        <f t="shared" si="45"/>
        <v>581.24399999999946</v>
      </c>
      <c r="S758">
        <f t="shared" si="44"/>
        <v>721.96299999999951</v>
      </c>
      <c r="T758" s="1">
        <f t="shared" si="46"/>
        <v>464.42999134304148</v>
      </c>
      <c r="U758" s="1">
        <f t="shared" si="47"/>
        <v>437.21150865695739</v>
      </c>
    </row>
    <row r="759" spans="1:21" x14ac:dyDescent="0.3">
      <c r="A759" t="s">
        <v>359</v>
      </c>
      <c r="B759" t="s">
        <v>794</v>
      </c>
      <c r="C759" t="s">
        <v>576</v>
      </c>
      <c r="D759" t="s">
        <v>577</v>
      </c>
      <c r="E759" s="2">
        <v>368.625</v>
      </c>
      <c r="F759" s="2">
        <v>0</v>
      </c>
      <c r="G759" s="2">
        <v>66.768999999999906</v>
      </c>
      <c r="H759" s="2">
        <v>-175.05099999999999</v>
      </c>
      <c r="I759" s="1">
        <v>0.68112987453373997</v>
      </c>
      <c r="J759" s="1">
        <v>0.97487555103424794</v>
      </c>
      <c r="K759" s="1">
        <v>0.663816689986512</v>
      </c>
      <c r="L759" s="1">
        <v>0.49218873558147602</v>
      </c>
      <c r="M759" s="2"/>
      <c r="N759" s="2"/>
      <c r="P759" s="1">
        <f>I759-'Passo 1'!I759</f>
        <v>8.2921668362156975E-2</v>
      </c>
      <c r="Q759" s="1">
        <f>J759-'Passo 1'!J759</f>
        <v>0.16359579518480794</v>
      </c>
      <c r="R759" s="1">
        <f t="shared" si="45"/>
        <v>251.08149999999989</v>
      </c>
      <c r="S759">
        <f t="shared" si="44"/>
        <v>359.36349999999965</v>
      </c>
      <c r="T759" s="1">
        <f t="shared" si="46"/>
        <v>244.69942734627799</v>
      </c>
      <c r="U759" s="1">
        <f t="shared" si="47"/>
        <v>181.43307265372161</v>
      </c>
    </row>
    <row r="760" spans="1:21" x14ac:dyDescent="0.3">
      <c r="A760" t="s">
        <v>359</v>
      </c>
      <c r="B760" t="s">
        <v>795</v>
      </c>
      <c r="C760" t="s">
        <v>574</v>
      </c>
      <c r="D760" t="s">
        <v>575</v>
      </c>
      <c r="E760" s="2">
        <v>363.20499999999998</v>
      </c>
      <c r="F760" s="2">
        <v>3.7999999999999999E-2</v>
      </c>
      <c r="G760" s="2">
        <v>107.72799999999999</v>
      </c>
      <c r="H760" s="2">
        <v>-105.65649999999999</v>
      </c>
      <c r="I760" s="1">
        <v>0.79655153425751302</v>
      </c>
      <c r="J760" s="1">
        <v>0.79084814361035705</v>
      </c>
      <c r="K760" s="1">
        <v>0.615674762471771</v>
      </c>
      <c r="L760" s="1">
        <v>0.47177722745127398</v>
      </c>
      <c r="M760" s="2"/>
      <c r="N760" s="2"/>
      <c r="P760" s="1">
        <f>I760-'Passo 1'!I760</f>
        <v>0.10277391555733006</v>
      </c>
      <c r="Q760" s="1">
        <f>J760-'Passo 1'!J760</f>
        <v>0.13702041546784804</v>
      </c>
      <c r="R760" s="1">
        <f t="shared" si="45"/>
        <v>289.31150000000002</v>
      </c>
      <c r="S760">
        <f t="shared" si="44"/>
        <v>287.23999999999972</v>
      </c>
      <c r="T760" s="1">
        <f t="shared" si="46"/>
        <v>223.61615210355959</v>
      </c>
      <c r="U760" s="1">
        <f t="shared" si="47"/>
        <v>171.35184789643995</v>
      </c>
    </row>
    <row r="761" spans="1:21" x14ac:dyDescent="0.3">
      <c r="A761" t="s">
        <v>359</v>
      </c>
      <c r="B761" t="s">
        <v>567</v>
      </c>
      <c r="C761" t="s">
        <v>574</v>
      </c>
      <c r="D761" t="s">
        <v>575</v>
      </c>
      <c r="E761" s="2">
        <v>0</v>
      </c>
      <c r="F761" s="2">
        <v>0</v>
      </c>
      <c r="G761" s="2">
        <v>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M761" s="2"/>
      <c r="N761" s="2"/>
      <c r="P761" s="1">
        <f>I761-'Passo 1'!I761</f>
        <v>0</v>
      </c>
      <c r="Q761" s="1">
        <f>J761-'Passo 1'!J761</f>
        <v>0</v>
      </c>
      <c r="R761" s="1">
        <f t="shared" si="45"/>
        <v>0</v>
      </c>
      <c r="S761">
        <f t="shared" si="44"/>
        <v>0</v>
      </c>
      <c r="T761" s="1">
        <f t="shared" si="46"/>
        <v>0</v>
      </c>
      <c r="U761" s="1">
        <f t="shared" si="47"/>
        <v>0</v>
      </c>
    </row>
    <row r="762" spans="1:21" x14ac:dyDescent="0.3">
      <c r="A762" t="s">
        <v>359</v>
      </c>
      <c r="B762" t="s">
        <v>796</v>
      </c>
      <c r="C762" t="s">
        <v>576</v>
      </c>
      <c r="D762" t="s">
        <v>14</v>
      </c>
      <c r="E762" s="2">
        <v>243.60300000000001</v>
      </c>
      <c r="F762" s="2">
        <v>0</v>
      </c>
      <c r="G762" s="2">
        <v>121.8015</v>
      </c>
      <c r="H762" s="2">
        <v>-121.8015</v>
      </c>
      <c r="I762" s="1">
        <v>1</v>
      </c>
      <c r="J762" s="1">
        <v>1</v>
      </c>
      <c r="K762" s="1">
        <v>0.97053867069008304</v>
      </c>
      <c r="L762" s="1">
        <v>0.52946132930991596</v>
      </c>
      <c r="M762" s="2"/>
      <c r="N762" s="2"/>
      <c r="P762" s="1">
        <f>I762-'Passo 1'!I762</f>
        <v>0</v>
      </c>
      <c r="Q762" s="1">
        <f>J762-'Passo 1'!J762</f>
        <v>0</v>
      </c>
      <c r="R762" s="1">
        <f t="shared" si="45"/>
        <v>243.60300000000001</v>
      </c>
      <c r="S762">
        <f t="shared" si="44"/>
        <v>243.60300000000001</v>
      </c>
      <c r="T762" s="1">
        <f t="shared" si="46"/>
        <v>236.42613179611629</v>
      </c>
      <c r="U762" s="1">
        <f t="shared" si="47"/>
        <v>128.97836820388346</v>
      </c>
    </row>
    <row r="763" spans="1:21" x14ac:dyDescent="0.3">
      <c r="A763" t="s">
        <v>359</v>
      </c>
      <c r="B763" t="s">
        <v>797</v>
      </c>
      <c r="C763" t="s">
        <v>576</v>
      </c>
      <c r="D763" t="s">
        <v>14</v>
      </c>
      <c r="E763" s="2">
        <v>0</v>
      </c>
      <c r="F763" s="2">
        <v>0</v>
      </c>
      <c r="G763" s="2">
        <v>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M763" s="2"/>
      <c r="N763" s="2"/>
      <c r="P763" s="1">
        <f>I763-'Passo 1'!I763</f>
        <v>0</v>
      </c>
      <c r="Q763" s="1">
        <f>J763-'Passo 1'!J763</f>
        <v>0</v>
      </c>
      <c r="R763" s="1">
        <f t="shared" si="45"/>
        <v>0</v>
      </c>
      <c r="S763">
        <f t="shared" si="44"/>
        <v>0</v>
      </c>
      <c r="T763" s="1">
        <f t="shared" si="46"/>
        <v>0</v>
      </c>
      <c r="U763" s="1">
        <f t="shared" si="47"/>
        <v>0</v>
      </c>
    </row>
    <row r="764" spans="1:21" x14ac:dyDescent="0.3">
      <c r="A764" t="s">
        <v>359</v>
      </c>
      <c r="B764" t="s">
        <v>798</v>
      </c>
      <c r="C764" t="s">
        <v>576</v>
      </c>
      <c r="D764" t="s">
        <v>14</v>
      </c>
      <c r="E764" s="2">
        <v>310.81299999999999</v>
      </c>
      <c r="F764" s="2">
        <v>0</v>
      </c>
      <c r="G764" s="2">
        <v>155.40649999999999</v>
      </c>
      <c r="H764" s="2">
        <v>-155.40649999999999</v>
      </c>
      <c r="I764" s="1">
        <v>1</v>
      </c>
      <c r="J764" s="1">
        <v>1</v>
      </c>
      <c r="K764" s="1">
        <v>0.98879437539008697</v>
      </c>
      <c r="L764" s="1">
        <v>0.51120562460991203</v>
      </c>
      <c r="M764" s="2"/>
      <c r="N764" s="2"/>
      <c r="P764" s="1">
        <f>I764-'Passo 1'!I764</f>
        <v>0</v>
      </c>
      <c r="Q764" s="1">
        <f>J764-'Passo 1'!J764</f>
        <v>0</v>
      </c>
      <c r="R764" s="1">
        <f t="shared" si="45"/>
        <v>310.81299999999999</v>
      </c>
      <c r="S764">
        <f t="shared" si="44"/>
        <v>310.81299999999999</v>
      </c>
      <c r="T764" s="1">
        <f t="shared" si="46"/>
        <v>307.33014619811911</v>
      </c>
      <c r="U764" s="1">
        <f t="shared" si="47"/>
        <v>158.88935380188059</v>
      </c>
    </row>
    <row r="765" spans="1:21" x14ac:dyDescent="0.3">
      <c r="A765" t="s">
        <v>359</v>
      </c>
      <c r="B765" t="s">
        <v>568</v>
      </c>
      <c r="C765" t="s">
        <v>574</v>
      </c>
      <c r="D765" t="s">
        <v>575</v>
      </c>
      <c r="E765" s="2">
        <v>0</v>
      </c>
      <c r="F765" s="2">
        <v>0</v>
      </c>
      <c r="G765" s="2">
        <v>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M765" s="2"/>
      <c r="N765" s="2"/>
      <c r="P765" s="1">
        <f>I765-'Passo 1'!I765</f>
        <v>0</v>
      </c>
      <c r="Q765" s="1">
        <f>J765-'Passo 1'!J765</f>
        <v>0</v>
      </c>
      <c r="R765" s="1">
        <f t="shared" si="45"/>
        <v>0</v>
      </c>
      <c r="S765">
        <f t="shared" si="44"/>
        <v>0</v>
      </c>
      <c r="T765" s="1">
        <f t="shared" si="46"/>
        <v>0</v>
      </c>
      <c r="U765" s="1">
        <f t="shared" si="47"/>
        <v>0</v>
      </c>
    </row>
    <row r="766" spans="1:21" x14ac:dyDescent="0.3">
      <c r="A766" t="s">
        <v>359</v>
      </c>
      <c r="B766" t="s">
        <v>569</v>
      </c>
      <c r="C766" t="s">
        <v>576</v>
      </c>
      <c r="D766" t="s">
        <v>583</v>
      </c>
      <c r="E766" s="2">
        <v>175.75800000000001</v>
      </c>
      <c r="F766" s="2">
        <v>0</v>
      </c>
      <c r="G766" s="2">
        <v>84.156499999999994</v>
      </c>
      <c r="H766" s="2">
        <v>-87.584000000000003</v>
      </c>
      <c r="I766" s="1">
        <v>0.97882030974407996</v>
      </c>
      <c r="J766" s="1">
        <v>0.99832155577555504</v>
      </c>
      <c r="K766" s="1">
        <v>0.97062719592079505</v>
      </c>
      <c r="L766" s="1">
        <v>0.50651466959883895</v>
      </c>
      <c r="M766" s="2"/>
      <c r="N766" s="2"/>
      <c r="P766" s="1">
        <f>I766-'Passo 1'!I766</f>
        <v>0.20462510952559798</v>
      </c>
      <c r="Q766" s="1">
        <f>J766-'Passo 1'!J766</f>
        <v>0.10342061243300504</v>
      </c>
      <c r="R766" s="1">
        <f t="shared" si="45"/>
        <v>172.03550000000001</v>
      </c>
      <c r="S766">
        <f t="shared" si="44"/>
        <v>175.46300000000002</v>
      </c>
      <c r="T766" s="1">
        <f t="shared" si="46"/>
        <v>170.59549470064709</v>
      </c>
      <c r="U766" s="1">
        <f t="shared" si="47"/>
        <v>89.024005299352737</v>
      </c>
    </row>
    <row r="767" spans="1:21" x14ac:dyDescent="0.3">
      <c r="A767" t="s">
        <v>359</v>
      </c>
      <c r="B767" t="s">
        <v>570</v>
      </c>
      <c r="C767" t="s">
        <v>576</v>
      </c>
      <c r="D767" t="s">
        <v>577</v>
      </c>
      <c r="E767" s="2">
        <v>37.064999999999998</v>
      </c>
      <c r="F767" s="2">
        <v>0</v>
      </c>
      <c r="G767" s="2">
        <v>18.494499999999999</v>
      </c>
      <c r="H767" s="2">
        <v>-18.532499999999999</v>
      </c>
      <c r="I767" s="1">
        <v>0.99897477404559498</v>
      </c>
      <c r="J767" s="1">
        <v>1</v>
      </c>
      <c r="K767" s="1">
        <v>0.99205158151712003</v>
      </c>
      <c r="L767" s="1">
        <v>0.50692319252847595</v>
      </c>
      <c r="M767" s="2"/>
      <c r="N767" s="2"/>
      <c r="P767" s="1">
        <f>I767-'Passo 1'!I767</f>
        <v>6.506137865911199E-2</v>
      </c>
      <c r="Q767" s="1">
        <f>J767-'Passo 1'!J767</f>
        <v>8.8628085795230405E-3</v>
      </c>
      <c r="R767" s="1">
        <f t="shared" si="45"/>
        <v>37.026999999999973</v>
      </c>
      <c r="S767">
        <f t="shared" si="44"/>
        <v>37.064999999999998</v>
      </c>
      <c r="T767" s="1">
        <f t="shared" si="46"/>
        <v>36.770391868932052</v>
      </c>
      <c r="U767" s="1">
        <f t="shared" si="47"/>
        <v>18.789108131067959</v>
      </c>
    </row>
    <row r="768" spans="1:21" x14ac:dyDescent="0.3">
      <c r="A768" t="s">
        <v>359</v>
      </c>
      <c r="B768" t="s">
        <v>571</v>
      </c>
      <c r="C768" t="s">
        <v>576</v>
      </c>
      <c r="D768" t="s">
        <v>14</v>
      </c>
      <c r="E768" s="2">
        <v>41.459000000000003</v>
      </c>
      <c r="F768" s="2">
        <v>0</v>
      </c>
      <c r="G768" s="2">
        <v>16.541499999999999</v>
      </c>
      <c r="H768" s="2">
        <v>-19.3505</v>
      </c>
      <c r="I768" s="1">
        <v>0.89898453894208696</v>
      </c>
      <c r="J768" s="1">
        <v>0.96673822330495096</v>
      </c>
      <c r="K768" s="1">
        <v>0.70001786374105601</v>
      </c>
      <c r="L768" s="1">
        <v>0.66570489850598202</v>
      </c>
      <c r="M768" s="2"/>
      <c r="N768" s="2"/>
      <c r="P768" s="1">
        <f>I768-'Passo 1'!I768</f>
        <v>3.3611519814756963E-2</v>
      </c>
      <c r="Q768" s="1">
        <f>J768-'Passo 1'!J768</f>
        <v>2.9728165175232912E-2</v>
      </c>
      <c r="R768" s="1">
        <f t="shared" si="45"/>
        <v>37.270999999999987</v>
      </c>
      <c r="S768">
        <f t="shared" si="44"/>
        <v>40.079999999999963</v>
      </c>
      <c r="T768" s="1">
        <f t="shared" si="46"/>
        <v>29.022040612840442</v>
      </c>
      <c r="U768" s="1">
        <f t="shared" si="47"/>
        <v>27.599459387159509</v>
      </c>
    </row>
    <row r="769" spans="1:21" x14ac:dyDescent="0.3">
      <c r="A769" t="s">
        <v>359</v>
      </c>
      <c r="B769" t="s">
        <v>572</v>
      </c>
      <c r="C769" t="s">
        <v>574</v>
      </c>
      <c r="D769" t="s">
        <v>575</v>
      </c>
      <c r="E769" s="2">
        <v>381.38600000000002</v>
      </c>
      <c r="F769" s="2">
        <v>13.763</v>
      </c>
      <c r="G769" s="2">
        <v>160.7285</v>
      </c>
      <c r="H769" s="2">
        <v>-160.529</v>
      </c>
      <c r="I769" s="1">
        <v>0.90338921722349497</v>
      </c>
      <c r="J769" s="1">
        <v>0.90286612513306697</v>
      </c>
      <c r="K769" s="1">
        <v>0.67609738200323499</v>
      </c>
      <c r="L769" s="1">
        <v>0.64820135995373096</v>
      </c>
      <c r="M769" s="2"/>
      <c r="N769" s="2"/>
      <c r="P769" s="1">
        <f>I769-'Passo 1'!I769</f>
        <v>1.5134273413286992E-2</v>
      </c>
      <c r="Q769" s="1">
        <f>J769-'Passo 1'!J769</f>
        <v>5.4039739266779963E-2</v>
      </c>
      <c r="R769" s="1">
        <f t="shared" si="45"/>
        <v>344.53999999999985</v>
      </c>
      <c r="S769">
        <f t="shared" si="44"/>
        <v>344.34049999999991</v>
      </c>
      <c r="T769" s="1">
        <f t="shared" si="46"/>
        <v>257.8540761326858</v>
      </c>
      <c r="U769" s="1">
        <f t="shared" si="47"/>
        <v>247.21492386731364</v>
      </c>
    </row>
    <row r="770" spans="1:21" x14ac:dyDescent="0.3">
      <c r="A770" t="s">
        <v>359</v>
      </c>
      <c r="B770" t="s">
        <v>573</v>
      </c>
      <c r="C770" t="s">
        <v>576</v>
      </c>
      <c r="D770" t="s">
        <v>577</v>
      </c>
      <c r="E770" s="2">
        <v>43.466000000000001</v>
      </c>
      <c r="F770" s="2">
        <v>0</v>
      </c>
      <c r="G770" s="2">
        <v>17.682500000000001</v>
      </c>
      <c r="H770" s="2">
        <v>-17.5975</v>
      </c>
      <c r="I770" s="1">
        <v>0.90681222104633497</v>
      </c>
      <c r="J770" s="1">
        <v>0.904856669580821</v>
      </c>
      <c r="K770" s="1">
        <v>0.90546819822121805</v>
      </c>
      <c r="L770" s="1">
        <v>0.40620069240593698</v>
      </c>
      <c r="M770" s="2"/>
      <c r="N770" s="2"/>
      <c r="P770" s="1">
        <f>I770-'Passo 1'!I770</f>
        <v>2.2776422951272912E-2</v>
      </c>
      <c r="Q770" s="1">
        <f>J770-'Passo 1'!J770</f>
        <v>3.0932222886854044E-2</v>
      </c>
      <c r="R770" s="1">
        <f t="shared" si="45"/>
        <v>39.415499999999994</v>
      </c>
      <c r="S770">
        <f t="shared" ref="S770:S772" si="48">J770*E770</f>
        <v>39.330499999999965</v>
      </c>
      <c r="T770" s="1">
        <f t="shared" si="46"/>
        <v>39.357080703883462</v>
      </c>
      <c r="U770" s="1">
        <f t="shared" si="47"/>
        <v>17.655919296116458</v>
      </c>
    </row>
    <row r="771" spans="1:21" x14ac:dyDescent="0.3">
      <c r="A771" t="s">
        <v>359</v>
      </c>
      <c r="B771" t="s">
        <v>799</v>
      </c>
      <c r="C771" t="s">
        <v>576</v>
      </c>
      <c r="D771" t="s">
        <v>589</v>
      </c>
      <c r="E771" s="2">
        <v>15.593</v>
      </c>
      <c r="F771" s="2">
        <v>0</v>
      </c>
      <c r="G771" s="2">
        <v>7.7965</v>
      </c>
      <c r="H771" s="2">
        <v>-7.7965</v>
      </c>
      <c r="I771" s="1">
        <v>1</v>
      </c>
      <c r="J771" s="1">
        <v>1</v>
      </c>
      <c r="K771" s="1">
        <v>0.99995954692556599</v>
      </c>
      <c r="L771" s="1">
        <v>0.50004045307443301</v>
      </c>
      <c r="M771" s="2"/>
      <c r="N771" s="2"/>
      <c r="P771" s="1">
        <f>I771-'Passo 1'!I771</f>
        <v>0</v>
      </c>
      <c r="Q771" s="1">
        <f>J771-'Passo 1'!J771</f>
        <v>0</v>
      </c>
      <c r="R771" s="1">
        <f t="shared" ref="R771:R773" si="49">I771*E771</f>
        <v>15.593</v>
      </c>
      <c r="S771">
        <f t="shared" si="48"/>
        <v>15.593</v>
      </c>
      <c r="T771" s="1">
        <f t="shared" ref="T771:T773" si="50">K771*E771</f>
        <v>15.592369215210351</v>
      </c>
      <c r="U771" s="1">
        <f t="shared" ref="U771:U773" si="51">L771*E771</f>
        <v>7.7971307847896343</v>
      </c>
    </row>
    <row r="772" spans="1:21" x14ac:dyDescent="0.3">
      <c r="A772" t="s">
        <v>359</v>
      </c>
      <c r="B772" t="s">
        <v>800</v>
      </c>
      <c r="C772" t="s">
        <v>574</v>
      </c>
      <c r="D772" t="s">
        <v>575</v>
      </c>
      <c r="E772" s="2">
        <v>9.4380000000000006</v>
      </c>
      <c r="F772" s="2">
        <v>0</v>
      </c>
      <c r="G772" s="2">
        <v>0</v>
      </c>
      <c r="H772" s="2">
        <v>-4.7190000000000003</v>
      </c>
      <c r="I772" s="1">
        <v>0.5</v>
      </c>
      <c r="J772" s="1">
        <v>1</v>
      </c>
      <c r="K772" s="1">
        <v>0.20582524271844599</v>
      </c>
      <c r="L772" s="1">
        <v>0.79417475728155296</v>
      </c>
      <c r="M772" s="2"/>
      <c r="N772" s="2"/>
      <c r="P772" s="1">
        <f>I772-'Passo 1'!I772</f>
        <v>0</v>
      </c>
      <c r="Q772" s="1">
        <f>J772-'Passo 1'!J772</f>
        <v>0</v>
      </c>
      <c r="R772" s="1">
        <f t="shared" si="49"/>
        <v>4.7190000000000003</v>
      </c>
      <c r="S772">
        <f t="shared" si="48"/>
        <v>9.4380000000000006</v>
      </c>
      <c r="T772" s="1">
        <f t="shared" si="50"/>
        <v>1.9425786407766934</v>
      </c>
      <c r="U772" s="1">
        <f t="shared" si="51"/>
        <v>7.4954213592232977</v>
      </c>
    </row>
    <row r="773" spans="1:21" x14ac:dyDescent="0.3">
      <c r="A773" t="s">
        <v>359</v>
      </c>
      <c r="B773" t="s">
        <v>801</v>
      </c>
      <c r="C773" t="s">
        <v>574</v>
      </c>
      <c r="D773" t="s">
        <v>575</v>
      </c>
      <c r="E773" s="2">
        <v>1354.364</v>
      </c>
      <c r="F773" s="2">
        <v>0.74299999999999999</v>
      </c>
      <c r="G773" s="2">
        <v>415.647999999999</v>
      </c>
      <c r="H773" s="2">
        <v>-422.14499999999998</v>
      </c>
      <c r="I773" s="1">
        <v>0.80662104131533297</v>
      </c>
      <c r="J773" s="1">
        <v>0.81141812688464798</v>
      </c>
      <c r="K773" s="1">
        <v>0.57111338990873595</v>
      </c>
      <c r="L773" s="1">
        <v>0.547200076781163</v>
      </c>
      <c r="M773" s="2"/>
      <c r="N773" s="2"/>
      <c r="P773" s="1">
        <f>I773-'Passo 1'!I773</f>
        <v>7.0355901367726958E-2</v>
      </c>
      <c r="Q773" s="1">
        <f>J773-'Passo 1'!J773</f>
        <v>6.4558346205303985E-2</v>
      </c>
      <c r="R773" s="1">
        <f t="shared" si="49"/>
        <v>1092.4584999999997</v>
      </c>
      <c r="S773">
        <f>J773*E773</f>
        <v>1098.9554999999993</v>
      </c>
      <c r="T773" s="1">
        <f t="shared" si="50"/>
        <v>773.4954152103553</v>
      </c>
      <c r="U773" s="1">
        <f t="shared" si="51"/>
        <v>741.10808478964304</v>
      </c>
    </row>
    <row r="775" spans="1:21" x14ac:dyDescent="0.3">
      <c r="B775" t="s">
        <v>832</v>
      </c>
      <c r="G775" s="2" t="s">
        <v>833</v>
      </c>
      <c r="P775" s="1">
        <f>AVERAGE(P2:P773)</f>
        <v>5.8795295314134438E-2</v>
      </c>
      <c r="Q775" s="1">
        <f>AVERAGE(Q2:Q773)</f>
        <v>5.3063189173173798E-2</v>
      </c>
    </row>
    <row r="776" spans="1:21" x14ac:dyDescent="0.3">
      <c r="A776" t="s">
        <v>826</v>
      </c>
      <c r="B776" t="s">
        <v>825</v>
      </c>
      <c r="C776" t="s">
        <v>827</v>
      </c>
      <c r="D776" t="s">
        <v>828</v>
      </c>
      <c r="F776" t="s">
        <v>826</v>
      </c>
      <c r="G776" t="s">
        <v>825</v>
      </c>
      <c r="H776" t="s">
        <v>834</v>
      </c>
      <c r="I776" t="s">
        <v>835</v>
      </c>
    </row>
    <row r="777" spans="1:21" x14ac:dyDescent="0.3">
      <c r="A777" s="6">
        <f t="shared" ref="A777:A786" si="52">SUMIF($D$2:$D$773,B777,$E$2:$E$773)</f>
        <v>12</v>
      </c>
      <c r="B777" t="s">
        <v>592</v>
      </c>
      <c r="C777" s="7">
        <f t="shared" ref="C777:C786" si="53">SUMIF($D$2:$D$773,B777,$R$2:$R$773)/A777</f>
        <v>0.98399999999999999</v>
      </c>
      <c r="D777" s="7">
        <f t="shared" ref="D777:D786" si="54">SUMIF($D$2:$D$773,B777,$R$2:$R$773)/A777</f>
        <v>0.98399999999999999</v>
      </c>
      <c r="F777" s="6">
        <f t="shared" ref="F777:F786" si="55">SUMIF($D$2:$D$773,G777,$E$2:$E$773)</f>
        <v>12</v>
      </c>
      <c r="G777" t="s">
        <v>592</v>
      </c>
      <c r="H777" s="7">
        <f>SUMIF($D$2:$D$773,G777,$T$2:$T$773)/F777</f>
        <v>0.77954824703344106</v>
      </c>
      <c r="I777" s="7">
        <f>SUMIF($D$2:$D$773,G777,$U$2:$U$773)/F777</f>
        <v>0.70445175296655804</v>
      </c>
    </row>
    <row r="778" spans="1:21" x14ac:dyDescent="0.3">
      <c r="A778" s="6">
        <f t="shared" si="52"/>
        <v>377.298</v>
      </c>
      <c r="B778" s="4" t="s">
        <v>589</v>
      </c>
      <c r="C778" s="7">
        <f t="shared" si="53"/>
        <v>0.96675837136692955</v>
      </c>
      <c r="D778" s="7">
        <f t="shared" si="54"/>
        <v>0.96675837136692955</v>
      </c>
      <c r="F778" s="6">
        <f t="shared" si="55"/>
        <v>377.298</v>
      </c>
      <c r="G778" s="4" t="s">
        <v>589</v>
      </c>
      <c r="H778" s="7">
        <f t="shared" ref="H778:H786" si="56">SUMIF($D$2:$D$773,G778,$T$2:$T$773)/F778</f>
        <v>0.94571004890660015</v>
      </c>
      <c r="I778" s="7">
        <f t="shared" ref="I778:I786" si="57">SUMIF($D$2:$D$773,G778,$U$2:$U$773)/F778</f>
        <v>0.51695474125926288</v>
      </c>
    </row>
    <row r="779" spans="1:21" x14ac:dyDescent="0.3">
      <c r="A779" s="6">
        <f t="shared" si="52"/>
        <v>3793.6980000000003</v>
      </c>
      <c r="B779" s="4" t="s">
        <v>583</v>
      </c>
      <c r="C779" s="7">
        <f t="shared" si="53"/>
        <v>0.97120856747163298</v>
      </c>
      <c r="D779" s="7">
        <f t="shared" si="54"/>
        <v>0.97120856747163298</v>
      </c>
      <c r="F779" s="6">
        <f t="shared" si="55"/>
        <v>3793.6980000000003</v>
      </c>
      <c r="G779" s="4" t="s">
        <v>583</v>
      </c>
      <c r="H779" s="7">
        <f t="shared" si="56"/>
        <v>0.96290028758173329</v>
      </c>
      <c r="I779" s="7">
        <f t="shared" si="57"/>
        <v>0.49969241220617711</v>
      </c>
    </row>
    <row r="780" spans="1:21" x14ac:dyDescent="0.3">
      <c r="A780" s="6">
        <f t="shared" si="52"/>
        <v>15348.725999999999</v>
      </c>
      <c r="B780" s="4" t="s">
        <v>577</v>
      </c>
      <c r="C780" s="7">
        <f t="shared" si="53"/>
        <v>0.852960304327538</v>
      </c>
      <c r="D780" s="7">
        <f t="shared" si="54"/>
        <v>0.852960304327538</v>
      </c>
      <c r="F780" s="6">
        <f t="shared" si="55"/>
        <v>15348.725999999999</v>
      </c>
      <c r="G780" s="4" t="s">
        <v>577</v>
      </c>
      <c r="H780" s="7">
        <f t="shared" si="56"/>
        <v>0.74606293439723614</v>
      </c>
      <c r="I780" s="7">
        <f t="shared" si="57"/>
        <v>0.57449402909276159</v>
      </c>
    </row>
    <row r="781" spans="1:21" x14ac:dyDescent="0.3">
      <c r="A781" s="6">
        <f t="shared" si="52"/>
        <v>2018.587</v>
      </c>
      <c r="B781" s="4" t="s">
        <v>367</v>
      </c>
      <c r="C781" s="7">
        <f t="shared" si="53"/>
        <v>0.84879695549411527</v>
      </c>
      <c r="D781" s="7">
        <f t="shared" si="54"/>
        <v>0.84879695549411527</v>
      </c>
      <c r="F781" s="6">
        <f t="shared" si="55"/>
        <v>2018.587</v>
      </c>
      <c r="G781" s="4" t="s">
        <v>367</v>
      </c>
      <c r="H781" s="7">
        <f t="shared" si="56"/>
        <v>0.41129710814102499</v>
      </c>
      <c r="I781" s="7">
        <f t="shared" si="57"/>
        <v>0.89897388835305636</v>
      </c>
    </row>
    <row r="782" spans="1:21" x14ac:dyDescent="0.3">
      <c r="A782" s="6">
        <f t="shared" si="52"/>
        <v>5040.3630000000003</v>
      </c>
      <c r="B782" s="4" t="s">
        <v>591</v>
      </c>
      <c r="C782" s="7">
        <f t="shared" si="53"/>
        <v>0.94934144624107386</v>
      </c>
      <c r="D782" s="7">
        <f t="shared" si="54"/>
        <v>0.94934144624107386</v>
      </c>
      <c r="F782" s="6">
        <f t="shared" si="55"/>
        <v>5040.3630000000003</v>
      </c>
      <c r="G782" s="4" t="s">
        <v>591</v>
      </c>
      <c r="H782" s="7">
        <f t="shared" si="56"/>
        <v>0.8165299390708145</v>
      </c>
      <c r="I782" s="7">
        <f t="shared" si="57"/>
        <v>0.58985735882816537</v>
      </c>
    </row>
    <row r="783" spans="1:21" x14ac:dyDescent="0.3">
      <c r="A783" s="6">
        <f t="shared" si="52"/>
        <v>2981.6559999999995</v>
      </c>
      <c r="B783" s="4" t="s">
        <v>14</v>
      </c>
      <c r="C783" s="7">
        <f t="shared" si="53"/>
        <v>0.82083463015183511</v>
      </c>
      <c r="D783" s="7">
        <f t="shared" si="54"/>
        <v>0.82083463015183511</v>
      </c>
      <c r="F783" s="6">
        <f t="shared" si="55"/>
        <v>2981.6559999999995</v>
      </c>
      <c r="G783" s="4" t="s">
        <v>14</v>
      </c>
      <c r="H783" s="7">
        <f t="shared" si="56"/>
        <v>0.6644790277364232</v>
      </c>
      <c r="I783" s="7">
        <f t="shared" si="57"/>
        <v>0.52670566962638377</v>
      </c>
    </row>
    <row r="784" spans="1:21" x14ac:dyDescent="0.3">
      <c r="A784" s="6">
        <f>SUMIF($D$2:$D$773,B784,$E$2:$E$773)</f>
        <v>108770.70700000002</v>
      </c>
      <c r="B784" t="s">
        <v>575</v>
      </c>
      <c r="C784" s="7">
        <f t="shared" si="53"/>
        <v>0.79484816624387677</v>
      </c>
      <c r="D784" s="7">
        <f t="shared" si="54"/>
        <v>0.79484816624387677</v>
      </c>
      <c r="F784" s="6">
        <f>SUMIF($D$2:$D$773,G784,$E$2:$E$773)</f>
        <v>108770.70700000002</v>
      </c>
      <c r="G784" t="s">
        <v>575</v>
      </c>
      <c r="H784" s="7">
        <f t="shared" si="56"/>
        <v>0.59552646345794258</v>
      </c>
      <c r="I784" s="7">
        <f t="shared" si="57"/>
        <v>0.52305514142212772</v>
      </c>
    </row>
    <row r="785" spans="1:9" x14ac:dyDescent="0.3">
      <c r="A785" s="6">
        <f t="shared" si="52"/>
        <v>1283.3349999999998</v>
      </c>
      <c r="B785" s="4" t="s">
        <v>598</v>
      </c>
      <c r="C785" s="7">
        <f t="shared" si="53"/>
        <v>0.78958339015144097</v>
      </c>
      <c r="D785" s="7">
        <f t="shared" si="54"/>
        <v>0.78958339015144097</v>
      </c>
      <c r="F785" s="6">
        <f t="shared" si="55"/>
        <v>1283.3349999999998</v>
      </c>
      <c r="G785" s="4" t="s">
        <v>598</v>
      </c>
      <c r="H785" s="7">
        <f t="shared" si="56"/>
        <v>0.49057321430314743</v>
      </c>
      <c r="I785" s="7">
        <f t="shared" si="57"/>
        <v>0.69191343181809062</v>
      </c>
    </row>
    <row r="786" spans="1:9" x14ac:dyDescent="0.3">
      <c r="A786" s="6">
        <f t="shared" si="52"/>
        <v>3668.5140000000001</v>
      </c>
      <c r="B786" s="4" t="s">
        <v>595</v>
      </c>
      <c r="C786" s="7">
        <f t="shared" si="53"/>
        <v>0.75038993990482217</v>
      </c>
      <c r="D786" s="7">
        <f t="shared" si="54"/>
        <v>0.75038993990482217</v>
      </c>
      <c r="F786" s="6">
        <f t="shared" si="55"/>
        <v>3668.5140000000001</v>
      </c>
      <c r="G786" s="4" t="s">
        <v>595</v>
      </c>
      <c r="H786" s="7">
        <f t="shared" si="56"/>
        <v>0.57351411343316672</v>
      </c>
      <c r="I786" s="7">
        <f t="shared" si="57"/>
        <v>0.57652334042417086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FF31-195B-4FAE-80F2-B06C10B31E22}">
  <dimension ref="A1:T786"/>
  <sheetViews>
    <sheetView topLeftCell="D1" zoomScale="70" zoomScaleNormal="70" workbookViewId="0">
      <selection activeCell="M4" sqref="M4"/>
    </sheetView>
  </sheetViews>
  <sheetFormatPr defaultRowHeight="14.4" x14ac:dyDescent="0.3"/>
  <cols>
    <col min="1" max="1" width="12.77734375" customWidth="1"/>
    <col min="2" max="2" width="21.6640625" customWidth="1"/>
    <col min="3" max="3" width="15.5546875" customWidth="1"/>
    <col min="4" max="4" width="20.77734375" customWidth="1"/>
    <col min="5" max="5" width="10" style="2" bestFit="1" customWidth="1"/>
    <col min="6" max="6" width="8.88671875" style="2"/>
    <col min="7" max="7" width="11" style="2" bestFit="1" customWidth="1"/>
    <col min="8" max="8" width="10.6640625" style="2" bestFit="1" customWidth="1"/>
    <col min="9" max="10" width="12" style="1" bestFit="1" customWidth="1"/>
    <col min="11" max="12" width="8.88671875" style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830</v>
      </c>
      <c r="L1" s="1" t="s">
        <v>831</v>
      </c>
      <c r="Q1" t="s">
        <v>824</v>
      </c>
      <c r="R1" t="s">
        <v>824</v>
      </c>
      <c r="S1" t="s">
        <v>836</v>
      </c>
      <c r="T1" t="s">
        <v>836</v>
      </c>
    </row>
    <row r="2" spans="1:20" x14ac:dyDescent="0.3">
      <c r="A2" t="s">
        <v>10</v>
      </c>
      <c r="B2" t="s">
        <v>11</v>
      </c>
      <c r="C2" t="s">
        <v>574</v>
      </c>
      <c r="D2" t="s">
        <v>575</v>
      </c>
      <c r="E2" s="2">
        <v>0</v>
      </c>
      <c r="F2" s="2">
        <v>0</v>
      </c>
      <c r="G2" s="2">
        <v>0</v>
      </c>
      <c r="H2" s="2">
        <v>0</v>
      </c>
      <c r="I2" s="1">
        <v>0</v>
      </c>
      <c r="J2" s="1">
        <v>0</v>
      </c>
      <c r="K2" s="1">
        <v>0</v>
      </c>
      <c r="L2" s="1">
        <v>0</v>
      </c>
      <c r="M2" s="2"/>
      <c r="N2" s="2"/>
      <c r="Q2" s="1">
        <f>I2*E2</f>
        <v>0</v>
      </c>
      <c r="R2">
        <f t="shared" ref="R2:R65" si="0">J2*E2</f>
        <v>0</v>
      </c>
      <c r="S2" s="1">
        <f>K2*E2</f>
        <v>0</v>
      </c>
      <c r="T2" s="1">
        <f>L2*E2</f>
        <v>0</v>
      </c>
    </row>
    <row r="3" spans="1:20" x14ac:dyDescent="0.3">
      <c r="A3" t="s">
        <v>10</v>
      </c>
      <c r="B3" t="s">
        <v>12</v>
      </c>
      <c r="C3" t="s">
        <v>576</v>
      </c>
      <c r="D3" t="s">
        <v>577</v>
      </c>
      <c r="E3" s="2">
        <v>143.99</v>
      </c>
      <c r="F3" s="2">
        <v>0</v>
      </c>
      <c r="G3" s="2">
        <v>73.120999999999995</v>
      </c>
      <c r="H3" s="2">
        <v>-111.96199999999899</v>
      </c>
      <c r="I3" s="1">
        <v>0.75390999374956502</v>
      </c>
      <c r="J3" s="1">
        <v>0.88878394332939703</v>
      </c>
      <c r="K3" s="1">
        <v>0.45845724155826101</v>
      </c>
      <c r="L3" s="1">
        <v>0.68423669552070199</v>
      </c>
      <c r="M3" t="s">
        <v>802</v>
      </c>
      <c r="N3" s="2" t="s">
        <v>803</v>
      </c>
      <c r="Q3" s="1">
        <f t="shared" ref="Q3:Q66" si="1">I3*E3</f>
        <v>108.55549999999988</v>
      </c>
      <c r="R3">
        <f t="shared" si="0"/>
        <v>127.97599999999989</v>
      </c>
      <c r="S3" s="1">
        <f t="shared" ref="S3:S66" si="2">K3*E3</f>
        <v>66.013258211974005</v>
      </c>
      <c r="T3" s="1">
        <f t="shared" ref="T3:T66" si="3">L3*E3</f>
        <v>98.523241788025885</v>
      </c>
    </row>
    <row r="4" spans="1:20" x14ac:dyDescent="0.3">
      <c r="A4" t="s">
        <v>10</v>
      </c>
      <c r="B4" t="s">
        <v>13</v>
      </c>
      <c r="C4" t="s">
        <v>576</v>
      </c>
      <c r="D4" t="s">
        <v>14</v>
      </c>
      <c r="E4" s="2">
        <v>16.018000000000001</v>
      </c>
      <c r="F4" s="2">
        <v>0</v>
      </c>
      <c r="G4" s="2">
        <v>8.3089999999999993</v>
      </c>
      <c r="H4" s="2">
        <v>-8.9269999999999996</v>
      </c>
      <c r="I4" s="1">
        <v>0.75936446497690002</v>
      </c>
      <c r="J4" s="1">
        <v>0.77865526282931696</v>
      </c>
      <c r="K4" s="1">
        <v>0.59544043745689001</v>
      </c>
      <c r="L4" s="1">
        <v>0.44257929034932703</v>
      </c>
      <c r="M4" s="1">
        <f>(E4-F4+G4*1)/(2*E4)</f>
        <v>0.75936446497690091</v>
      </c>
      <c r="N4" s="1">
        <f>(E4-F4-H4*1)/(2*E4)</f>
        <v>0.77865526282931696</v>
      </c>
      <c r="Q4" s="1">
        <f t="shared" si="1"/>
        <v>12.163499999999985</v>
      </c>
      <c r="R4">
        <f t="shared" si="0"/>
        <v>12.4725</v>
      </c>
      <c r="S4" s="1">
        <f t="shared" si="2"/>
        <v>9.5377649271844653</v>
      </c>
      <c r="T4" s="1">
        <f t="shared" si="3"/>
        <v>7.0892350728155202</v>
      </c>
    </row>
    <row r="5" spans="1:20" x14ac:dyDescent="0.3">
      <c r="A5" t="s">
        <v>10</v>
      </c>
      <c r="B5" t="s">
        <v>15</v>
      </c>
      <c r="C5" t="s">
        <v>574</v>
      </c>
      <c r="D5" t="s">
        <v>575</v>
      </c>
      <c r="E5" s="2">
        <v>244.435</v>
      </c>
      <c r="F5" s="2">
        <v>3.8879999999999999</v>
      </c>
      <c r="G5" s="2">
        <v>174.09299999999999</v>
      </c>
      <c r="H5" s="2">
        <v>-157.52699999999999</v>
      </c>
      <c r="I5" s="1">
        <v>0.84816004254709798</v>
      </c>
      <c r="J5" s="1">
        <v>0.81427373330333197</v>
      </c>
      <c r="K5" s="1">
        <v>0.70318036565137298</v>
      </c>
      <c r="L5" s="1">
        <v>0.46720644474811901</v>
      </c>
      <c r="M5" s="2"/>
      <c r="N5" s="2"/>
      <c r="Q5" s="1">
        <f t="shared" si="1"/>
        <v>207.31999999999991</v>
      </c>
      <c r="R5">
        <f t="shared" si="0"/>
        <v>199.03699999999995</v>
      </c>
      <c r="S5" s="1">
        <f t="shared" si="2"/>
        <v>171.88189267799336</v>
      </c>
      <c r="T5" s="1">
        <f t="shared" si="3"/>
        <v>114.20160732200647</v>
      </c>
    </row>
    <row r="6" spans="1:20" x14ac:dyDescent="0.3">
      <c r="A6" t="s">
        <v>10</v>
      </c>
      <c r="B6" t="s">
        <v>16</v>
      </c>
      <c r="C6" t="s">
        <v>574</v>
      </c>
      <c r="D6" t="s">
        <v>575</v>
      </c>
      <c r="E6" s="2">
        <v>10963.710999999999</v>
      </c>
      <c r="F6" s="2">
        <v>0</v>
      </c>
      <c r="G6" s="2">
        <v>3164.20299999999</v>
      </c>
      <c r="H6" s="2">
        <v>-3576.51099999999</v>
      </c>
      <c r="I6" s="1">
        <v>0.644303466225988</v>
      </c>
      <c r="J6" s="1">
        <v>0.66310677105589499</v>
      </c>
      <c r="K6" s="1">
        <v>0.47156945411706902</v>
      </c>
      <c r="L6" s="1">
        <v>0.33584078316481403</v>
      </c>
      <c r="M6" s="2"/>
      <c r="N6" s="2"/>
      <c r="Q6" s="1">
        <f t="shared" si="1"/>
        <v>7063.9569999999931</v>
      </c>
      <c r="R6">
        <f t="shared" si="0"/>
        <v>7270.1109999999971</v>
      </c>
      <c r="S6" s="1">
        <f t="shared" si="2"/>
        <v>5170.1512113673043</v>
      </c>
      <c r="T6" s="1">
        <f t="shared" si="3"/>
        <v>3682.0612886326862</v>
      </c>
    </row>
    <row r="7" spans="1:20" x14ac:dyDescent="0.3">
      <c r="A7" t="s">
        <v>10</v>
      </c>
      <c r="B7" t="s">
        <v>17</v>
      </c>
      <c r="C7" t="s">
        <v>576</v>
      </c>
      <c r="D7" t="s">
        <v>14</v>
      </c>
      <c r="E7" s="2">
        <v>11.031000000000001</v>
      </c>
      <c r="F7" s="2">
        <v>0</v>
      </c>
      <c r="G7" s="2">
        <v>8.4580000000000002</v>
      </c>
      <c r="H7" s="2">
        <v>-9.5950000000000006</v>
      </c>
      <c r="I7" s="1">
        <v>0.88337412745897903</v>
      </c>
      <c r="J7" s="1">
        <v>0.93491070619164096</v>
      </c>
      <c r="K7" s="1">
        <v>0.56263893986320901</v>
      </c>
      <c r="L7" s="1">
        <v>0.75564589378741098</v>
      </c>
      <c r="M7" s="2"/>
      <c r="N7" s="2"/>
      <c r="Q7" s="1">
        <f t="shared" si="1"/>
        <v>9.7444999999999986</v>
      </c>
      <c r="R7">
        <f t="shared" si="0"/>
        <v>10.312999999999992</v>
      </c>
      <c r="S7" s="1">
        <f t="shared" si="2"/>
        <v>6.2064701456310587</v>
      </c>
      <c r="T7" s="1">
        <f t="shared" si="3"/>
        <v>8.3355298543689305</v>
      </c>
    </row>
    <row r="8" spans="1:20" x14ac:dyDescent="0.3">
      <c r="A8" t="s">
        <v>10</v>
      </c>
      <c r="B8" t="s">
        <v>578</v>
      </c>
      <c r="C8" t="s">
        <v>574</v>
      </c>
      <c r="D8" t="s">
        <v>575</v>
      </c>
      <c r="E8" s="2">
        <v>214.44900000000001</v>
      </c>
      <c r="F8" s="2">
        <v>0</v>
      </c>
      <c r="G8" s="2">
        <v>114.962</v>
      </c>
      <c r="H8" s="2">
        <v>-151.15899999999999</v>
      </c>
      <c r="I8" s="1">
        <v>0.768040419866728</v>
      </c>
      <c r="J8" s="1">
        <v>0.85243577727105202</v>
      </c>
      <c r="K8" s="1">
        <v>0.52425351402188303</v>
      </c>
      <c r="L8" s="1">
        <v>0.59622268311589699</v>
      </c>
      <c r="M8" s="2"/>
      <c r="N8" s="2"/>
      <c r="Q8" s="1">
        <f t="shared" si="1"/>
        <v>164.70549999999997</v>
      </c>
      <c r="R8">
        <f t="shared" si="0"/>
        <v>182.80399999999983</v>
      </c>
      <c r="S8" s="1">
        <f t="shared" si="2"/>
        <v>112.4256418284788</v>
      </c>
      <c r="T8" s="1">
        <f t="shared" si="3"/>
        <v>127.859358171521</v>
      </c>
    </row>
    <row r="9" spans="1:20" x14ac:dyDescent="0.3">
      <c r="A9" t="s">
        <v>10</v>
      </c>
      <c r="B9" t="s">
        <v>579</v>
      </c>
      <c r="C9" t="s">
        <v>576</v>
      </c>
      <c r="D9" t="s">
        <v>14</v>
      </c>
      <c r="E9" s="2">
        <v>10.714</v>
      </c>
      <c r="F9" s="2">
        <v>0</v>
      </c>
      <c r="G9" s="2">
        <v>9.77</v>
      </c>
      <c r="H9" s="2">
        <v>-9.2560000000000002</v>
      </c>
      <c r="I9" s="1">
        <v>0.95594549187978295</v>
      </c>
      <c r="J9" s="1">
        <v>0.93195818555161403</v>
      </c>
      <c r="K9" s="1">
        <v>0.64033663875049596</v>
      </c>
      <c r="L9" s="1">
        <v>0.74756703868090202</v>
      </c>
      <c r="M9" s="2"/>
      <c r="N9" s="2"/>
      <c r="Q9" s="1">
        <f t="shared" si="1"/>
        <v>10.241999999999996</v>
      </c>
      <c r="R9">
        <f t="shared" si="0"/>
        <v>9.9849999999999923</v>
      </c>
      <c r="S9" s="1">
        <f t="shared" si="2"/>
        <v>6.8605667475728138</v>
      </c>
      <c r="T9" s="1">
        <f t="shared" si="3"/>
        <v>8.0094332524271845</v>
      </c>
    </row>
    <row r="10" spans="1:20" x14ac:dyDescent="0.3">
      <c r="A10" t="s">
        <v>10</v>
      </c>
      <c r="B10" t="s">
        <v>18</v>
      </c>
      <c r="C10" t="s">
        <v>574</v>
      </c>
      <c r="D10" t="s">
        <v>575</v>
      </c>
      <c r="E10" s="2">
        <v>74.23</v>
      </c>
      <c r="F10" s="2">
        <v>0</v>
      </c>
      <c r="G10" s="2">
        <v>54.790999999999997</v>
      </c>
      <c r="H10" s="2">
        <v>-54.655000000000001</v>
      </c>
      <c r="I10" s="1">
        <v>0.86906237370335404</v>
      </c>
      <c r="J10" s="1">
        <v>0.86814630203421705</v>
      </c>
      <c r="K10" s="1">
        <v>0.48930054710562398</v>
      </c>
      <c r="L10" s="1">
        <v>0.747908128631948</v>
      </c>
      <c r="M10" s="2"/>
      <c r="N10" s="2"/>
      <c r="Q10" s="1">
        <f t="shared" si="1"/>
        <v>64.510499999999979</v>
      </c>
      <c r="R10">
        <f t="shared" si="0"/>
        <v>64.442499999999939</v>
      </c>
      <c r="S10" s="1">
        <f t="shared" si="2"/>
        <v>36.320779611650472</v>
      </c>
      <c r="T10" s="1">
        <f t="shared" si="3"/>
        <v>55.5172203883495</v>
      </c>
    </row>
    <row r="11" spans="1:20" x14ac:dyDescent="0.3">
      <c r="A11" t="s">
        <v>10</v>
      </c>
      <c r="B11" t="s">
        <v>19</v>
      </c>
      <c r="C11" t="s">
        <v>580</v>
      </c>
      <c r="D11" t="s">
        <v>581</v>
      </c>
      <c r="E11" s="2">
        <v>414.096</v>
      </c>
      <c r="F11" s="2">
        <v>0</v>
      </c>
      <c r="G11" s="2">
        <v>322.98599999999999</v>
      </c>
      <c r="H11" s="2">
        <v>-316.31799999999998</v>
      </c>
      <c r="I11" s="1">
        <v>0.88998927784861404</v>
      </c>
      <c r="J11" s="1">
        <v>0.88193800471388195</v>
      </c>
      <c r="K11" s="1">
        <v>0.67091039908948402</v>
      </c>
      <c r="L11" s="1">
        <v>0.60101688347301196</v>
      </c>
      <c r="M11" s="2"/>
      <c r="N11" s="2"/>
      <c r="Q11" s="1">
        <f t="shared" si="1"/>
        <v>368.54099999999966</v>
      </c>
      <c r="R11">
        <f t="shared" si="0"/>
        <v>365.20699999999965</v>
      </c>
      <c r="S11" s="1">
        <f t="shared" si="2"/>
        <v>277.82131262135897</v>
      </c>
      <c r="T11" s="1">
        <f t="shared" si="3"/>
        <v>248.87868737864036</v>
      </c>
    </row>
    <row r="12" spans="1:20" x14ac:dyDescent="0.3">
      <c r="A12" t="s">
        <v>10</v>
      </c>
      <c r="B12" t="s">
        <v>20</v>
      </c>
      <c r="C12" t="s">
        <v>576</v>
      </c>
      <c r="D12" t="s">
        <v>577</v>
      </c>
      <c r="E12" s="2">
        <v>83.188000000000002</v>
      </c>
      <c r="F12" s="2">
        <v>0</v>
      </c>
      <c r="G12" s="2">
        <v>47.985999999999997</v>
      </c>
      <c r="H12" s="2">
        <v>-68.45</v>
      </c>
      <c r="I12" s="1">
        <v>0.78841900274077903</v>
      </c>
      <c r="J12" s="1">
        <v>0.91141751214117395</v>
      </c>
      <c r="K12" s="1">
        <v>0.37915260962691699</v>
      </c>
      <c r="L12" s="1">
        <v>0.82068390525503598</v>
      </c>
      <c r="M12" s="2"/>
      <c r="N12" s="2"/>
      <c r="Q12" s="1">
        <f t="shared" si="1"/>
        <v>65.586999999999932</v>
      </c>
      <c r="R12">
        <f t="shared" si="0"/>
        <v>75.818999999999974</v>
      </c>
      <c r="S12" s="1">
        <f t="shared" si="2"/>
        <v>31.54094728964397</v>
      </c>
      <c r="T12" s="1">
        <f t="shared" si="3"/>
        <v>68.271052710355931</v>
      </c>
    </row>
    <row r="13" spans="1:20" x14ac:dyDescent="0.3">
      <c r="A13" t="s">
        <v>10</v>
      </c>
      <c r="B13" t="s">
        <v>582</v>
      </c>
      <c r="C13" t="s">
        <v>574</v>
      </c>
      <c r="D13" t="s">
        <v>575</v>
      </c>
      <c r="E13" s="2">
        <v>43.667999999999999</v>
      </c>
      <c r="F13" s="2">
        <v>0.17399999999999999</v>
      </c>
      <c r="G13" s="2">
        <v>27.16</v>
      </c>
      <c r="H13" s="2">
        <v>-26.434999999999999</v>
      </c>
      <c r="I13" s="1">
        <v>0.80899056517358203</v>
      </c>
      <c r="J13" s="1">
        <v>0.80068929193001703</v>
      </c>
      <c r="K13" s="1">
        <v>0.45573410935647701</v>
      </c>
      <c r="L13" s="1">
        <v>0.65593805332557797</v>
      </c>
      <c r="M13" s="2"/>
      <c r="N13" s="2"/>
      <c r="Q13" s="1">
        <f t="shared" si="1"/>
        <v>35.326999999999977</v>
      </c>
      <c r="R13">
        <f t="shared" si="0"/>
        <v>34.96449999999998</v>
      </c>
      <c r="S13" s="1">
        <f t="shared" si="2"/>
        <v>19.900997087378638</v>
      </c>
      <c r="T13" s="1">
        <f t="shared" si="3"/>
        <v>28.64350291262134</v>
      </c>
    </row>
    <row r="14" spans="1:20" x14ac:dyDescent="0.3">
      <c r="A14" t="s">
        <v>10</v>
      </c>
      <c r="B14" t="s">
        <v>21</v>
      </c>
      <c r="C14" t="s">
        <v>576</v>
      </c>
      <c r="D14" t="s">
        <v>583</v>
      </c>
      <c r="E14" s="2">
        <v>40.799999999999997</v>
      </c>
      <c r="F14" s="2">
        <v>0</v>
      </c>
      <c r="G14" s="2">
        <v>31.578999999999901</v>
      </c>
      <c r="H14" s="2">
        <v>-33.416999999999902</v>
      </c>
      <c r="I14" s="1">
        <v>0.88699754901960703</v>
      </c>
      <c r="J14" s="1">
        <v>0.90952205882352899</v>
      </c>
      <c r="K14" s="1">
        <v>0.81532045932834796</v>
      </c>
      <c r="L14" s="1">
        <v>0.48119914851478801</v>
      </c>
      <c r="M14" s="2"/>
      <c r="N14" s="2"/>
      <c r="Q14" s="1">
        <f t="shared" si="1"/>
        <v>36.189499999999967</v>
      </c>
      <c r="R14">
        <f t="shared" si="0"/>
        <v>37.108499999999978</v>
      </c>
      <c r="S14" s="1">
        <f t="shared" si="2"/>
        <v>33.265074740596596</v>
      </c>
      <c r="T14" s="1">
        <f t="shared" si="3"/>
        <v>19.632925259403351</v>
      </c>
    </row>
    <row r="15" spans="1:20" x14ac:dyDescent="0.3">
      <c r="A15" t="s">
        <v>10</v>
      </c>
      <c r="B15" t="s">
        <v>22</v>
      </c>
      <c r="C15" t="s">
        <v>574</v>
      </c>
      <c r="D15" t="s">
        <v>575</v>
      </c>
      <c r="E15" s="2">
        <v>1100.02</v>
      </c>
      <c r="F15" s="2">
        <v>0</v>
      </c>
      <c r="G15" s="2">
        <v>699.51199999999994</v>
      </c>
      <c r="H15" s="2">
        <v>-545.59699999999998</v>
      </c>
      <c r="I15" s="1">
        <v>0.81795421901419896</v>
      </c>
      <c r="J15" s="1">
        <v>0.74799412737950199</v>
      </c>
      <c r="K15" s="1">
        <v>0.56741763852307703</v>
      </c>
      <c r="L15" s="1">
        <v>0.49853070787062398</v>
      </c>
      <c r="M15" s="2"/>
      <c r="N15" s="2"/>
      <c r="Q15" s="1">
        <f t="shared" si="1"/>
        <v>899.76599999999917</v>
      </c>
      <c r="R15">
        <f t="shared" si="0"/>
        <v>822.80849999999975</v>
      </c>
      <c r="S15" s="1">
        <f t="shared" si="2"/>
        <v>624.17075072815521</v>
      </c>
      <c r="T15" s="1">
        <f t="shared" si="3"/>
        <v>548.39374927184383</v>
      </c>
    </row>
    <row r="16" spans="1:20" x14ac:dyDescent="0.3">
      <c r="A16" t="s">
        <v>10</v>
      </c>
      <c r="B16" t="s">
        <v>23</v>
      </c>
      <c r="C16" t="s">
        <v>574</v>
      </c>
      <c r="D16" t="s">
        <v>575</v>
      </c>
      <c r="E16" s="2">
        <v>245.61799999999999</v>
      </c>
      <c r="F16" s="2">
        <v>0</v>
      </c>
      <c r="G16" s="2">
        <v>118.44799999999999</v>
      </c>
      <c r="H16" s="2">
        <v>-205.04</v>
      </c>
      <c r="I16" s="1">
        <v>0.74112239330993601</v>
      </c>
      <c r="J16" s="1">
        <v>0.91739611917693298</v>
      </c>
      <c r="K16" s="1">
        <v>0.482231161553759</v>
      </c>
      <c r="L16" s="1">
        <v>0.67628735093310999</v>
      </c>
      <c r="M16" s="2"/>
      <c r="N16" s="2"/>
      <c r="Q16" s="1">
        <f t="shared" si="1"/>
        <v>182.03299999999987</v>
      </c>
      <c r="R16">
        <f t="shared" si="0"/>
        <v>225.32899999999992</v>
      </c>
      <c r="S16" s="1">
        <f t="shared" si="2"/>
        <v>118.44465343851118</v>
      </c>
      <c r="T16" s="1">
        <f t="shared" si="3"/>
        <v>166.10834656148862</v>
      </c>
    </row>
    <row r="17" spans="1:20" x14ac:dyDescent="0.3">
      <c r="A17" t="s">
        <v>10</v>
      </c>
      <c r="B17" t="s">
        <v>24</v>
      </c>
      <c r="C17" t="s">
        <v>576</v>
      </c>
      <c r="D17" t="s">
        <v>583</v>
      </c>
      <c r="E17" s="2">
        <v>35.563000000000002</v>
      </c>
      <c r="F17" s="2">
        <v>0</v>
      </c>
      <c r="G17" s="2">
        <v>28.331</v>
      </c>
      <c r="H17" s="2">
        <v>-27.52</v>
      </c>
      <c r="I17" s="1">
        <v>0.89832128898011898</v>
      </c>
      <c r="J17" s="1">
        <v>0.88691898883671205</v>
      </c>
      <c r="K17" s="1">
        <v>0.78531724408589498</v>
      </c>
      <c r="L17" s="1">
        <v>0.499923033730936</v>
      </c>
      <c r="M17" s="2"/>
      <c r="N17" s="2"/>
      <c r="Q17" s="1">
        <f t="shared" si="1"/>
        <v>31.946999999999974</v>
      </c>
      <c r="R17">
        <f t="shared" si="0"/>
        <v>31.541499999999992</v>
      </c>
      <c r="S17" s="1">
        <f t="shared" si="2"/>
        <v>27.928237151426686</v>
      </c>
      <c r="T17" s="1">
        <f t="shared" si="3"/>
        <v>17.77876284857328</v>
      </c>
    </row>
    <row r="18" spans="1:20" x14ac:dyDescent="0.3">
      <c r="A18" t="s">
        <v>10</v>
      </c>
      <c r="B18" t="s">
        <v>25</v>
      </c>
      <c r="C18" t="s">
        <v>576</v>
      </c>
      <c r="D18" t="s">
        <v>583</v>
      </c>
      <c r="E18" s="2">
        <v>162.19</v>
      </c>
      <c r="F18" s="2">
        <v>0</v>
      </c>
      <c r="G18" s="2">
        <v>141.07900000000001</v>
      </c>
      <c r="H18" s="2">
        <v>-158.53200000000001</v>
      </c>
      <c r="I18" s="1">
        <v>0.93491892225168005</v>
      </c>
      <c r="J18" s="1">
        <v>0.98872310253406404</v>
      </c>
      <c r="K18" s="1">
        <v>0.92326489558073499</v>
      </c>
      <c r="L18" s="1">
        <v>0.50037712920500899</v>
      </c>
      <c r="M18" s="2"/>
      <c r="N18" s="2"/>
      <c r="Q18" s="1">
        <f t="shared" si="1"/>
        <v>151.63449999999997</v>
      </c>
      <c r="R18">
        <f t="shared" si="0"/>
        <v>160.36099999999985</v>
      </c>
      <c r="S18" s="1">
        <f t="shared" si="2"/>
        <v>149.74433341423941</v>
      </c>
      <c r="T18" s="1">
        <f t="shared" si="3"/>
        <v>81.156166585760403</v>
      </c>
    </row>
    <row r="19" spans="1:20" x14ac:dyDescent="0.3">
      <c r="A19" t="s">
        <v>10</v>
      </c>
      <c r="B19" t="s">
        <v>26</v>
      </c>
      <c r="C19" t="s">
        <v>576</v>
      </c>
      <c r="D19" t="s">
        <v>583</v>
      </c>
      <c r="E19" s="2">
        <v>162.16900000000001</v>
      </c>
      <c r="F19" s="2">
        <v>0</v>
      </c>
      <c r="G19" s="2">
        <v>136.72999999999999</v>
      </c>
      <c r="H19" s="2">
        <v>-155.30199999999999</v>
      </c>
      <c r="I19" s="1">
        <v>0.92156639061719503</v>
      </c>
      <c r="J19" s="1">
        <v>0.97882764276772904</v>
      </c>
      <c r="K19" s="1">
        <v>0.90994454828886095</v>
      </c>
      <c r="L19" s="1">
        <v>0.49044948509606401</v>
      </c>
      <c r="M19" s="2"/>
      <c r="N19" s="2"/>
      <c r="Q19" s="1">
        <f t="shared" si="1"/>
        <v>149.44949999999992</v>
      </c>
      <c r="R19">
        <f t="shared" si="0"/>
        <v>158.73549999999986</v>
      </c>
      <c r="S19" s="1">
        <f t="shared" si="2"/>
        <v>147.56479745145631</v>
      </c>
      <c r="T19" s="1">
        <f t="shared" si="3"/>
        <v>79.535702548543611</v>
      </c>
    </row>
    <row r="20" spans="1:20" x14ac:dyDescent="0.3">
      <c r="A20" t="s">
        <v>10</v>
      </c>
      <c r="B20" t="s">
        <v>27</v>
      </c>
      <c r="C20" t="s">
        <v>576</v>
      </c>
      <c r="D20" t="s">
        <v>577</v>
      </c>
      <c r="E20" s="2">
        <v>126.41200000000001</v>
      </c>
      <c r="F20" s="2">
        <v>0</v>
      </c>
      <c r="G20" s="2">
        <v>56.317999999999998</v>
      </c>
      <c r="H20" s="2">
        <v>-107.396</v>
      </c>
      <c r="I20" s="1">
        <v>0.72275575103629397</v>
      </c>
      <c r="J20" s="1">
        <v>0.92478562161819999</v>
      </c>
      <c r="K20" s="1">
        <v>0.334487927926018</v>
      </c>
      <c r="L20" s="1">
        <v>0.81305344472847596</v>
      </c>
      <c r="M20" s="2"/>
      <c r="N20" s="2"/>
      <c r="Q20" s="1">
        <f t="shared" si="1"/>
        <v>91.364999999999995</v>
      </c>
      <c r="R20">
        <f t="shared" si="0"/>
        <v>116.9039999999999</v>
      </c>
      <c r="S20" s="1">
        <f t="shared" si="2"/>
        <v>42.28328794498379</v>
      </c>
      <c r="T20" s="1">
        <f t="shared" si="3"/>
        <v>102.77971205501611</v>
      </c>
    </row>
    <row r="21" spans="1:20" x14ac:dyDescent="0.3">
      <c r="A21" t="s">
        <v>10</v>
      </c>
      <c r="B21" t="s">
        <v>28</v>
      </c>
      <c r="C21" t="s">
        <v>576</v>
      </c>
      <c r="D21" t="s">
        <v>577</v>
      </c>
      <c r="E21" s="2">
        <v>86.302999999999997</v>
      </c>
      <c r="F21" s="2">
        <v>0</v>
      </c>
      <c r="G21" s="2">
        <v>57.259</v>
      </c>
      <c r="H21" s="2">
        <v>-60.363</v>
      </c>
      <c r="I21" s="1">
        <v>0.831732384737494</v>
      </c>
      <c r="J21" s="1">
        <v>0.84971553711921899</v>
      </c>
      <c r="K21" s="1">
        <v>0.479815761259897</v>
      </c>
      <c r="L21" s="1">
        <v>0.70163216059681599</v>
      </c>
      <c r="M21" s="2"/>
      <c r="N21" s="2"/>
      <c r="Q21" s="1">
        <f t="shared" si="1"/>
        <v>71.780999999999949</v>
      </c>
      <c r="R21">
        <f t="shared" si="0"/>
        <v>73.332999999999956</v>
      </c>
      <c r="S21" s="1">
        <f t="shared" si="2"/>
        <v>41.409539644012888</v>
      </c>
      <c r="T21" s="1">
        <f t="shared" si="3"/>
        <v>60.552960355987011</v>
      </c>
    </row>
    <row r="22" spans="1:20" x14ac:dyDescent="0.3">
      <c r="A22" t="s">
        <v>10</v>
      </c>
      <c r="B22" t="s">
        <v>584</v>
      </c>
      <c r="C22" t="s">
        <v>576</v>
      </c>
      <c r="D22" t="s">
        <v>577</v>
      </c>
      <c r="E22" s="2">
        <v>263.41399999999999</v>
      </c>
      <c r="F22" s="2">
        <v>0</v>
      </c>
      <c r="G22" s="2">
        <v>175.435</v>
      </c>
      <c r="H22" s="2">
        <v>-202.59899999999999</v>
      </c>
      <c r="I22" s="1">
        <v>0.83300242204286701</v>
      </c>
      <c r="J22" s="1">
        <v>0.88456384246850905</v>
      </c>
      <c r="K22" s="1">
        <v>0.76227589450723199</v>
      </c>
      <c r="L22" s="1">
        <v>0.45529037000414502</v>
      </c>
      <c r="M22" s="2"/>
      <c r="N22" s="2"/>
      <c r="Q22" s="1">
        <f t="shared" si="1"/>
        <v>219.42449999999977</v>
      </c>
      <c r="R22">
        <f t="shared" si="0"/>
        <v>233.00649999999985</v>
      </c>
      <c r="S22" s="1">
        <f t="shared" si="2"/>
        <v>200.79414247572799</v>
      </c>
      <c r="T22" s="1">
        <f t="shared" si="3"/>
        <v>119.92985752427185</v>
      </c>
    </row>
    <row r="23" spans="1:20" x14ac:dyDescent="0.3">
      <c r="A23" t="s">
        <v>10</v>
      </c>
      <c r="B23" t="s">
        <v>29</v>
      </c>
      <c r="C23" t="s">
        <v>576</v>
      </c>
      <c r="D23" t="s">
        <v>577</v>
      </c>
      <c r="E23" s="2">
        <v>73.927000000000007</v>
      </c>
      <c r="F23" s="2">
        <v>0</v>
      </c>
      <c r="G23" s="2">
        <v>51.753</v>
      </c>
      <c r="H23" s="2">
        <v>-70.195999999999998</v>
      </c>
      <c r="I23" s="1">
        <v>0.85002773005803001</v>
      </c>
      <c r="J23" s="1">
        <v>0.97476564719250003</v>
      </c>
      <c r="K23" s="1">
        <v>0.42402804986533699</v>
      </c>
      <c r="L23" s="1">
        <v>0.90076532738519299</v>
      </c>
      <c r="M23" s="2"/>
      <c r="N23" s="2"/>
      <c r="Q23" s="1">
        <f t="shared" si="1"/>
        <v>62.839999999999989</v>
      </c>
      <c r="R23">
        <f t="shared" si="0"/>
        <v>72.061499999999953</v>
      </c>
      <c r="S23" s="1">
        <f t="shared" si="2"/>
        <v>31.347121642394772</v>
      </c>
      <c r="T23" s="1">
        <f t="shared" si="3"/>
        <v>66.590878357605163</v>
      </c>
    </row>
    <row r="24" spans="1:20" x14ac:dyDescent="0.3">
      <c r="A24" t="s">
        <v>10</v>
      </c>
      <c r="B24" t="s">
        <v>585</v>
      </c>
      <c r="C24" t="s">
        <v>576</v>
      </c>
      <c r="D24" t="s">
        <v>577</v>
      </c>
      <c r="E24" s="2">
        <v>523.80799999999999</v>
      </c>
      <c r="F24" s="2">
        <v>0</v>
      </c>
      <c r="G24" s="2">
        <v>328.97300000000001</v>
      </c>
      <c r="H24" s="2">
        <v>-475.03800000000001</v>
      </c>
      <c r="I24" s="1">
        <v>0.81402059533264004</v>
      </c>
      <c r="J24" s="1">
        <v>0.95344668275398603</v>
      </c>
      <c r="K24" s="1">
        <v>0.58771371052902899</v>
      </c>
      <c r="L24" s="1">
        <v>0.67975356755759797</v>
      </c>
      <c r="M24" s="2"/>
      <c r="N24" s="2"/>
      <c r="Q24" s="1">
        <f t="shared" si="1"/>
        <v>426.39049999999952</v>
      </c>
      <c r="R24">
        <f t="shared" si="0"/>
        <v>499.42299999999989</v>
      </c>
      <c r="S24" s="1">
        <f t="shared" si="2"/>
        <v>307.84914328478959</v>
      </c>
      <c r="T24" s="1">
        <f t="shared" si="3"/>
        <v>356.06035671521028</v>
      </c>
    </row>
    <row r="25" spans="1:20" x14ac:dyDescent="0.3">
      <c r="A25" t="s">
        <v>10</v>
      </c>
      <c r="B25" t="s">
        <v>586</v>
      </c>
      <c r="C25" t="s">
        <v>576</v>
      </c>
      <c r="D25" t="s">
        <v>577</v>
      </c>
      <c r="E25" s="2">
        <v>345.80599999999998</v>
      </c>
      <c r="F25" s="2">
        <v>0</v>
      </c>
      <c r="G25" s="2">
        <v>221.839</v>
      </c>
      <c r="H25" s="2">
        <v>-224.09399999999999</v>
      </c>
      <c r="I25" s="1">
        <v>0.82075643568937495</v>
      </c>
      <c r="J25" s="1">
        <v>0.82401693435047396</v>
      </c>
      <c r="K25" s="1">
        <v>0.644575401065269</v>
      </c>
      <c r="L25" s="1">
        <v>0.50019796897457902</v>
      </c>
      <c r="M25" s="2"/>
      <c r="N25" s="2"/>
      <c r="Q25" s="1">
        <f t="shared" si="1"/>
        <v>283.82249999999999</v>
      </c>
      <c r="R25">
        <f t="shared" si="0"/>
        <v>284.95</v>
      </c>
      <c r="S25" s="1">
        <f t="shared" si="2"/>
        <v>222.8980411407764</v>
      </c>
      <c r="T25" s="1">
        <f t="shared" si="3"/>
        <v>172.97145885922328</v>
      </c>
    </row>
    <row r="26" spans="1:20" x14ac:dyDescent="0.3">
      <c r="A26" t="s">
        <v>10</v>
      </c>
      <c r="B26" t="s">
        <v>587</v>
      </c>
      <c r="C26" t="s">
        <v>576</v>
      </c>
      <c r="D26" t="s">
        <v>577</v>
      </c>
      <c r="E26" s="2">
        <v>347.702</v>
      </c>
      <c r="F26" s="2">
        <v>0</v>
      </c>
      <c r="G26" s="2">
        <v>184.86799999999999</v>
      </c>
      <c r="H26" s="2">
        <v>-214.83600000000001</v>
      </c>
      <c r="I26" s="1">
        <v>0.76584258934374805</v>
      </c>
      <c r="J26" s="1">
        <v>0.80893696326164299</v>
      </c>
      <c r="K26" s="1">
        <v>0.588569111482382</v>
      </c>
      <c r="L26" s="1">
        <v>0.48621044112300899</v>
      </c>
      <c r="M26" s="2"/>
      <c r="N26" s="2"/>
      <c r="Q26" s="1">
        <f t="shared" si="1"/>
        <v>266.28499999999985</v>
      </c>
      <c r="R26">
        <f t="shared" si="0"/>
        <v>281.26899999999978</v>
      </c>
      <c r="S26" s="1">
        <f t="shared" si="2"/>
        <v>204.64665720064718</v>
      </c>
      <c r="T26" s="1">
        <f t="shared" si="3"/>
        <v>169.05634279935248</v>
      </c>
    </row>
    <row r="27" spans="1:20" x14ac:dyDescent="0.3">
      <c r="A27" t="s">
        <v>10</v>
      </c>
      <c r="B27" t="s">
        <v>588</v>
      </c>
      <c r="C27" t="s">
        <v>576</v>
      </c>
      <c r="D27" t="s">
        <v>577</v>
      </c>
      <c r="E27" s="2">
        <v>570.59299999999996</v>
      </c>
      <c r="F27" s="2">
        <v>0</v>
      </c>
      <c r="G27" s="2">
        <v>272.44400000000002</v>
      </c>
      <c r="H27" s="2">
        <v>-403.654</v>
      </c>
      <c r="I27" s="1">
        <v>0.73873759404689499</v>
      </c>
      <c r="J27" s="1">
        <v>0.85371446898226899</v>
      </c>
      <c r="K27" s="1">
        <v>0.38191911535263801</v>
      </c>
      <c r="L27" s="1">
        <v>0.71053294767652597</v>
      </c>
      <c r="M27" s="2"/>
      <c r="N27" s="2"/>
      <c r="Q27" s="1">
        <f t="shared" si="1"/>
        <v>421.5184999999999</v>
      </c>
      <c r="R27">
        <f t="shared" si="0"/>
        <v>487.12349999999975</v>
      </c>
      <c r="S27" s="1">
        <f t="shared" si="2"/>
        <v>217.92037378640777</v>
      </c>
      <c r="T27" s="1">
        <f t="shared" si="3"/>
        <v>405.42512621359197</v>
      </c>
    </row>
    <row r="28" spans="1:20" x14ac:dyDescent="0.3">
      <c r="A28" t="s">
        <v>10</v>
      </c>
      <c r="B28" t="s">
        <v>30</v>
      </c>
      <c r="C28" t="s">
        <v>576</v>
      </c>
      <c r="D28" t="s">
        <v>583</v>
      </c>
      <c r="E28" s="2">
        <v>66.665000000000006</v>
      </c>
      <c r="F28" s="2">
        <v>0</v>
      </c>
      <c r="G28" s="2">
        <v>43.321999999999903</v>
      </c>
      <c r="H28" s="2">
        <v>-27.462</v>
      </c>
      <c r="I28" s="1">
        <v>0.82492312307807603</v>
      </c>
      <c r="J28" s="1">
        <v>0.70597014925373103</v>
      </c>
      <c r="K28" s="1">
        <v>0.69579148221409803</v>
      </c>
      <c r="L28" s="1">
        <v>0.33510179011771002</v>
      </c>
      <c r="M28" s="2"/>
      <c r="N28" s="2"/>
      <c r="Q28" s="1">
        <f t="shared" si="1"/>
        <v>54.993499999999941</v>
      </c>
      <c r="R28">
        <f t="shared" si="0"/>
        <v>47.063499999999983</v>
      </c>
      <c r="S28" s="1">
        <f t="shared" si="2"/>
        <v>46.384939161802848</v>
      </c>
      <c r="T28" s="1">
        <f t="shared" si="3"/>
        <v>22.339560838197141</v>
      </c>
    </row>
    <row r="29" spans="1:20" x14ac:dyDescent="0.3">
      <c r="A29" t="s">
        <v>10</v>
      </c>
      <c r="B29" t="s">
        <v>31</v>
      </c>
      <c r="C29" t="s">
        <v>576</v>
      </c>
      <c r="D29" t="s">
        <v>583</v>
      </c>
      <c r="E29" s="2">
        <v>28.361999999999998</v>
      </c>
      <c r="F29" s="2">
        <v>0</v>
      </c>
      <c r="G29" s="2">
        <v>26.225999999999999</v>
      </c>
      <c r="H29" s="2">
        <v>-24.068000000000001</v>
      </c>
      <c r="I29" s="1">
        <v>0.96234398138354105</v>
      </c>
      <c r="J29" s="1">
        <v>0.92430011987871097</v>
      </c>
      <c r="K29" s="1">
        <v>0.94556458458692805</v>
      </c>
      <c r="L29" s="1">
        <v>0.44107951667532302</v>
      </c>
      <c r="M29" s="2"/>
      <c r="N29" s="2"/>
      <c r="Q29" s="1">
        <f t="shared" si="1"/>
        <v>27.29399999999999</v>
      </c>
      <c r="R29">
        <f t="shared" si="0"/>
        <v>26.215</v>
      </c>
      <c r="S29" s="1">
        <f t="shared" si="2"/>
        <v>26.81810274805445</v>
      </c>
      <c r="T29" s="1">
        <f t="shared" si="3"/>
        <v>12.50989725194551</v>
      </c>
    </row>
    <row r="30" spans="1:20" x14ac:dyDescent="0.3">
      <c r="A30" t="s">
        <v>10</v>
      </c>
      <c r="B30" t="s">
        <v>32</v>
      </c>
      <c r="C30" t="s">
        <v>576</v>
      </c>
      <c r="D30" t="s">
        <v>589</v>
      </c>
      <c r="E30" s="2">
        <v>38.585000000000001</v>
      </c>
      <c r="F30" s="2">
        <v>0</v>
      </c>
      <c r="G30" s="2">
        <v>31.0809999999999</v>
      </c>
      <c r="H30" s="2">
        <v>-31.338999999999999</v>
      </c>
      <c r="I30" s="1">
        <v>0.90276013995075799</v>
      </c>
      <c r="J30" s="1">
        <v>0.90610340806012701</v>
      </c>
      <c r="K30" s="1">
        <v>0.78681093060208696</v>
      </c>
      <c r="L30" s="1">
        <v>0.52205261740879705</v>
      </c>
      <c r="M30" s="2"/>
      <c r="N30" s="2"/>
      <c r="Q30" s="1">
        <f t="shared" si="1"/>
        <v>34.832999999999998</v>
      </c>
      <c r="R30">
        <f t="shared" si="0"/>
        <v>34.962000000000003</v>
      </c>
      <c r="S30" s="1">
        <f t="shared" si="2"/>
        <v>30.359099757281527</v>
      </c>
      <c r="T30" s="1">
        <f t="shared" si="3"/>
        <v>20.143400242718435</v>
      </c>
    </row>
    <row r="31" spans="1:20" x14ac:dyDescent="0.3">
      <c r="A31" t="s">
        <v>10</v>
      </c>
      <c r="B31" t="s">
        <v>590</v>
      </c>
      <c r="C31" t="s">
        <v>576</v>
      </c>
      <c r="D31" t="s">
        <v>583</v>
      </c>
      <c r="E31" s="2">
        <v>1274.587</v>
      </c>
      <c r="F31" s="2">
        <v>0</v>
      </c>
      <c r="G31" s="2">
        <v>1274.587</v>
      </c>
      <c r="H31" s="2">
        <v>-1274.587</v>
      </c>
      <c r="I31" s="1">
        <v>1</v>
      </c>
      <c r="J31" s="1">
        <v>1</v>
      </c>
      <c r="K31" s="1">
        <v>0.99995946822308601</v>
      </c>
      <c r="L31" s="1">
        <v>0.50004053177691299</v>
      </c>
      <c r="M31" s="2"/>
      <c r="N31" s="2"/>
      <c r="Q31" s="1">
        <f t="shared" si="1"/>
        <v>1274.587</v>
      </c>
      <c r="R31">
        <f t="shared" si="0"/>
        <v>1274.587</v>
      </c>
      <c r="S31" s="1">
        <f t="shared" si="2"/>
        <v>1274.5353387240584</v>
      </c>
      <c r="T31" s="1">
        <f t="shared" si="3"/>
        <v>637.3451612759402</v>
      </c>
    </row>
    <row r="32" spans="1:20" x14ac:dyDescent="0.3">
      <c r="A32" t="s">
        <v>10</v>
      </c>
      <c r="B32" t="s">
        <v>33</v>
      </c>
      <c r="C32" t="s">
        <v>34</v>
      </c>
      <c r="D32" t="s">
        <v>35</v>
      </c>
      <c r="E32" s="2">
        <v>130.05000000000001</v>
      </c>
      <c r="F32" s="2">
        <v>0</v>
      </c>
      <c r="G32" s="2">
        <v>39.488</v>
      </c>
      <c r="H32" s="2">
        <v>-38.704000000000001</v>
      </c>
      <c r="I32" s="1">
        <v>0.65181853133410195</v>
      </c>
      <c r="J32" s="1">
        <v>0.64880430603613903</v>
      </c>
      <c r="K32" s="1">
        <v>0.56527205058049601</v>
      </c>
      <c r="L32" s="1">
        <v>0.235350786789746</v>
      </c>
      <c r="M32" s="2"/>
      <c r="N32" s="2"/>
      <c r="Q32" s="1">
        <f t="shared" si="1"/>
        <v>84.768999999999963</v>
      </c>
      <c r="R32">
        <f t="shared" si="0"/>
        <v>84.376999999999882</v>
      </c>
      <c r="S32" s="1">
        <f t="shared" si="2"/>
        <v>73.51363017799352</v>
      </c>
      <c r="T32" s="1">
        <f t="shared" si="3"/>
        <v>30.607369822006468</v>
      </c>
    </row>
    <row r="33" spans="1:20" x14ac:dyDescent="0.3">
      <c r="A33" t="s">
        <v>10</v>
      </c>
      <c r="B33" t="s">
        <v>36</v>
      </c>
      <c r="C33" t="s">
        <v>34</v>
      </c>
      <c r="D33" t="s">
        <v>35</v>
      </c>
      <c r="E33" s="2">
        <v>588.69500000000005</v>
      </c>
      <c r="F33" s="2">
        <v>0</v>
      </c>
      <c r="G33" s="2">
        <v>221.96700000000001</v>
      </c>
      <c r="H33" s="2">
        <v>-303.64</v>
      </c>
      <c r="I33" s="1">
        <v>0.68852461801102405</v>
      </c>
      <c r="J33" s="1">
        <v>0.757892457044819</v>
      </c>
      <c r="K33" s="1">
        <v>0.583779528280849</v>
      </c>
      <c r="L33" s="1">
        <v>0.36263754677499399</v>
      </c>
      <c r="M33" s="2"/>
      <c r="N33" s="2"/>
      <c r="Q33" s="1">
        <f t="shared" si="1"/>
        <v>405.33099999999985</v>
      </c>
      <c r="R33">
        <f t="shared" si="0"/>
        <v>446.16749999999973</v>
      </c>
      <c r="S33" s="1">
        <f t="shared" si="2"/>
        <v>343.66808940129442</v>
      </c>
      <c r="T33" s="1">
        <f t="shared" si="3"/>
        <v>213.4829105987051</v>
      </c>
    </row>
    <row r="34" spans="1:20" x14ac:dyDescent="0.3">
      <c r="A34" t="s">
        <v>10</v>
      </c>
      <c r="B34" t="s">
        <v>37</v>
      </c>
      <c r="C34" t="s">
        <v>576</v>
      </c>
      <c r="D34" t="s">
        <v>591</v>
      </c>
      <c r="E34" s="2">
        <v>672.82500000000005</v>
      </c>
      <c r="F34" s="2">
        <v>0</v>
      </c>
      <c r="G34" s="2">
        <v>671.82500000000005</v>
      </c>
      <c r="H34" s="2">
        <v>-671.82500000000005</v>
      </c>
      <c r="I34" s="1">
        <v>0.99925686471221997</v>
      </c>
      <c r="J34" s="1">
        <v>0.99925686471221997</v>
      </c>
      <c r="K34" s="1">
        <v>0.99857799619702303</v>
      </c>
      <c r="L34" s="1">
        <v>0.49993573322741802</v>
      </c>
      <c r="M34" s="2"/>
      <c r="N34" s="2"/>
      <c r="Q34" s="1">
        <f t="shared" si="1"/>
        <v>672.32499999999948</v>
      </c>
      <c r="R34">
        <f t="shared" si="0"/>
        <v>672.32499999999948</v>
      </c>
      <c r="S34" s="1">
        <f t="shared" si="2"/>
        <v>671.86824029126205</v>
      </c>
      <c r="T34" s="1">
        <f t="shared" si="3"/>
        <v>336.36925970873756</v>
      </c>
    </row>
    <row r="35" spans="1:20" x14ac:dyDescent="0.3">
      <c r="A35" t="s">
        <v>10</v>
      </c>
      <c r="B35" t="s">
        <v>38</v>
      </c>
      <c r="C35" t="s">
        <v>34</v>
      </c>
      <c r="D35" t="s">
        <v>35</v>
      </c>
      <c r="E35" s="2">
        <v>367.77100000000002</v>
      </c>
      <c r="F35" s="2">
        <v>0</v>
      </c>
      <c r="G35" s="2">
        <v>123.667</v>
      </c>
      <c r="H35" s="2">
        <v>-172.107</v>
      </c>
      <c r="I35" s="1">
        <v>0.66813043986611198</v>
      </c>
      <c r="J35" s="1">
        <v>0.733986638424454</v>
      </c>
      <c r="K35" s="1">
        <v>0.56971071555722796</v>
      </c>
      <c r="L35" s="1">
        <v>0.33240636273333801</v>
      </c>
      <c r="M35" s="2"/>
      <c r="N35" s="2"/>
      <c r="Q35" s="1">
        <f t="shared" si="1"/>
        <v>245.71899999999988</v>
      </c>
      <c r="R35">
        <f t="shared" si="0"/>
        <v>269.93899999999991</v>
      </c>
      <c r="S35" s="1">
        <f t="shared" si="2"/>
        <v>209.52307957119729</v>
      </c>
      <c r="T35" s="1">
        <f t="shared" si="3"/>
        <v>122.24942042880247</v>
      </c>
    </row>
    <row r="36" spans="1:20" x14ac:dyDescent="0.3">
      <c r="A36" t="s">
        <v>10</v>
      </c>
      <c r="B36" t="s">
        <v>39</v>
      </c>
      <c r="C36" t="s">
        <v>34</v>
      </c>
      <c r="D36" t="s">
        <v>35</v>
      </c>
      <c r="E36" s="2">
        <v>172.196</v>
      </c>
      <c r="F36" s="2">
        <v>0</v>
      </c>
      <c r="G36" s="2">
        <v>57.239999999999903</v>
      </c>
      <c r="H36" s="2">
        <v>-55.200999999999901</v>
      </c>
      <c r="I36" s="1">
        <v>0.66620595135775496</v>
      </c>
      <c r="J36" s="1">
        <v>0.66028537248251995</v>
      </c>
      <c r="K36" s="1">
        <v>0.591946720973338</v>
      </c>
      <c r="L36" s="1">
        <v>0.23454460286693599</v>
      </c>
      <c r="M36" s="2"/>
      <c r="N36" s="2"/>
      <c r="Q36" s="1">
        <f t="shared" si="1"/>
        <v>114.71799999999998</v>
      </c>
      <c r="R36">
        <f t="shared" si="0"/>
        <v>113.69850000000001</v>
      </c>
      <c r="S36" s="1">
        <f t="shared" si="2"/>
        <v>101.9308575647249</v>
      </c>
      <c r="T36" s="1">
        <f t="shared" si="3"/>
        <v>40.387642435274905</v>
      </c>
    </row>
    <row r="37" spans="1:20" x14ac:dyDescent="0.3">
      <c r="A37" t="s">
        <v>10</v>
      </c>
      <c r="B37" t="s">
        <v>40</v>
      </c>
      <c r="C37" t="s">
        <v>34</v>
      </c>
      <c r="D37" t="s">
        <v>35</v>
      </c>
      <c r="E37" s="2">
        <v>78.796000000000006</v>
      </c>
      <c r="F37" s="2">
        <v>0</v>
      </c>
      <c r="G37" s="2">
        <v>37.337000000000003</v>
      </c>
      <c r="H37" s="2">
        <v>-30.309000000000001</v>
      </c>
      <c r="I37" s="1">
        <v>0.73692192497080999</v>
      </c>
      <c r="J37" s="1">
        <v>0.69232575257627205</v>
      </c>
      <c r="K37" s="1">
        <v>0.65149746401793496</v>
      </c>
      <c r="L37" s="1">
        <v>0.27775021352914703</v>
      </c>
      <c r="M37" s="2"/>
      <c r="N37" s="2"/>
      <c r="Q37" s="1">
        <f t="shared" si="1"/>
        <v>58.066499999999948</v>
      </c>
      <c r="R37">
        <f t="shared" si="0"/>
        <v>54.552499999999938</v>
      </c>
      <c r="S37" s="1">
        <f t="shared" si="2"/>
        <v>51.335394174757205</v>
      </c>
      <c r="T37" s="1">
        <f t="shared" si="3"/>
        <v>21.885605825242671</v>
      </c>
    </row>
    <row r="38" spans="1:20" x14ac:dyDescent="0.3">
      <c r="A38" t="s">
        <v>10</v>
      </c>
      <c r="B38" t="s">
        <v>41</v>
      </c>
      <c r="C38" t="s">
        <v>34</v>
      </c>
      <c r="D38" t="s">
        <v>35</v>
      </c>
      <c r="E38" s="2">
        <v>928.20100000000002</v>
      </c>
      <c r="F38" s="2">
        <v>0</v>
      </c>
      <c r="G38" s="2">
        <v>922.31899999999996</v>
      </c>
      <c r="H38" s="2">
        <v>-921.20100000000002</v>
      </c>
      <c r="I38" s="1">
        <v>0.99683150524509201</v>
      </c>
      <c r="J38" s="1">
        <v>0.99622926499755904</v>
      </c>
      <c r="K38" s="1">
        <v>0.995176926686685</v>
      </c>
      <c r="L38" s="1">
        <v>0.49788384355596599</v>
      </c>
      <c r="M38" s="2"/>
      <c r="N38" s="2"/>
      <c r="Q38" s="1">
        <f t="shared" si="1"/>
        <v>925.25999999999965</v>
      </c>
      <c r="R38">
        <f t="shared" si="0"/>
        <v>924.70099999999934</v>
      </c>
      <c r="S38" s="1">
        <f t="shared" si="2"/>
        <v>923.72421852750767</v>
      </c>
      <c r="T38" s="1">
        <f t="shared" si="3"/>
        <v>462.13628147249119</v>
      </c>
    </row>
    <row r="39" spans="1:20" x14ac:dyDescent="0.3">
      <c r="A39" t="s">
        <v>10</v>
      </c>
      <c r="B39" t="s">
        <v>42</v>
      </c>
      <c r="C39" t="s">
        <v>576</v>
      </c>
      <c r="D39" t="s">
        <v>591</v>
      </c>
      <c r="E39" s="2">
        <v>50.05</v>
      </c>
      <c r="F39" s="2">
        <v>0</v>
      </c>
      <c r="G39" s="2">
        <v>50.05</v>
      </c>
      <c r="H39" s="2">
        <v>-50.05</v>
      </c>
      <c r="I39" s="1">
        <v>1</v>
      </c>
      <c r="J39" s="1">
        <v>1</v>
      </c>
      <c r="K39" s="1">
        <v>0.99726726428910895</v>
      </c>
      <c r="L39" s="1">
        <v>0.50273273571089006</v>
      </c>
      <c r="M39" s="2"/>
      <c r="N39" s="2"/>
      <c r="Q39" s="1">
        <f t="shared" si="1"/>
        <v>50.05</v>
      </c>
      <c r="R39">
        <f t="shared" si="0"/>
        <v>50.05</v>
      </c>
      <c r="S39" s="1">
        <f t="shared" si="2"/>
        <v>49.913226577669903</v>
      </c>
      <c r="T39" s="1">
        <f t="shared" si="3"/>
        <v>25.161773422330047</v>
      </c>
    </row>
    <row r="40" spans="1:20" x14ac:dyDescent="0.3">
      <c r="A40" t="s">
        <v>10</v>
      </c>
      <c r="B40" t="s">
        <v>43</v>
      </c>
      <c r="C40" t="s">
        <v>34</v>
      </c>
      <c r="D40" t="s">
        <v>35</v>
      </c>
      <c r="E40" s="2">
        <v>897.11800000000005</v>
      </c>
      <c r="F40" s="2">
        <v>0</v>
      </c>
      <c r="G40" s="2">
        <v>272.89999999999998</v>
      </c>
      <c r="H40" s="2">
        <v>-441.79</v>
      </c>
      <c r="I40" s="1">
        <v>0.65209816322936298</v>
      </c>
      <c r="J40" s="1">
        <v>0.746227363624406</v>
      </c>
      <c r="K40" s="1">
        <v>0.55217070187885497</v>
      </c>
      <c r="L40" s="1">
        <v>0.34615482497491301</v>
      </c>
      <c r="M40" s="2"/>
      <c r="N40" s="2"/>
      <c r="Q40" s="1">
        <f t="shared" si="1"/>
        <v>585.00899999999967</v>
      </c>
      <c r="R40">
        <f t="shared" si="0"/>
        <v>669.45399999999995</v>
      </c>
      <c r="S40" s="1">
        <f t="shared" si="2"/>
        <v>495.36227572815466</v>
      </c>
      <c r="T40" s="1">
        <f t="shared" si="3"/>
        <v>310.54172427184403</v>
      </c>
    </row>
    <row r="41" spans="1:20" x14ac:dyDescent="0.3">
      <c r="A41" t="s">
        <v>10</v>
      </c>
      <c r="B41" t="s">
        <v>44</v>
      </c>
      <c r="C41" t="s">
        <v>34</v>
      </c>
      <c r="D41" t="s">
        <v>35</v>
      </c>
      <c r="E41" s="2">
        <v>119.09699999999999</v>
      </c>
      <c r="F41" s="2">
        <v>0</v>
      </c>
      <c r="G41" s="2">
        <v>30.229999999999901</v>
      </c>
      <c r="H41" s="2">
        <v>-27.951999999999899</v>
      </c>
      <c r="I41" s="1">
        <v>0.62691335633978995</v>
      </c>
      <c r="J41" s="1">
        <v>0.61734972333476001</v>
      </c>
      <c r="K41" s="1">
        <v>0.62267522722836699</v>
      </c>
      <c r="L41" s="1">
        <v>0.121587852446183</v>
      </c>
      <c r="M41" s="2"/>
      <c r="N41" s="2"/>
      <c r="Q41" s="1">
        <f t="shared" si="1"/>
        <v>74.663499999999956</v>
      </c>
      <c r="R41">
        <f t="shared" si="0"/>
        <v>73.524499999999904</v>
      </c>
      <c r="S41" s="1">
        <f t="shared" si="2"/>
        <v>74.158751537216816</v>
      </c>
      <c r="T41" s="1">
        <f t="shared" si="3"/>
        <v>14.480748462783056</v>
      </c>
    </row>
    <row r="42" spans="1:20" x14ac:dyDescent="0.3">
      <c r="A42" t="s">
        <v>10</v>
      </c>
      <c r="B42" t="s">
        <v>45</v>
      </c>
      <c r="C42" t="s">
        <v>34</v>
      </c>
      <c r="D42" t="s">
        <v>35</v>
      </c>
      <c r="E42" s="2">
        <v>73.054000000000002</v>
      </c>
      <c r="F42" s="2">
        <v>0</v>
      </c>
      <c r="G42" s="2">
        <v>31.909999999999901</v>
      </c>
      <c r="H42" s="2">
        <v>-30.457000000000001</v>
      </c>
      <c r="I42" s="1">
        <v>0.71840008760642804</v>
      </c>
      <c r="J42" s="1">
        <v>0.70845538916417905</v>
      </c>
      <c r="K42" s="1">
        <v>0.61443574118273603</v>
      </c>
      <c r="L42" s="1">
        <v>0.31241973558787101</v>
      </c>
      <c r="M42" s="2"/>
      <c r="N42" s="2"/>
      <c r="Q42" s="1">
        <f t="shared" si="1"/>
        <v>52.481999999999992</v>
      </c>
      <c r="R42">
        <f t="shared" si="0"/>
        <v>51.755499999999941</v>
      </c>
      <c r="S42" s="1">
        <f t="shared" si="2"/>
        <v>44.886988636363597</v>
      </c>
      <c r="T42" s="1">
        <f t="shared" si="3"/>
        <v>22.823511363636328</v>
      </c>
    </row>
    <row r="43" spans="1:20" x14ac:dyDescent="0.3">
      <c r="A43" t="s">
        <v>10</v>
      </c>
      <c r="B43" t="s">
        <v>46</v>
      </c>
      <c r="C43" t="s">
        <v>34</v>
      </c>
      <c r="D43" t="s">
        <v>35</v>
      </c>
      <c r="E43" s="2">
        <v>4</v>
      </c>
      <c r="F43" s="2">
        <v>0</v>
      </c>
      <c r="G43" s="2">
        <v>2.8879999999999999</v>
      </c>
      <c r="H43" s="2">
        <v>-3</v>
      </c>
      <c r="I43" s="1">
        <v>0.86099999999999999</v>
      </c>
      <c r="J43" s="1">
        <v>0.875</v>
      </c>
      <c r="K43" s="1">
        <v>0.70933970469255603</v>
      </c>
      <c r="L43" s="1">
        <v>0.52666029530744296</v>
      </c>
      <c r="M43" s="2"/>
      <c r="N43" s="2"/>
      <c r="Q43" s="1">
        <f t="shared" si="1"/>
        <v>3.444</v>
      </c>
      <c r="R43">
        <f t="shared" si="0"/>
        <v>3.5</v>
      </c>
      <c r="S43" s="1">
        <f t="shared" si="2"/>
        <v>2.8373588187702241</v>
      </c>
      <c r="T43" s="1">
        <f t="shared" si="3"/>
        <v>2.1066411812297718</v>
      </c>
    </row>
    <row r="44" spans="1:20" x14ac:dyDescent="0.3">
      <c r="A44" t="s">
        <v>10</v>
      </c>
      <c r="B44" t="s">
        <v>47</v>
      </c>
      <c r="C44" t="s">
        <v>574</v>
      </c>
      <c r="D44" t="s">
        <v>575</v>
      </c>
      <c r="E44" s="2">
        <v>83</v>
      </c>
      <c r="F44" s="2">
        <v>3.2000000000000001E-2</v>
      </c>
      <c r="G44" s="2">
        <v>70.337999999999994</v>
      </c>
      <c r="H44" s="2">
        <v>-69.337999999999994</v>
      </c>
      <c r="I44" s="1">
        <v>0.92353012048192695</v>
      </c>
      <c r="J44" s="1">
        <v>0.91750602409638504</v>
      </c>
      <c r="K44" s="1">
        <v>0.57916759708737797</v>
      </c>
      <c r="L44" s="1">
        <v>0.76206131857527104</v>
      </c>
      <c r="M44" s="2"/>
      <c r="N44" s="2"/>
      <c r="Q44" s="1">
        <f t="shared" si="1"/>
        <v>76.652999999999935</v>
      </c>
      <c r="R44">
        <f t="shared" si="0"/>
        <v>76.152999999999963</v>
      </c>
      <c r="S44" s="1">
        <f t="shared" si="2"/>
        <v>48.070910558252372</v>
      </c>
      <c r="T44" s="1">
        <f t="shared" si="3"/>
        <v>63.251089441747496</v>
      </c>
    </row>
    <row r="45" spans="1:20" x14ac:dyDescent="0.3">
      <c r="A45" t="s">
        <v>10</v>
      </c>
      <c r="B45" t="s">
        <v>48</v>
      </c>
      <c r="C45" t="s">
        <v>576</v>
      </c>
      <c r="D45" t="s">
        <v>591</v>
      </c>
      <c r="E45" s="2">
        <v>31</v>
      </c>
      <c r="F45" s="2">
        <v>0</v>
      </c>
      <c r="G45" s="2">
        <v>26.95</v>
      </c>
      <c r="H45" s="2">
        <v>-30.974</v>
      </c>
      <c r="I45" s="1">
        <v>0.93467741935483795</v>
      </c>
      <c r="J45" s="1">
        <v>0.99958064516128997</v>
      </c>
      <c r="K45" s="1">
        <v>0.77399046481887401</v>
      </c>
      <c r="L45" s="1">
        <v>0.66026759969725402</v>
      </c>
      <c r="M45" s="2"/>
      <c r="N45" s="2"/>
      <c r="Q45" s="1">
        <f t="shared" si="1"/>
        <v>28.974999999999977</v>
      </c>
      <c r="R45">
        <f t="shared" si="0"/>
        <v>30.986999999999988</v>
      </c>
      <c r="S45" s="1">
        <f t="shared" si="2"/>
        <v>23.993704409385096</v>
      </c>
      <c r="T45" s="1">
        <f t="shared" si="3"/>
        <v>20.468295590614876</v>
      </c>
    </row>
    <row r="46" spans="1:20" x14ac:dyDescent="0.3">
      <c r="A46" t="s">
        <v>10</v>
      </c>
      <c r="B46" t="s">
        <v>49</v>
      </c>
      <c r="C46" t="s">
        <v>576</v>
      </c>
      <c r="D46" t="s">
        <v>592</v>
      </c>
      <c r="E46" s="2">
        <v>12</v>
      </c>
      <c r="F46" s="2">
        <v>0</v>
      </c>
      <c r="G46" s="2">
        <v>11.032999999999999</v>
      </c>
      <c r="H46" s="2">
        <v>-11.119</v>
      </c>
      <c r="I46" s="1">
        <v>0.95970833333333305</v>
      </c>
      <c r="J46" s="1">
        <v>0.96329166666666599</v>
      </c>
      <c r="K46" s="1">
        <v>0.75525658036677401</v>
      </c>
      <c r="L46" s="1">
        <v>0.66774341963322503</v>
      </c>
      <c r="M46" s="2"/>
      <c r="N46" s="2"/>
      <c r="Q46" s="1">
        <f t="shared" si="1"/>
        <v>11.516499999999997</v>
      </c>
      <c r="R46">
        <f t="shared" si="0"/>
        <v>11.559499999999993</v>
      </c>
      <c r="S46" s="1">
        <f t="shared" si="2"/>
        <v>9.0630789644012886</v>
      </c>
      <c r="T46" s="1">
        <f t="shared" si="3"/>
        <v>8.0129210355987013</v>
      </c>
    </row>
    <row r="47" spans="1:20" x14ac:dyDescent="0.3">
      <c r="A47" t="s">
        <v>10</v>
      </c>
      <c r="B47" t="s">
        <v>593</v>
      </c>
      <c r="C47" t="s">
        <v>576</v>
      </c>
      <c r="D47" t="s">
        <v>577</v>
      </c>
      <c r="E47" s="2">
        <v>56.484000000000002</v>
      </c>
      <c r="F47" s="2">
        <v>0</v>
      </c>
      <c r="G47" s="2">
        <v>49.749000000000002</v>
      </c>
      <c r="H47" s="2">
        <v>-51.695</v>
      </c>
      <c r="I47" s="1">
        <v>0.940381346930104</v>
      </c>
      <c r="J47" s="1">
        <v>0.95760746406061803</v>
      </c>
      <c r="K47" s="1">
        <v>0.79923022921518105</v>
      </c>
      <c r="L47" s="1">
        <v>0.59875858177554098</v>
      </c>
      <c r="M47" s="2"/>
      <c r="N47" s="2"/>
      <c r="Q47" s="1">
        <f t="shared" si="1"/>
        <v>53.116499999999995</v>
      </c>
      <c r="R47">
        <f t="shared" si="0"/>
        <v>54.089499999999951</v>
      </c>
      <c r="S47" s="1">
        <f t="shared" si="2"/>
        <v>45.143720266990286</v>
      </c>
      <c r="T47" s="1">
        <f t="shared" si="3"/>
        <v>33.820279733009656</v>
      </c>
    </row>
    <row r="48" spans="1:20" x14ac:dyDescent="0.3">
      <c r="A48" t="s">
        <v>10</v>
      </c>
      <c r="B48" t="s">
        <v>594</v>
      </c>
      <c r="C48" t="s">
        <v>576</v>
      </c>
      <c r="D48" t="s">
        <v>577</v>
      </c>
      <c r="E48" s="2">
        <v>376.13299999999998</v>
      </c>
      <c r="F48" s="2">
        <v>0</v>
      </c>
      <c r="G48" s="2">
        <v>158.29599999999999</v>
      </c>
      <c r="H48" s="2">
        <v>-347.53799999999899</v>
      </c>
      <c r="I48" s="1">
        <v>0.710425567551903</v>
      </c>
      <c r="J48" s="1">
        <v>0.96198817971302697</v>
      </c>
      <c r="K48" s="1">
        <v>0.52694324025816897</v>
      </c>
      <c r="L48" s="1">
        <v>0.64547050700676101</v>
      </c>
      <c r="M48" s="2"/>
      <c r="N48" s="2"/>
      <c r="Q48" s="1">
        <f t="shared" si="1"/>
        <v>267.21449999999993</v>
      </c>
      <c r="R48">
        <f t="shared" si="0"/>
        <v>361.83549999999997</v>
      </c>
      <c r="S48" s="1">
        <f t="shared" si="2"/>
        <v>198.20074178802585</v>
      </c>
      <c r="T48" s="1">
        <f t="shared" si="3"/>
        <v>242.78275821197403</v>
      </c>
    </row>
    <row r="49" spans="1:20" x14ac:dyDescent="0.3">
      <c r="A49" t="s">
        <v>10</v>
      </c>
      <c r="B49" t="s">
        <v>50</v>
      </c>
      <c r="C49" t="s">
        <v>576</v>
      </c>
      <c r="D49" t="s">
        <v>14</v>
      </c>
      <c r="E49" s="2">
        <v>10.68</v>
      </c>
      <c r="F49" s="2">
        <v>0</v>
      </c>
      <c r="G49" s="2">
        <v>8.7349999999999994</v>
      </c>
      <c r="H49" s="2">
        <v>-9.782</v>
      </c>
      <c r="I49" s="1">
        <v>0.90894194756554303</v>
      </c>
      <c r="J49" s="1">
        <v>0.95795880149812696</v>
      </c>
      <c r="K49" s="1">
        <v>0.56390015741851796</v>
      </c>
      <c r="L49" s="1">
        <v>0.80300059164515203</v>
      </c>
      <c r="M49" s="2"/>
      <c r="N49" s="2"/>
      <c r="Q49" s="1">
        <f t="shared" si="1"/>
        <v>9.7074999999999996</v>
      </c>
      <c r="R49">
        <f t="shared" si="0"/>
        <v>10.230999999999996</v>
      </c>
      <c r="S49" s="1">
        <f t="shared" si="2"/>
        <v>6.0224536812297718</v>
      </c>
      <c r="T49" s="1">
        <f t="shared" si="3"/>
        <v>8.5760463187702243</v>
      </c>
    </row>
    <row r="50" spans="1:20" x14ac:dyDescent="0.3">
      <c r="A50" t="s">
        <v>10</v>
      </c>
      <c r="B50" t="s">
        <v>51</v>
      </c>
      <c r="C50" t="s">
        <v>574</v>
      </c>
      <c r="D50" t="s">
        <v>575</v>
      </c>
      <c r="E50" s="2">
        <v>231.36799999999999</v>
      </c>
      <c r="F50" s="2">
        <v>0</v>
      </c>
      <c r="G50" s="2">
        <v>101.818</v>
      </c>
      <c r="H50" s="2">
        <v>-225.827</v>
      </c>
      <c r="I50" s="1">
        <v>0.72003474983575899</v>
      </c>
      <c r="J50" s="1">
        <v>0.988025569655267</v>
      </c>
      <c r="K50" s="1">
        <v>0.38929114900550899</v>
      </c>
      <c r="L50" s="1">
        <v>0.81876917048551701</v>
      </c>
      <c r="M50" s="2"/>
      <c r="N50" s="2"/>
      <c r="Q50" s="1">
        <f t="shared" si="1"/>
        <v>166.59299999999988</v>
      </c>
      <c r="R50">
        <f t="shared" si="0"/>
        <v>228.5974999999998</v>
      </c>
      <c r="S50" s="1">
        <f t="shared" si="2"/>
        <v>90.069514563106594</v>
      </c>
      <c r="T50" s="1">
        <f t="shared" si="3"/>
        <v>189.43698543689308</v>
      </c>
    </row>
    <row r="51" spans="1:20" x14ac:dyDescent="0.3">
      <c r="A51" t="s">
        <v>10</v>
      </c>
      <c r="B51" t="s">
        <v>52</v>
      </c>
      <c r="C51" t="s">
        <v>576</v>
      </c>
      <c r="D51" t="s">
        <v>577</v>
      </c>
      <c r="E51" s="2">
        <v>72.474999999999994</v>
      </c>
      <c r="F51" s="2">
        <v>0</v>
      </c>
      <c r="G51" s="2">
        <v>56.936999999999998</v>
      </c>
      <c r="H51" s="2">
        <v>-59.73</v>
      </c>
      <c r="I51" s="1">
        <v>0.89280441531562604</v>
      </c>
      <c r="J51" s="1">
        <v>0.91207312866505597</v>
      </c>
      <c r="K51" s="1">
        <v>0.46295529035232502</v>
      </c>
      <c r="L51" s="1">
        <v>0.84192225362835704</v>
      </c>
      <c r="M51" s="2"/>
      <c r="N51" s="2"/>
      <c r="Q51" s="1">
        <f t="shared" si="1"/>
        <v>64.705999999999989</v>
      </c>
      <c r="R51">
        <f t="shared" si="0"/>
        <v>66.102499999999921</v>
      </c>
      <c r="S51" s="1">
        <f t="shared" si="2"/>
        <v>33.552684668284755</v>
      </c>
      <c r="T51" s="1">
        <f t="shared" si="3"/>
        <v>61.018315331715172</v>
      </c>
    </row>
    <row r="52" spans="1:20" x14ac:dyDescent="0.3">
      <c r="A52" t="s">
        <v>10</v>
      </c>
      <c r="B52" t="s">
        <v>53</v>
      </c>
      <c r="C52" t="s">
        <v>576</v>
      </c>
      <c r="D52" t="s">
        <v>595</v>
      </c>
      <c r="E52" s="2">
        <v>364.49</v>
      </c>
      <c r="F52" s="2">
        <v>0</v>
      </c>
      <c r="G52" s="2">
        <v>179.18600000000001</v>
      </c>
      <c r="H52" s="2">
        <v>-344.39600000000002</v>
      </c>
      <c r="I52" s="1">
        <v>0.74580372575379295</v>
      </c>
      <c r="J52" s="1">
        <v>0.97243545776290097</v>
      </c>
      <c r="K52" s="1">
        <v>0.71158775370489302</v>
      </c>
      <c r="L52" s="1">
        <v>0.506651429811801</v>
      </c>
      <c r="M52" s="2"/>
      <c r="N52" s="2"/>
      <c r="Q52" s="1">
        <f t="shared" si="1"/>
        <v>271.83800000000002</v>
      </c>
      <c r="R52">
        <f t="shared" si="0"/>
        <v>354.44299999999976</v>
      </c>
      <c r="S52" s="1">
        <f t="shared" si="2"/>
        <v>259.36662034789646</v>
      </c>
      <c r="T52" s="1">
        <f t="shared" si="3"/>
        <v>184.66937965210334</v>
      </c>
    </row>
    <row r="53" spans="1:20" x14ac:dyDescent="0.3">
      <c r="A53" t="s">
        <v>10</v>
      </c>
      <c r="B53" t="s">
        <v>54</v>
      </c>
      <c r="C53" t="s">
        <v>576</v>
      </c>
      <c r="D53" t="s">
        <v>14</v>
      </c>
      <c r="E53" s="2">
        <v>10.762</v>
      </c>
      <c r="F53" s="2">
        <v>0</v>
      </c>
      <c r="G53" s="2">
        <v>8.9659999999999993</v>
      </c>
      <c r="H53" s="2">
        <v>-9.0679999999999996</v>
      </c>
      <c r="I53" s="1">
        <v>0.91655826054636602</v>
      </c>
      <c r="J53" s="1">
        <v>0.92129715666233003</v>
      </c>
      <c r="K53" s="1">
        <v>0.56759870745623597</v>
      </c>
      <c r="L53" s="1">
        <v>0.77025670975246097</v>
      </c>
      <c r="M53" s="2"/>
      <c r="N53" s="2"/>
      <c r="Q53" s="1">
        <f t="shared" si="1"/>
        <v>9.8639999999999919</v>
      </c>
      <c r="R53">
        <f t="shared" si="0"/>
        <v>9.9149999999999956</v>
      </c>
      <c r="S53" s="1">
        <f t="shared" si="2"/>
        <v>6.1084972896440117</v>
      </c>
      <c r="T53" s="1">
        <f t="shared" si="3"/>
        <v>8.2895027103559844</v>
      </c>
    </row>
    <row r="54" spans="1:20" x14ac:dyDescent="0.3">
      <c r="A54" t="s">
        <v>10</v>
      </c>
      <c r="B54" t="s">
        <v>55</v>
      </c>
      <c r="C54" t="s">
        <v>576</v>
      </c>
      <c r="D54" t="s">
        <v>583</v>
      </c>
      <c r="E54" s="2">
        <v>0</v>
      </c>
      <c r="F54" s="2">
        <v>0</v>
      </c>
      <c r="G54" s="2">
        <v>0</v>
      </c>
      <c r="H54" s="2">
        <v>0</v>
      </c>
      <c r="I54" s="1">
        <v>0</v>
      </c>
      <c r="J54" s="1">
        <v>0</v>
      </c>
      <c r="K54" s="1">
        <v>0</v>
      </c>
      <c r="L54" s="1">
        <v>0</v>
      </c>
      <c r="M54" s="2"/>
      <c r="N54" s="2"/>
      <c r="Q54" s="1">
        <f t="shared" si="1"/>
        <v>0</v>
      </c>
      <c r="R54">
        <f t="shared" si="0"/>
        <v>0</v>
      </c>
      <c r="S54" s="1">
        <f t="shared" si="2"/>
        <v>0</v>
      </c>
      <c r="T54" s="1">
        <f t="shared" si="3"/>
        <v>0</v>
      </c>
    </row>
    <row r="55" spans="1:20" x14ac:dyDescent="0.3">
      <c r="A55" t="s">
        <v>10</v>
      </c>
      <c r="B55" t="s">
        <v>596</v>
      </c>
      <c r="C55" t="s">
        <v>574</v>
      </c>
      <c r="D55" t="s">
        <v>575</v>
      </c>
      <c r="E55" s="2">
        <v>382.54399999999998</v>
      </c>
      <c r="F55" s="2">
        <v>0</v>
      </c>
      <c r="G55" s="2">
        <v>367.05200000000002</v>
      </c>
      <c r="H55" s="2">
        <v>-358.91699999999997</v>
      </c>
      <c r="I55" s="1">
        <v>0.97975134886444404</v>
      </c>
      <c r="J55" s="1">
        <v>0.96911858505165405</v>
      </c>
      <c r="K55" s="1">
        <v>0.72962372727376101</v>
      </c>
      <c r="L55" s="1">
        <v>0.71924620664233696</v>
      </c>
      <c r="M55" s="2"/>
      <c r="N55" s="2"/>
      <c r="Q55" s="1">
        <f t="shared" si="1"/>
        <v>374.79799999999989</v>
      </c>
      <c r="R55">
        <f t="shared" si="0"/>
        <v>370.73049999999995</v>
      </c>
      <c r="S55" s="1">
        <f t="shared" si="2"/>
        <v>279.11317912621359</v>
      </c>
      <c r="T55" s="1">
        <f t="shared" si="3"/>
        <v>275.14332087378614</v>
      </c>
    </row>
    <row r="56" spans="1:20" x14ac:dyDescent="0.3">
      <c r="A56" t="s">
        <v>10</v>
      </c>
      <c r="B56" t="s">
        <v>597</v>
      </c>
      <c r="C56" t="s">
        <v>576</v>
      </c>
      <c r="D56" t="s">
        <v>598</v>
      </c>
      <c r="E56" s="2">
        <v>238.41300000000001</v>
      </c>
      <c r="F56" s="2">
        <v>0</v>
      </c>
      <c r="G56" s="2">
        <v>102.295999999999</v>
      </c>
      <c r="H56" s="2">
        <v>-202.95499999999899</v>
      </c>
      <c r="I56" s="1">
        <v>0.71453528121369203</v>
      </c>
      <c r="J56" s="1">
        <v>0.92563744426688099</v>
      </c>
      <c r="K56" s="1">
        <v>0.31706197091400601</v>
      </c>
      <c r="L56" s="1">
        <v>0.82311075456656702</v>
      </c>
      <c r="M56" s="2"/>
      <c r="N56" s="2"/>
      <c r="Q56" s="1">
        <f t="shared" si="1"/>
        <v>170.35449999999997</v>
      </c>
      <c r="R56">
        <f t="shared" si="0"/>
        <v>220.68399999999991</v>
      </c>
      <c r="S56" s="1">
        <f t="shared" si="2"/>
        <v>75.591695671520924</v>
      </c>
      <c r="T56" s="1">
        <f t="shared" si="3"/>
        <v>196.24030432847894</v>
      </c>
    </row>
    <row r="57" spans="1:20" x14ac:dyDescent="0.3">
      <c r="A57" t="s">
        <v>10</v>
      </c>
      <c r="B57" t="s">
        <v>56</v>
      </c>
      <c r="C57" t="s">
        <v>576</v>
      </c>
      <c r="D57" t="s">
        <v>577</v>
      </c>
      <c r="E57" s="2">
        <v>79.427000000000007</v>
      </c>
      <c r="F57" s="2">
        <v>0</v>
      </c>
      <c r="G57" s="2">
        <v>40.536999999999999</v>
      </c>
      <c r="H57" s="2">
        <v>-59.488</v>
      </c>
      <c r="I57" s="1">
        <v>0.75518400543895603</v>
      </c>
      <c r="J57" s="1">
        <v>0.87448222896496097</v>
      </c>
      <c r="K57" s="1">
        <v>0.372246378011797</v>
      </c>
      <c r="L57" s="1">
        <v>0.75741985639211995</v>
      </c>
      <c r="M57" s="2"/>
      <c r="N57" s="2"/>
      <c r="Q57" s="1">
        <f t="shared" si="1"/>
        <v>59.981999999999964</v>
      </c>
      <c r="R57">
        <f t="shared" si="0"/>
        <v>69.457499999999968</v>
      </c>
      <c r="S57" s="1">
        <f t="shared" si="2"/>
        <v>29.566413066343003</v>
      </c>
      <c r="T57" s="1">
        <f t="shared" si="3"/>
        <v>60.159586933656918</v>
      </c>
    </row>
    <row r="58" spans="1:20" x14ac:dyDescent="0.3">
      <c r="A58" t="s">
        <v>10</v>
      </c>
      <c r="B58" t="s">
        <v>599</v>
      </c>
      <c r="C58" t="s">
        <v>574</v>
      </c>
      <c r="D58" t="s">
        <v>575</v>
      </c>
      <c r="E58" s="2">
        <v>7216.1080000000002</v>
      </c>
      <c r="F58" s="2">
        <v>1303.7729999999999</v>
      </c>
      <c r="G58" s="2">
        <v>2208.5149999999899</v>
      </c>
      <c r="H58" s="2">
        <v>-3179.7860000000001</v>
      </c>
      <c r="I58" s="1">
        <v>0.56268905620592102</v>
      </c>
      <c r="J58" s="1">
        <v>0.62998786880684099</v>
      </c>
      <c r="K58" s="1">
        <v>0.41606926468307498</v>
      </c>
      <c r="L58" s="1">
        <v>0.36694534651731098</v>
      </c>
      <c r="M58" s="2"/>
      <c r="N58" s="2"/>
      <c r="Q58" s="1">
        <f t="shared" si="1"/>
        <v>4060.4249999999965</v>
      </c>
      <c r="R58">
        <f t="shared" si="0"/>
        <v>4546.060499999996</v>
      </c>
      <c r="S58" s="1">
        <f t="shared" si="2"/>
        <v>3002.4007494336547</v>
      </c>
      <c r="T58" s="1">
        <f t="shared" si="3"/>
        <v>2647.91725056634</v>
      </c>
    </row>
    <row r="59" spans="1:20" x14ac:dyDescent="0.3">
      <c r="A59" t="s">
        <v>57</v>
      </c>
      <c r="B59" t="s">
        <v>58</v>
      </c>
      <c r="C59" t="s">
        <v>580</v>
      </c>
      <c r="D59" t="s">
        <v>581</v>
      </c>
      <c r="E59" s="2">
        <v>47.854999999999997</v>
      </c>
      <c r="F59" s="2">
        <v>0</v>
      </c>
      <c r="G59" s="2">
        <v>29.093</v>
      </c>
      <c r="H59" s="2">
        <v>-27.263999999999999</v>
      </c>
      <c r="I59" s="1">
        <v>0.80397032702956805</v>
      </c>
      <c r="J59" s="1">
        <v>0.78486051614251295</v>
      </c>
      <c r="K59" s="1">
        <v>0.70865350899883295</v>
      </c>
      <c r="L59" s="1">
        <v>0.380177334173249</v>
      </c>
      <c r="M59" s="2"/>
      <c r="N59" s="2"/>
      <c r="Q59" s="1">
        <f t="shared" si="1"/>
        <v>38.473999999999975</v>
      </c>
      <c r="R59">
        <f t="shared" si="0"/>
        <v>37.559499999999957</v>
      </c>
      <c r="S59" s="1">
        <f t="shared" si="2"/>
        <v>33.912613673139148</v>
      </c>
      <c r="T59" s="1">
        <f t="shared" si="3"/>
        <v>18.193386326860828</v>
      </c>
    </row>
    <row r="60" spans="1:20" x14ac:dyDescent="0.3">
      <c r="A60" t="s">
        <v>57</v>
      </c>
      <c r="B60" t="s">
        <v>59</v>
      </c>
      <c r="C60" t="s">
        <v>580</v>
      </c>
      <c r="D60" t="s">
        <v>581</v>
      </c>
      <c r="E60" s="2">
        <v>82.29</v>
      </c>
      <c r="F60" s="2">
        <v>0</v>
      </c>
      <c r="G60" s="2">
        <v>50.698</v>
      </c>
      <c r="H60" s="2">
        <v>-51.933</v>
      </c>
      <c r="I60" s="1">
        <v>0.80804471989306104</v>
      </c>
      <c r="J60" s="1">
        <v>0.81554866934013803</v>
      </c>
      <c r="K60" s="1">
        <v>0.72076962060138505</v>
      </c>
      <c r="L60" s="1">
        <v>0.40282376863181402</v>
      </c>
      <c r="M60" s="2"/>
      <c r="N60" s="2"/>
      <c r="Q60" s="1">
        <f t="shared" si="1"/>
        <v>66.494</v>
      </c>
      <c r="R60">
        <f t="shared" si="0"/>
        <v>67.111499999999964</v>
      </c>
      <c r="S60" s="1">
        <f t="shared" si="2"/>
        <v>59.312132079287977</v>
      </c>
      <c r="T60" s="1">
        <f t="shared" si="3"/>
        <v>33.148367920711976</v>
      </c>
    </row>
    <row r="61" spans="1:20" x14ac:dyDescent="0.3">
      <c r="A61" t="s">
        <v>57</v>
      </c>
      <c r="B61" t="s">
        <v>60</v>
      </c>
      <c r="C61" t="s">
        <v>576</v>
      </c>
      <c r="D61" t="s">
        <v>589</v>
      </c>
      <c r="E61" s="2">
        <v>0</v>
      </c>
      <c r="F61" s="2">
        <v>0</v>
      </c>
      <c r="G61" s="2">
        <v>0</v>
      </c>
      <c r="H61" s="2">
        <v>0</v>
      </c>
      <c r="I61" s="1">
        <v>0</v>
      </c>
      <c r="J61" s="1">
        <v>0</v>
      </c>
      <c r="K61" s="1">
        <v>0</v>
      </c>
      <c r="L61" s="1">
        <v>0</v>
      </c>
      <c r="M61" s="2"/>
      <c r="N61" s="2"/>
      <c r="Q61" s="1">
        <f t="shared" si="1"/>
        <v>0</v>
      </c>
      <c r="R61">
        <f t="shared" si="0"/>
        <v>0</v>
      </c>
      <c r="S61" s="1">
        <f t="shared" si="2"/>
        <v>0</v>
      </c>
      <c r="T61" s="1">
        <f t="shared" si="3"/>
        <v>0</v>
      </c>
    </row>
    <row r="62" spans="1:20" x14ac:dyDescent="0.3">
      <c r="A62" t="s">
        <v>57</v>
      </c>
      <c r="B62" t="s">
        <v>61</v>
      </c>
      <c r="C62" t="s">
        <v>576</v>
      </c>
      <c r="D62" t="s">
        <v>583</v>
      </c>
      <c r="E62" s="2">
        <v>0</v>
      </c>
      <c r="F62" s="2">
        <v>0</v>
      </c>
      <c r="G62" s="2">
        <v>0</v>
      </c>
      <c r="H62" s="2">
        <v>0</v>
      </c>
      <c r="I62" s="1">
        <v>0</v>
      </c>
      <c r="J62" s="1">
        <v>0</v>
      </c>
      <c r="K62" s="1">
        <v>0</v>
      </c>
      <c r="L62" s="1">
        <v>0</v>
      </c>
      <c r="M62" s="2"/>
      <c r="N62" s="2"/>
      <c r="Q62" s="1">
        <f t="shared" si="1"/>
        <v>0</v>
      </c>
      <c r="R62">
        <f t="shared" si="0"/>
        <v>0</v>
      </c>
      <c r="S62" s="1">
        <f t="shared" si="2"/>
        <v>0</v>
      </c>
      <c r="T62" s="1">
        <f t="shared" si="3"/>
        <v>0</v>
      </c>
    </row>
    <row r="63" spans="1:20" x14ac:dyDescent="0.3">
      <c r="A63" t="s">
        <v>57</v>
      </c>
      <c r="B63" t="s">
        <v>600</v>
      </c>
      <c r="C63" t="s">
        <v>574</v>
      </c>
      <c r="D63" t="s">
        <v>575</v>
      </c>
      <c r="E63" s="2">
        <v>255.21799999999999</v>
      </c>
      <c r="F63" s="2">
        <v>0</v>
      </c>
      <c r="G63" s="2">
        <v>196.03800000000001</v>
      </c>
      <c r="H63" s="2">
        <v>-172.53299999999999</v>
      </c>
      <c r="I63" s="1">
        <v>0.88405990173106896</v>
      </c>
      <c r="J63" s="1">
        <v>0.83801103370451901</v>
      </c>
      <c r="K63" s="1">
        <v>0.83266680022847905</v>
      </c>
      <c r="L63" s="1">
        <v>0.38940413520710898</v>
      </c>
      <c r="M63" s="2"/>
      <c r="N63" s="2"/>
      <c r="Q63" s="1">
        <f t="shared" si="1"/>
        <v>225.62799999999996</v>
      </c>
      <c r="R63">
        <f t="shared" si="0"/>
        <v>213.87549999999993</v>
      </c>
      <c r="S63" s="1">
        <f t="shared" si="2"/>
        <v>212.51155542071197</v>
      </c>
      <c r="T63" s="1">
        <f t="shared" si="3"/>
        <v>99.382944579287937</v>
      </c>
    </row>
    <row r="64" spans="1:20" x14ac:dyDescent="0.3">
      <c r="A64" t="s">
        <v>57</v>
      </c>
      <c r="B64" t="s">
        <v>601</v>
      </c>
      <c r="C64" t="s">
        <v>34</v>
      </c>
      <c r="D64" t="s">
        <v>35</v>
      </c>
      <c r="E64" s="2">
        <v>33.237000000000002</v>
      </c>
      <c r="F64" s="2">
        <v>0</v>
      </c>
      <c r="G64" s="2">
        <v>24.4679999999999</v>
      </c>
      <c r="H64" s="2">
        <v>-25.077999999999999</v>
      </c>
      <c r="I64" s="1">
        <v>0.86808376207238902</v>
      </c>
      <c r="J64" s="1">
        <v>0.87726028221560304</v>
      </c>
      <c r="K64" s="1">
        <v>0.749626931540891</v>
      </c>
      <c r="L64" s="1">
        <v>0.49571711274710101</v>
      </c>
      <c r="M64" s="2"/>
      <c r="N64" s="2"/>
      <c r="Q64" s="1">
        <f t="shared" si="1"/>
        <v>28.852499999999996</v>
      </c>
      <c r="R64">
        <f t="shared" si="0"/>
        <v>29.157499999999999</v>
      </c>
      <c r="S64" s="1">
        <f t="shared" si="2"/>
        <v>24.915350323624594</v>
      </c>
      <c r="T64" s="1">
        <f t="shared" si="3"/>
        <v>16.476149676375396</v>
      </c>
    </row>
    <row r="65" spans="1:20" x14ac:dyDescent="0.3">
      <c r="A65" t="s">
        <v>57</v>
      </c>
      <c r="B65" t="s">
        <v>602</v>
      </c>
      <c r="C65" t="s">
        <v>580</v>
      </c>
      <c r="D65" t="s">
        <v>581</v>
      </c>
      <c r="E65" s="2">
        <v>45.759</v>
      </c>
      <c r="F65" s="2">
        <v>0</v>
      </c>
      <c r="G65" s="2">
        <v>28.013000000000002</v>
      </c>
      <c r="H65" s="2">
        <v>-30.404</v>
      </c>
      <c r="I65" s="1">
        <v>0.80609279048930205</v>
      </c>
      <c r="J65" s="1">
        <v>0.83221879848772895</v>
      </c>
      <c r="K65" s="1">
        <v>0.630983096193108</v>
      </c>
      <c r="L65" s="1">
        <v>0.507328492783923</v>
      </c>
      <c r="M65" s="2"/>
      <c r="N65" s="2"/>
      <c r="Q65" s="1">
        <f t="shared" si="1"/>
        <v>36.885999999999974</v>
      </c>
      <c r="R65">
        <f t="shared" si="0"/>
        <v>38.081499999999991</v>
      </c>
      <c r="S65" s="1">
        <f t="shared" si="2"/>
        <v>28.873155498700427</v>
      </c>
      <c r="T65" s="1">
        <f t="shared" si="3"/>
        <v>23.214844501299535</v>
      </c>
    </row>
    <row r="66" spans="1:20" x14ac:dyDescent="0.3">
      <c r="A66" t="s">
        <v>57</v>
      </c>
      <c r="B66" t="s">
        <v>603</v>
      </c>
      <c r="C66" t="s">
        <v>576</v>
      </c>
      <c r="D66" t="s">
        <v>589</v>
      </c>
      <c r="E66" s="2">
        <v>0</v>
      </c>
      <c r="F66" s="2">
        <v>0</v>
      </c>
      <c r="G66" s="2">
        <v>0</v>
      </c>
      <c r="H66" s="2">
        <v>0</v>
      </c>
      <c r="I66" s="1">
        <v>0</v>
      </c>
      <c r="J66" s="1">
        <v>0</v>
      </c>
      <c r="K66" s="1">
        <v>0</v>
      </c>
      <c r="L66" s="1">
        <v>0</v>
      </c>
      <c r="M66" s="2"/>
      <c r="N66" s="2"/>
      <c r="Q66" s="1">
        <f t="shared" si="1"/>
        <v>0</v>
      </c>
      <c r="R66">
        <f t="shared" ref="R66:R129" si="4">J66*E66</f>
        <v>0</v>
      </c>
      <c r="S66" s="1">
        <f t="shared" si="2"/>
        <v>0</v>
      </c>
      <c r="T66" s="1">
        <f t="shared" si="3"/>
        <v>0</v>
      </c>
    </row>
    <row r="67" spans="1:20" x14ac:dyDescent="0.3">
      <c r="A67" t="s">
        <v>57</v>
      </c>
      <c r="B67" t="s">
        <v>604</v>
      </c>
      <c r="C67" t="s">
        <v>574</v>
      </c>
      <c r="D67" t="s">
        <v>575</v>
      </c>
      <c r="E67" s="2">
        <v>236.678</v>
      </c>
      <c r="F67" s="2">
        <v>94.495999999999995</v>
      </c>
      <c r="G67" s="2">
        <v>113.017</v>
      </c>
      <c r="H67" s="2">
        <v>-110.402</v>
      </c>
      <c r="I67" s="1">
        <v>0.53912699955213395</v>
      </c>
      <c r="J67" s="1">
        <v>0.53360261621274396</v>
      </c>
      <c r="K67" s="1">
        <v>0.46583056439031101</v>
      </c>
      <c r="L67" s="1">
        <v>0.30652892825370198</v>
      </c>
      <c r="M67" s="2"/>
      <c r="N67" s="2"/>
      <c r="Q67" s="1">
        <f t="shared" ref="Q67:Q130" si="5">I67*E67</f>
        <v>127.59949999999996</v>
      </c>
      <c r="R67">
        <f t="shared" si="4"/>
        <v>126.29199999999982</v>
      </c>
      <c r="S67" s="1">
        <f t="shared" ref="S67:S130" si="6">K67*E67</f>
        <v>110.25184631877002</v>
      </c>
      <c r="T67" s="1">
        <f t="shared" ref="T67:T130" si="7">L67*E67</f>
        <v>72.548653681229681</v>
      </c>
    </row>
    <row r="68" spans="1:20" x14ac:dyDescent="0.3">
      <c r="A68" t="s">
        <v>57</v>
      </c>
      <c r="B68" t="s">
        <v>62</v>
      </c>
      <c r="C68" t="s">
        <v>576</v>
      </c>
      <c r="D68" t="s">
        <v>598</v>
      </c>
      <c r="E68" s="2">
        <v>201.64699999999999</v>
      </c>
      <c r="F68" s="2">
        <v>11.965</v>
      </c>
      <c r="G68" s="2">
        <v>162.738</v>
      </c>
      <c r="H68" s="2">
        <v>-130.755</v>
      </c>
      <c r="I68" s="1">
        <v>0.87385381384300198</v>
      </c>
      <c r="J68" s="1">
        <v>0.79454938580787204</v>
      </c>
      <c r="K68" s="1">
        <v>0.51618180713860196</v>
      </c>
      <c r="L68" s="1">
        <v>0.68188957502924497</v>
      </c>
      <c r="M68" s="2"/>
      <c r="N68" s="2"/>
      <c r="Q68" s="1">
        <f t="shared" si="5"/>
        <v>176.20999999999981</v>
      </c>
      <c r="R68">
        <f t="shared" si="4"/>
        <v>160.21849999999998</v>
      </c>
      <c r="S68" s="1">
        <f t="shared" si="6"/>
        <v>104.08651286407766</v>
      </c>
      <c r="T68" s="1">
        <f t="shared" si="7"/>
        <v>137.50098713592214</v>
      </c>
    </row>
    <row r="69" spans="1:20" x14ac:dyDescent="0.3">
      <c r="A69" t="s">
        <v>57</v>
      </c>
      <c r="B69" t="s">
        <v>605</v>
      </c>
      <c r="C69" t="s">
        <v>576</v>
      </c>
      <c r="D69" t="s">
        <v>583</v>
      </c>
      <c r="E69" s="2">
        <v>145.24600000000001</v>
      </c>
      <c r="F69" s="2">
        <v>0</v>
      </c>
      <c r="G69" s="2">
        <v>126.333</v>
      </c>
      <c r="H69" s="2">
        <v>-83.625</v>
      </c>
      <c r="I69" s="1">
        <v>0.93489321564793504</v>
      </c>
      <c r="J69" s="1">
        <v>0.78787367638351402</v>
      </c>
      <c r="K69" s="1">
        <v>0.93362845345616696</v>
      </c>
      <c r="L69" s="1">
        <v>0.28913843857528299</v>
      </c>
      <c r="M69" s="2"/>
      <c r="N69" s="2"/>
      <c r="Q69" s="1">
        <f t="shared" si="5"/>
        <v>135.78949999999998</v>
      </c>
      <c r="R69">
        <f t="shared" si="4"/>
        <v>114.43549999999989</v>
      </c>
      <c r="S69" s="1">
        <f t="shared" si="6"/>
        <v>135.60579835069444</v>
      </c>
      <c r="T69" s="1">
        <f t="shared" si="7"/>
        <v>41.996201649305554</v>
      </c>
    </row>
    <row r="70" spans="1:20" x14ac:dyDescent="0.3">
      <c r="A70" t="s">
        <v>57</v>
      </c>
      <c r="B70" t="s">
        <v>63</v>
      </c>
      <c r="C70" t="s">
        <v>576</v>
      </c>
      <c r="D70" t="s">
        <v>583</v>
      </c>
      <c r="E70" s="2">
        <v>167.36600000000001</v>
      </c>
      <c r="F70" s="2">
        <v>0</v>
      </c>
      <c r="G70" s="2">
        <v>126.706</v>
      </c>
      <c r="H70" s="2">
        <v>-122.84399999999999</v>
      </c>
      <c r="I70" s="1">
        <v>0.87852968942317999</v>
      </c>
      <c r="J70" s="1">
        <v>0.86699210114360103</v>
      </c>
      <c r="K70" s="1">
        <v>0.87682184340913205</v>
      </c>
      <c r="L70" s="1">
        <v>0.36869994715764798</v>
      </c>
      <c r="M70" s="2"/>
      <c r="N70" s="2"/>
      <c r="Q70" s="1">
        <f t="shared" si="5"/>
        <v>147.03599999999994</v>
      </c>
      <c r="R70">
        <f t="shared" si="4"/>
        <v>145.10499999999993</v>
      </c>
      <c r="S70" s="1">
        <f t="shared" si="6"/>
        <v>146.75016464401281</v>
      </c>
      <c r="T70" s="1">
        <f t="shared" si="7"/>
        <v>61.707835355986916</v>
      </c>
    </row>
    <row r="71" spans="1:20" x14ac:dyDescent="0.3">
      <c r="A71" t="s">
        <v>57</v>
      </c>
      <c r="B71" t="s">
        <v>64</v>
      </c>
      <c r="C71" t="s">
        <v>576</v>
      </c>
      <c r="D71" t="s">
        <v>589</v>
      </c>
      <c r="E71" s="2">
        <v>0</v>
      </c>
      <c r="F71" s="2">
        <v>0</v>
      </c>
      <c r="G71" s="2">
        <v>0</v>
      </c>
      <c r="H71" s="2">
        <v>0</v>
      </c>
      <c r="I71" s="1">
        <v>0</v>
      </c>
      <c r="J71" s="1">
        <v>0</v>
      </c>
      <c r="K71" s="1">
        <v>0</v>
      </c>
      <c r="L71" s="1">
        <v>0</v>
      </c>
      <c r="M71" s="2"/>
      <c r="N71" s="2"/>
      <c r="Q71" s="1">
        <f t="shared" si="5"/>
        <v>0</v>
      </c>
      <c r="R71">
        <f t="shared" si="4"/>
        <v>0</v>
      </c>
      <c r="S71" s="1">
        <f t="shared" si="6"/>
        <v>0</v>
      </c>
      <c r="T71" s="1">
        <f t="shared" si="7"/>
        <v>0</v>
      </c>
    </row>
    <row r="72" spans="1:20" x14ac:dyDescent="0.3">
      <c r="A72" t="s">
        <v>57</v>
      </c>
      <c r="B72" t="s">
        <v>606</v>
      </c>
      <c r="C72" t="s">
        <v>580</v>
      </c>
      <c r="D72" t="s">
        <v>581</v>
      </c>
      <c r="E72" s="2">
        <v>25.288</v>
      </c>
      <c r="F72" s="2">
        <v>0</v>
      </c>
      <c r="G72" s="2">
        <v>18.385000000000002</v>
      </c>
      <c r="H72" s="2">
        <v>-20.041999999999899</v>
      </c>
      <c r="I72" s="1">
        <v>0.86351233786776305</v>
      </c>
      <c r="J72" s="1">
        <v>0.89627491300221396</v>
      </c>
      <c r="K72" s="1">
        <v>0.77665338024405395</v>
      </c>
      <c r="L72" s="1">
        <v>0.483133870625923</v>
      </c>
      <c r="M72" s="2"/>
      <c r="N72" s="2"/>
      <c r="Q72" s="1">
        <f t="shared" si="5"/>
        <v>21.836499999999994</v>
      </c>
      <c r="R72">
        <f t="shared" si="4"/>
        <v>22.664999999999988</v>
      </c>
      <c r="S72" s="1">
        <f t="shared" si="6"/>
        <v>19.640010679611635</v>
      </c>
      <c r="T72" s="1">
        <f t="shared" si="7"/>
        <v>12.21748932038834</v>
      </c>
    </row>
    <row r="73" spans="1:20" x14ac:dyDescent="0.3">
      <c r="A73" t="s">
        <v>57</v>
      </c>
      <c r="B73" t="s">
        <v>65</v>
      </c>
      <c r="C73" t="s">
        <v>576</v>
      </c>
      <c r="D73" t="s">
        <v>589</v>
      </c>
      <c r="E73" s="2">
        <v>0</v>
      </c>
      <c r="F73" s="2">
        <v>0</v>
      </c>
      <c r="G73" s="2">
        <v>0</v>
      </c>
      <c r="H73" s="2">
        <v>0</v>
      </c>
      <c r="I73" s="1">
        <v>0</v>
      </c>
      <c r="J73" s="1">
        <v>0</v>
      </c>
      <c r="K73" s="1">
        <v>0</v>
      </c>
      <c r="L73" s="1">
        <v>0</v>
      </c>
      <c r="M73" s="2"/>
      <c r="N73" s="2"/>
      <c r="Q73" s="1">
        <f t="shared" si="5"/>
        <v>0</v>
      </c>
      <c r="R73">
        <f t="shared" si="4"/>
        <v>0</v>
      </c>
      <c r="S73" s="1">
        <f t="shared" si="6"/>
        <v>0</v>
      </c>
      <c r="T73" s="1">
        <f t="shared" si="7"/>
        <v>0</v>
      </c>
    </row>
    <row r="74" spans="1:20" x14ac:dyDescent="0.3">
      <c r="A74" t="s">
        <v>57</v>
      </c>
      <c r="B74" t="s">
        <v>66</v>
      </c>
      <c r="C74" t="s">
        <v>34</v>
      </c>
      <c r="D74" t="s">
        <v>35</v>
      </c>
      <c r="E74" s="2">
        <v>162.773</v>
      </c>
      <c r="F74" s="2">
        <v>0</v>
      </c>
      <c r="G74" s="2">
        <v>117.70399999999999</v>
      </c>
      <c r="H74" s="2">
        <v>-134.63399999999999</v>
      </c>
      <c r="I74" s="1">
        <v>0.86155873517106596</v>
      </c>
      <c r="J74" s="1">
        <v>0.91356367456519205</v>
      </c>
      <c r="K74" s="1">
        <v>0.73368652875251295</v>
      </c>
      <c r="L74" s="1">
        <v>0.54143588098374495</v>
      </c>
      <c r="M74" s="2"/>
      <c r="N74" s="2"/>
      <c r="Q74" s="1">
        <f t="shared" si="5"/>
        <v>140.2384999999999</v>
      </c>
      <c r="R74">
        <f t="shared" si="4"/>
        <v>148.70349999999999</v>
      </c>
      <c r="S74" s="1">
        <f t="shared" si="6"/>
        <v>119.42435734463278</v>
      </c>
      <c r="T74" s="1">
        <f t="shared" si="7"/>
        <v>88.131142655367114</v>
      </c>
    </row>
    <row r="75" spans="1:20" x14ac:dyDescent="0.3">
      <c r="A75" t="s">
        <v>57</v>
      </c>
      <c r="B75" t="s">
        <v>67</v>
      </c>
      <c r="C75" t="s">
        <v>580</v>
      </c>
      <c r="D75" t="s">
        <v>581</v>
      </c>
      <c r="E75" s="2">
        <v>71.941000000000003</v>
      </c>
      <c r="F75" s="2">
        <v>0</v>
      </c>
      <c r="G75" s="2">
        <v>47.3</v>
      </c>
      <c r="H75" s="2">
        <v>-52.521000000000001</v>
      </c>
      <c r="I75" s="1">
        <v>0.828741607706314</v>
      </c>
      <c r="J75" s="1">
        <v>0.86502828706857005</v>
      </c>
      <c r="K75" s="1">
        <v>0.66573554132412804</v>
      </c>
      <c r="L75" s="1">
        <v>0.528034353450756</v>
      </c>
      <c r="M75" s="2"/>
      <c r="N75" s="2"/>
      <c r="Q75" s="1">
        <f t="shared" si="5"/>
        <v>59.620499999999936</v>
      </c>
      <c r="R75">
        <f t="shared" si="4"/>
        <v>62.231000000000002</v>
      </c>
      <c r="S75" s="1">
        <f t="shared" si="6"/>
        <v>47.893680578399099</v>
      </c>
      <c r="T75" s="1">
        <f t="shared" si="7"/>
        <v>37.987319421600837</v>
      </c>
    </row>
    <row r="76" spans="1:20" x14ac:dyDescent="0.3">
      <c r="A76" t="s">
        <v>57</v>
      </c>
      <c r="B76" t="s">
        <v>68</v>
      </c>
      <c r="C76" t="s">
        <v>580</v>
      </c>
      <c r="D76" t="s">
        <v>581</v>
      </c>
      <c r="E76" s="2">
        <v>34.143000000000001</v>
      </c>
      <c r="F76" s="2">
        <v>0</v>
      </c>
      <c r="G76" s="2">
        <v>24.500999999999902</v>
      </c>
      <c r="H76" s="2">
        <v>-26.858000000000001</v>
      </c>
      <c r="I76" s="1">
        <v>0.85879975397592401</v>
      </c>
      <c r="J76" s="1">
        <v>0.89331634595671106</v>
      </c>
      <c r="K76" s="1">
        <v>0.68212184428392197</v>
      </c>
      <c r="L76" s="1">
        <v>0.56999425564871298</v>
      </c>
      <c r="M76" s="2"/>
      <c r="N76" s="2"/>
      <c r="Q76" s="1">
        <f t="shared" si="5"/>
        <v>29.321999999999974</v>
      </c>
      <c r="R76">
        <f t="shared" si="4"/>
        <v>30.500499999999985</v>
      </c>
      <c r="S76" s="1">
        <f t="shared" si="6"/>
        <v>23.289686129385949</v>
      </c>
      <c r="T76" s="1">
        <f t="shared" si="7"/>
        <v>19.461313870614006</v>
      </c>
    </row>
    <row r="77" spans="1:20" x14ac:dyDescent="0.3">
      <c r="A77" t="s">
        <v>57</v>
      </c>
      <c r="B77" t="s">
        <v>607</v>
      </c>
      <c r="C77" t="s">
        <v>580</v>
      </c>
      <c r="D77" t="s">
        <v>581</v>
      </c>
      <c r="E77" s="2">
        <v>67.766999999999996</v>
      </c>
      <c r="F77" s="2">
        <v>0</v>
      </c>
      <c r="G77" s="2">
        <v>61.738999999999997</v>
      </c>
      <c r="H77" s="2">
        <v>-44.954999999999998</v>
      </c>
      <c r="I77" s="1">
        <v>0.95552407513981696</v>
      </c>
      <c r="J77" s="1">
        <v>0.83168798972951397</v>
      </c>
      <c r="K77" s="1">
        <v>0.80770538989416496</v>
      </c>
      <c r="L77" s="1">
        <v>0.47950667497516503</v>
      </c>
      <c r="M77" s="2"/>
      <c r="N77" s="2"/>
      <c r="Q77" s="1">
        <f t="shared" si="5"/>
        <v>64.752999999999972</v>
      </c>
      <c r="R77">
        <f t="shared" si="4"/>
        <v>56.360999999999969</v>
      </c>
      <c r="S77" s="1">
        <f t="shared" si="6"/>
        <v>54.735771156957874</v>
      </c>
      <c r="T77" s="1">
        <f t="shared" si="7"/>
        <v>32.494728843042004</v>
      </c>
    </row>
    <row r="78" spans="1:20" x14ac:dyDescent="0.3">
      <c r="A78" t="s">
        <v>57</v>
      </c>
      <c r="B78" t="s">
        <v>608</v>
      </c>
      <c r="C78" t="s">
        <v>580</v>
      </c>
      <c r="D78" t="s">
        <v>581</v>
      </c>
      <c r="E78" s="2">
        <v>103.345</v>
      </c>
      <c r="F78" s="2">
        <v>0</v>
      </c>
      <c r="G78" s="2">
        <v>52.037999999999997</v>
      </c>
      <c r="H78" s="2">
        <v>-51.954999999999998</v>
      </c>
      <c r="I78" s="1">
        <v>0.75176834873482001</v>
      </c>
      <c r="J78" s="1">
        <v>0.75136678116986799</v>
      </c>
      <c r="K78" s="1">
        <v>0.57803823511313501</v>
      </c>
      <c r="L78" s="1">
        <v>0.42509689479155199</v>
      </c>
      <c r="M78" s="2"/>
      <c r="N78" s="2"/>
      <c r="Q78" s="1">
        <f t="shared" si="5"/>
        <v>77.691499999999976</v>
      </c>
      <c r="R78">
        <f t="shared" si="4"/>
        <v>77.650000000000006</v>
      </c>
      <c r="S78" s="1">
        <f t="shared" si="6"/>
        <v>59.73736140776694</v>
      </c>
      <c r="T78" s="1">
        <f t="shared" si="7"/>
        <v>43.931638592232943</v>
      </c>
    </row>
    <row r="79" spans="1:20" x14ac:dyDescent="0.3">
      <c r="A79" t="s">
        <v>57</v>
      </c>
      <c r="B79" t="s">
        <v>69</v>
      </c>
      <c r="C79" t="s">
        <v>580</v>
      </c>
      <c r="D79" t="s">
        <v>581</v>
      </c>
      <c r="E79" s="2">
        <v>153.696</v>
      </c>
      <c r="F79" s="2">
        <v>0</v>
      </c>
      <c r="G79" s="2">
        <v>113.10899999999999</v>
      </c>
      <c r="H79" s="2">
        <v>-132.505</v>
      </c>
      <c r="I79" s="1">
        <v>0.86796338226108605</v>
      </c>
      <c r="J79" s="1">
        <v>0.93106196647928297</v>
      </c>
      <c r="K79" s="1">
        <v>0.70081280948328495</v>
      </c>
      <c r="L79" s="1">
        <v>0.59821253925708495</v>
      </c>
      <c r="M79" s="2"/>
      <c r="N79" s="2"/>
      <c r="Q79" s="1">
        <f t="shared" si="5"/>
        <v>133.40249999999989</v>
      </c>
      <c r="R79">
        <f t="shared" si="4"/>
        <v>143.10049999999987</v>
      </c>
      <c r="S79" s="1">
        <f t="shared" si="6"/>
        <v>107.71212556634296</v>
      </c>
      <c r="T79" s="1">
        <f t="shared" si="7"/>
        <v>91.942874433656925</v>
      </c>
    </row>
    <row r="80" spans="1:20" x14ac:dyDescent="0.3">
      <c r="A80" t="s">
        <v>57</v>
      </c>
      <c r="B80" t="s">
        <v>70</v>
      </c>
      <c r="C80" t="s">
        <v>34</v>
      </c>
      <c r="D80" t="s">
        <v>35</v>
      </c>
      <c r="E80" s="2">
        <v>278.73099999999999</v>
      </c>
      <c r="F80" s="2">
        <v>0</v>
      </c>
      <c r="G80" s="2">
        <v>209.41399999999999</v>
      </c>
      <c r="H80" s="2">
        <v>-238.405</v>
      </c>
      <c r="I80" s="1">
        <v>0.87565609853227599</v>
      </c>
      <c r="J80" s="1">
        <v>0.92766143701274695</v>
      </c>
      <c r="K80" s="1">
        <v>0.75768362428267799</v>
      </c>
      <c r="L80" s="1">
        <v>0.54563391126234495</v>
      </c>
      <c r="M80" s="2"/>
      <c r="N80" s="2"/>
      <c r="Q80" s="1">
        <f t="shared" si="5"/>
        <v>244.07249999999982</v>
      </c>
      <c r="R80">
        <f t="shared" si="4"/>
        <v>258.56799999999998</v>
      </c>
      <c r="S80" s="1">
        <f t="shared" si="6"/>
        <v>211.18991427993512</v>
      </c>
      <c r="T80" s="1">
        <f t="shared" si="7"/>
        <v>152.08508572006465</v>
      </c>
    </row>
    <row r="81" spans="1:20" x14ac:dyDescent="0.3">
      <c r="A81" t="s">
        <v>57</v>
      </c>
      <c r="B81" t="s">
        <v>71</v>
      </c>
      <c r="C81" t="s">
        <v>580</v>
      </c>
      <c r="D81" t="s">
        <v>581</v>
      </c>
      <c r="E81" s="2">
        <v>239.65199999999999</v>
      </c>
      <c r="F81" s="2">
        <v>0</v>
      </c>
      <c r="G81" s="2">
        <v>185.33199999999999</v>
      </c>
      <c r="H81" s="2">
        <v>-180.131</v>
      </c>
      <c r="I81" s="1">
        <v>0.88666900338824595</v>
      </c>
      <c r="J81" s="1">
        <v>0.87581785255286804</v>
      </c>
      <c r="K81" s="1">
        <v>0.72166026980749298</v>
      </c>
      <c r="L81" s="1">
        <v>0.540826586133621</v>
      </c>
      <c r="M81" s="2"/>
      <c r="N81" s="2"/>
      <c r="Q81" s="1">
        <f t="shared" si="5"/>
        <v>212.4919999999999</v>
      </c>
      <c r="R81">
        <f t="shared" si="4"/>
        <v>209.89149999999992</v>
      </c>
      <c r="S81" s="1">
        <f t="shared" si="6"/>
        <v>172.94732697990531</v>
      </c>
      <c r="T81" s="1">
        <f t="shared" si="7"/>
        <v>129.61017302009452</v>
      </c>
    </row>
    <row r="82" spans="1:20" x14ac:dyDescent="0.3">
      <c r="A82" t="s">
        <v>57</v>
      </c>
      <c r="B82" t="s">
        <v>72</v>
      </c>
      <c r="C82" t="s">
        <v>580</v>
      </c>
      <c r="D82" t="s">
        <v>581</v>
      </c>
      <c r="E82" s="2">
        <v>135.48599999999999</v>
      </c>
      <c r="F82" s="2">
        <v>0</v>
      </c>
      <c r="G82" s="2">
        <v>119.129</v>
      </c>
      <c r="H82" s="2">
        <v>-106.20399999999999</v>
      </c>
      <c r="I82" s="1">
        <v>0.93963582953220204</v>
      </c>
      <c r="J82" s="1">
        <v>0.89193717432059405</v>
      </c>
      <c r="K82" s="1">
        <v>0.74107880364954404</v>
      </c>
      <c r="L82" s="1">
        <v>0.59049420020325205</v>
      </c>
      <c r="M82" s="2"/>
      <c r="N82" s="2"/>
      <c r="Q82" s="1">
        <f t="shared" si="5"/>
        <v>127.30749999999992</v>
      </c>
      <c r="R82">
        <f t="shared" si="4"/>
        <v>120.845</v>
      </c>
      <c r="S82" s="1">
        <f t="shared" si="6"/>
        <v>100.40580279126212</v>
      </c>
      <c r="T82" s="1">
        <f t="shared" si="7"/>
        <v>80.003697208737805</v>
      </c>
    </row>
    <row r="83" spans="1:20" x14ac:dyDescent="0.3">
      <c r="A83" t="s">
        <v>57</v>
      </c>
      <c r="B83" t="s">
        <v>73</v>
      </c>
      <c r="C83" t="s">
        <v>580</v>
      </c>
      <c r="D83" t="s">
        <v>581</v>
      </c>
      <c r="E83" s="2">
        <v>209.67699999999999</v>
      </c>
      <c r="F83" s="2">
        <v>0</v>
      </c>
      <c r="G83" s="2">
        <v>116.979</v>
      </c>
      <c r="H83" s="2">
        <v>-102.874</v>
      </c>
      <c r="I83" s="1">
        <v>0.778950480977885</v>
      </c>
      <c r="J83" s="1">
        <v>0.74531541370775001</v>
      </c>
      <c r="K83" s="1">
        <v>0.69877951764242996</v>
      </c>
      <c r="L83" s="1">
        <v>0.32548637704320399</v>
      </c>
      <c r="M83" s="2"/>
      <c r="N83" s="2"/>
      <c r="Q83" s="1">
        <f t="shared" si="5"/>
        <v>163.32799999999997</v>
      </c>
      <c r="R83">
        <f t="shared" si="4"/>
        <v>156.27549999999988</v>
      </c>
      <c r="S83" s="1">
        <f t="shared" si="6"/>
        <v>146.51799292071178</v>
      </c>
      <c r="T83" s="1">
        <f t="shared" si="7"/>
        <v>68.247007079287883</v>
      </c>
    </row>
    <row r="84" spans="1:20" x14ac:dyDescent="0.3">
      <c r="A84" t="s">
        <v>57</v>
      </c>
      <c r="B84" t="s">
        <v>74</v>
      </c>
      <c r="C84" t="s">
        <v>580</v>
      </c>
      <c r="D84" t="s">
        <v>581</v>
      </c>
      <c r="E84" s="2">
        <v>333.44900000000001</v>
      </c>
      <c r="F84" s="2">
        <v>0</v>
      </c>
      <c r="G84" s="2">
        <v>244.75399999999999</v>
      </c>
      <c r="H84" s="2">
        <v>-185.61</v>
      </c>
      <c r="I84" s="1">
        <v>0.86700364973354205</v>
      </c>
      <c r="J84" s="1">
        <v>0.77831842350704294</v>
      </c>
      <c r="K84" s="1">
        <v>0.621405441781961</v>
      </c>
      <c r="L84" s="1">
        <v>0.52391663145862299</v>
      </c>
      <c r="M84" s="2"/>
      <c r="N84" s="2"/>
      <c r="Q84" s="1">
        <f t="shared" si="5"/>
        <v>289.10149999999987</v>
      </c>
      <c r="R84">
        <f t="shared" si="4"/>
        <v>259.52949999999998</v>
      </c>
      <c r="S84" s="1">
        <f t="shared" si="6"/>
        <v>207.20702315675311</v>
      </c>
      <c r="T84" s="1">
        <f t="shared" si="7"/>
        <v>174.69947684324637</v>
      </c>
    </row>
    <row r="85" spans="1:20" x14ac:dyDescent="0.3">
      <c r="A85" t="s">
        <v>57</v>
      </c>
      <c r="B85" t="s">
        <v>609</v>
      </c>
      <c r="C85" t="s">
        <v>580</v>
      </c>
      <c r="D85" t="s">
        <v>581</v>
      </c>
      <c r="E85" s="2">
        <v>160.28700000000001</v>
      </c>
      <c r="F85" s="2">
        <v>0</v>
      </c>
      <c r="G85" s="2">
        <v>134.708</v>
      </c>
      <c r="H85" s="2">
        <v>-129.31700000000001</v>
      </c>
      <c r="I85" s="1">
        <v>0.920208750553694</v>
      </c>
      <c r="J85" s="1">
        <v>0.90339204052730404</v>
      </c>
      <c r="K85" s="1">
        <v>0.764255743737421</v>
      </c>
      <c r="L85" s="1">
        <v>0.55934504734357604</v>
      </c>
      <c r="M85" s="2"/>
      <c r="N85" s="2"/>
      <c r="Q85" s="1">
        <f t="shared" si="5"/>
        <v>147.49749999999995</v>
      </c>
      <c r="R85">
        <f t="shared" si="4"/>
        <v>144.80199999999999</v>
      </c>
      <c r="S85" s="1">
        <f t="shared" si="6"/>
        <v>122.50026039644</v>
      </c>
      <c r="T85" s="1">
        <f t="shared" si="7"/>
        <v>89.65573960355978</v>
      </c>
    </row>
    <row r="86" spans="1:20" x14ac:dyDescent="0.3">
      <c r="A86" t="s">
        <v>57</v>
      </c>
      <c r="B86" t="s">
        <v>75</v>
      </c>
      <c r="C86" t="s">
        <v>580</v>
      </c>
      <c r="D86" t="s">
        <v>581</v>
      </c>
      <c r="E86" s="2">
        <v>48.749000000000002</v>
      </c>
      <c r="F86" s="2">
        <v>0</v>
      </c>
      <c r="G86" s="2">
        <v>33.357999999999997</v>
      </c>
      <c r="H86" s="2">
        <v>-31.279</v>
      </c>
      <c r="I86" s="1">
        <v>0.84214035159695499</v>
      </c>
      <c r="J86" s="1">
        <v>0.820816837268456</v>
      </c>
      <c r="K86" s="1">
        <v>0.71394142779196301</v>
      </c>
      <c r="L86" s="1">
        <v>0.44901576107344898</v>
      </c>
      <c r="M86" s="2"/>
      <c r="N86" s="2"/>
      <c r="Q86" s="1">
        <f t="shared" si="5"/>
        <v>41.053499999999964</v>
      </c>
      <c r="R86">
        <f t="shared" si="4"/>
        <v>40.01399999999996</v>
      </c>
      <c r="S86" s="1">
        <f t="shared" si="6"/>
        <v>34.803930663430407</v>
      </c>
      <c r="T86" s="1">
        <f t="shared" si="7"/>
        <v>21.889069336569566</v>
      </c>
    </row>
    <row r="87" spans="1:20" x14ac:dyDescent="0.3">
      <c r="A87" t="s">
        <v>57</v>
      </c>
      <c r="B87" t="s">
        <v>76</v>
      </c>
      <c r="C87" t="s">
        <v>580</v>
      </c>
      <c r="D87" t="s">
        <v>581</v>
      </c>
      <c r="E87" s="2">
        <v>226.65600000000001</v>
      </c>
      <c r="F87" s="2">
        <v>0</v>
      </c>
      <c r="G87" s="2">
        <v>160.07900000000001</v>
      </c>
      <c r="H87" s="2">
        <v>-172.28399999999999</v>
      </c>
      <c r="I87" s="1">
        <v>0.85313205915572499</v>
      </c>
      <c r="J87" s="1">
        <v>0.88005612028801306</v>
      </c>
      <c r="K87" s="1">
        <v>0.63099874745676199</v>
      </c>
      <c r="L87" s="1">
        <v>0.60218943198697605</v>
      </c>
      <c r="M87" s="2"/>
      <c r="N87" s="2"/>
      <c r="Q87" s="1">
        <f t="shared" si="5"/>
        <v>193.36750000000001</v>
      </c>
      <c r="R87">
        <f t="shared" si="4"/>
        <v>199.46999999999989</v>
      </c>
      <c r="S87" s="1">
        <f t="shared" si="6"/>
        <v>143.01965210355985</v>
      </c>
      <c r="T87" s="1">
        <f t="shared" si="7"/>
        <v>136.48984789644004</v>
      </c>
    </row>
    <row r="88" spans="1:20" x14ac:dyDescent="0.3">
      <c r="A88" t="s">
        <v>57</v>
      </c>
      <c r="B88" t="s">
        <v>77</v>
      </c>
      <c r="C88" t="s">
        <v>580</v>
      </c>
      <c r="D88" t="s">
        <v>581</v>
      </c>
      <c r="E88" s="2">
        <v>138.43700000000001</v>
      </c>
      <c r="F88" s="2">
        <v>0</v>
      </c>
      <c r="G88" s="2">
        <v>71.569000000000003</v>
      </c>
      <c r="H88" s="2">
        <v>-70.032999999999902</v>
      </c>
      <c r="I88" s="1">
        <v>0.75848942118075302</v>
      </c>
      <c r="J88" s="1">
        <v>0.75294177134725504</v>
      </c>
      <c r="K88" s="1">
        <v>0.61929069887806298</v>
      </c>
      <c r="L88" s="1">
        <v>0.39214049364994502</v>
      </c>
      <c r="M88" s="2"/>
      <c r="N88" s="2"/>
      <c r="Q88" s="1">
        <f t="shared" si="5"/>
        <v>105.00299999999991</v>
      </c>
      <c r="R88">
        <f t="shared" si="4"/>
        <v>104.23499999999996</v>
      </c>
      <c r="S88" s="1">
        <f t="shared" si="6"/>
        <v>85.732746480582406</v>
      </c>
      <c r="T88" s="1">
        <f t="shared" si="7"/>
        <v>54.286753519417445</v>
      </c>
    </row>
    <row r="89" spans="1:20" x14ac:dyDescent="0.3">
      <c r="A89" t="s">
        <v>57</v>
      </c>
      <c r="B89" t="s">
        <v>78</v>
      </c>
      <c r="C89" t="s">
        <v>34</v>
      </c>
      <c r="D89" t="s">
        <v>35</v>
      </c>
      <c r="E89" s="2">
        <v>375.53300000000002</v>
      </c>
      <c r="F89" s="2">
        <v>0</v>
      </c>
      <c r="G89" s="2">
        <v>193.02099999999999</v>
      </c>
      <c r="H89" s="2">
        <v>-244.488</v>
      </c>
      <c r="I89" s="1">
        <v>0.75699605627201805</v>
      </c>
      <c r="J89" s="1">
        <v>0.82552132568908698</v>
      </c>
      <c r="K89" s="1">
        <v>0.64416110325585996</v>
      </c>
      <c r="L89" s="1">
        <v>0.43835627870524502</v>
      </c>
      <c r="M89" s="2"/>
      <c r="N89" s="2"/>
      <c r="Q89" s="1">
        <f t="shared" si="5"/>
        <v>284.27699999999976</v>
      </c>
      <c r="R89">
        <f t="shared" si="4"/>
        <v>310.01049999999992</v>
      </c>
      <c r="S89" s="1">
        <f t="shared" si="6"/>
        <v>241.90375158898286</v>
      </c>
      <c r="T89" s="1">
        <f t="shared" si="7"/>
        <v>164.61724841101679</v>
      </c>
    </row>
    <row r="90" spans="1:20" x14ac:dyDescent="0.3">
      <c r="A90" t="s">
        <v>57</v>
      </c>
      <c r="B90" t="s">
        <v>79</v>
      </c>
      <c r="C90" t="s">
        <v>580</v>
      </c>
      <c r="D90" t="s">
        <v>581</v>
      </c>
      <c r="E90" s="2">
        <v>103.20699999999999</v>
      </c>
      <c r="F90" s="2">
        <v>0</v>
      </c>
      <c r="G90" s="2">
        <v>71.270999999999901</v>
      </c>
      <c r="H90" s="2">
        <v>-66.804000000000002</v>
      </c>
      <c r="I90" s="1">
        <v>0.84528181228017396</v>
      </c>
      <c r="J90" s="1">
        <v>0.82364083831523005</v>
      </c>
      <c r="K90" s="1">
        <v>0.60643088137539103</v>
      </c>
      <c r="L90" s="1">
        <v>0.56249176922001298</v>
      </c>
      <c r="M90" s="2"/>
      <c r="N90" s="2"/>
      <c r="Q90" s="1">
        <f t="shared" si="5"/>
        <v>87.238999999999905</v>
      </c>
      <c r="R90">
        <f t="shared" si="4"/>
        <v>85.005499999999941</v>
      </c>
      <c r="S90" s="1">
        <f t="shared" si="6"/>
        <v>62.587911974109979</v>
      </c>
      <c r="T90" s="1">
        <f t="shared" si="7"/>
        <v>58.053088025889878</v>
      </c>
    </row>
    <row r="91" spans="1:20" x14ac:dyDescent="0.3">
      <c r="A91" t="s">
        <v>57</v>
      </c>
      <c r="B91" t="s">
        <v>610</v>
      </c>
      <c r="C91" t="s">
        <v>34</v>
      </c>
      <c r="D91" t="s">
        <v>35</v>
      </c>
      <c r="E91" s="2">
        <v>441.94900000000001</v>
      </c>
      <c r="F91" s="2">
        <v>0</v>
      </c>
      <c r="G91" s="2">
        <v>348.61899999999901</v>
      </c>
      <c r="H91" s="2">
        <v>-307.95699999999999</v>
      </c>
      <c r="I91" s="1">
        <v>0.89441089356464198</v>
      </c>
      <c r="J91" s="1">
        <v>0.84840784796435698</v>
      </c>
      <c r="K91" s="1">
        <v>0.767191435703659</v>
      </c>
      <c r="L91" s="1">
        <v>0.47562730582534002</v>
      </c>
      <c r="M91" s="2"/>
      <c r="N91" s="2"/>
      <c r="Q91" s="1">
        <f t="shared" si="5"/>
        <v>395.28399999999999</v>
      </c>
      <c r="R91">
        <f t="shared" si="4"/>
        <v>374.95299999999963</v>
      </c>
      <c r="S91" s="1">
        <f t="shared" si="6"/>
        <v>339.05948781779642</v>
      </c>
      <c r="T91" s="1">
        <f t="shared" si="7"/>
        <v>210.2030121822032</v>
      </c>
    </row>
    <row r="92" spans="1:20" x14ac:dyDescent="0.3">
      <c r="A92" t="s">
        <v>57</v>
      </c>
      <c r="B92" t="s">
        <v>80</v>
      </c>
      <c r="C92" t="s">
        <v>34</v>
      </c>
      <c r="D92" t="s">
        <v>35</v>
      </c>
      <c r="E92" s="2">
        <v>39.613</v>
      </c>
      <c r="F92" s="2">
        <v>0</v>
      </c>
      <c r="G92" s="2">
        <v>32.192</v>
      </c>
      <c r="H92" s="2">
        <v>-33.865000000000002</v>
      </c>
      <c r="I92" s="1">
        <v>0.90633125489107103</v>
      </c>
      <c r="J92" s="1">
        <v>0.92744805998030899</v>
      </c>
      <c r="K92" s="1">
        <v>0.80108315550033904</v>
      </c>
      <c r="L92" s="1">
        <v>0.53269615937104098</v>
      </c>
      <c r="M92" s="2"/>
      <c r="N92" s="2"/>
      <c r="Q92" s="1">
        <f t="shared" si="5"/>
        <v>35.902499999999996</v>
      </c>
      <c r="R92">
        <f t="shared" si="4"/>
        <v>36.738999999999983</v>
      </c>
      <c r="S92" s="1">
        <f t="shared" si="6"/>
        <v>31.73330703883493</v>
      </c>
      <c r="T92" s="1">
        <f t="shared" si="7"/>
        <v>21.101692961165046</v>
      </c>
    </row>
    <row r="93" spans="1:20" x14ac:dyDescent="0.3">
      <c r="A93" t="s">
        <v>57</v>
      </c>
      <c r="B93" t="s">
        <v>611</v>
      </c>
      <c r="C93" t="s">
        <v>580</v>
      </c>
      <c r="D93" t="s">
        <v>581</v>
      </c>
      <c r="E93" s="2">
        <v>85.769000000000005</v>
      </c>
      <c r="F93" s="2">
        <v>0</v>
      </c>
      <c r="G93" s="2">
        <v>70.876999999999995</v>
      </c>
      <c r="H93" s="2">
        <v>-77.355999999999995</v>
      </c>
      <c r="I93" s="1">
        <v>0.91318541664237596</v>
      </c>
      <c r="J93" s="1">
        <v>0.95095547342279796</v>
      </c>
      <c r="K93" s="1">
        <v>0.763845344296324</v>
      </c>
      <c r="L93" s="1">
        <v>0.60029554576885003</v>
      </c>
      <c r="M93" s="2"/>
      <c r="N93" s="2"/>
      <c r="Q93" s="1">
        <f t="shared" si="5"/>
        <v>78.322999999999951</v>
      </c>
      <c r="R93">
        <f t="shared" si="4"/>
        <v>81.562499999999957</v>
      </c>
      <c r="S93" s="1">
        <f t="shared" si="6"/>
        <v>65.514251334951425</v>
      </c>
      <c r="T93" s="1">
        <f t="shared" si="7"/>
        <v>51.486748665048502</v>
      </c>
    </row>
    <row r="94" spans="1:20" x14ac:dyDescent="0.3">
      <c r="A94" t="s">
        <v>57</v>
      </c>
      <c r="B94" t="s">
        <v>612</v>
      </c>
      <c r="C94" t="s">
        <v>580</v>
      </c>
      <c r="D94" t="s">
        <v>581</v>
      </c>
      <c r="E94" s="2">
        <v>79.474000000000004</v>
      </c>
      <c r="F94" s="2">
        <v>0</v>
      </c>
      <c r="G94" s="2">
        <v>63.078000000000003</v>
      </c>
      <c r="H94" s="2">
        <v>-70.197999999999993</v>
      </c>
      <c r="I94" s="1">
        <v>0.896846767496288</v>
      </c>
      <c r="J94" s="1">
        <v>0.94164129149155695</v>
      </c>
      <c r="K94" s="1">
        <v>0.76084641733800995</v>
      </c>
      <c r="L94" s="1">
        <v>0.577641641649834</v>
      </c>
      <c r="M94" s="2"/>
      <c r="N94" s="2"/>
      <c r="Q94" s="1">
        <f t="shared" si="5"/>
        <v>71.275999999999996</v>
      </c>
      <c r="R94">
        <f t="shared" si="4"/>
        <v>74.835999999999999</v>
      </c>
      <c r="S94" s="1">
        <f t="shared" si="6"/>
        <v>60.467508171521004</v>
      </c>
      <c r="T94" s="1">
        <f t="shared" si="7"/>
        <v>45.907491828478911</v>
      </c>
    </row>
    <row r="95" spans="1:20" x14ac:dyDescent="0.3">
      <c r="A95" t="s">
        <v>57</v>
      </c>
      <c r="B95" t="s">
        <v>613</v>
      </c>
      <c r="C95" t="s">
        <v>580</v>
      </c>
      <c r="D95" t="s">
        <v>581</v>
      </c>
      <c r="E95" s="2">
        <v>138.23099999999999</v>
      </c>
      <c r="F95" s="2">
        <v>0</v>
      </c>
      <c r="G95" s="2">
        <v>104.923999999999</v>
      </c>
      <c r="H95" s="2">
        <v>-107.211</v>
      </c>
      <c r="I95" s="1">
        <v>0.87952412989850304</v>
      </c>
      <c r="J95" s="1">
        <v>0.88779651453002495</v>
      </c>
      <c r="K95" s="1">
        <v>0.64281162174034501</v>
      </c>
      <c r="L95" s="1">
        <v>0.62450902268818398</v>
      </c>
      <c r="M95" s="2"/>
      <c r="N95" s="2"/>
      <c r="Q95" s="1">
        <f t="shared" si="5"/>
        <v>121.57749999999997</v>
      </c>
      <c r="R95">
        <f t="shared" si="4"/>
        <v>122.72099999999988</v>
      </c>
      <c r="S95" s="1">
        <f t="shared" si="6"/>
        <v>88.856493284789622</v>
      </c>
      <c r="T95" s="1">
        <f t="shared" si="7"/>
        <v>86.326506715210357</v>
      </c>
    </row>
    <row r="96" spans="1:20" x14ac:dyDescent="0.3">
      <c r="A96" t="s">
        <v>57</v>
      </c>
      <c r="B96" t="s">
        <v>614</v>
      </c>
      <c r="C96" t="s">
        <v>580</v>
      </c>
      <c r="D96" t="s">
        <v>581</v>
      </c>
      <c r="E96" s="2">
        <v>418.91199999999998</v>
      </c>
      <c r="F96" s="2">
        <v>0</v>
      </c>
      <c r="G96" s="2">
        <v>261.25200000000001</v>
      </c>
      <c r="H96" s="2">
        <v>-204.589</v>
      </c>
      <c r="I96" s="1">
        <v>0.81182205331907398</v>
      </c>
      <c r="J96" s="1">
        <v>0.74419090405622101</v>
      </c>
      <c r="K96" s="1">
        <v>0.64140808730253396</v>
      </c>
      <c r="L96" s="1">
        <v>0.41460487007276198</v>
      </c>
      <c r="M96" s="2"/>
      <c r="N96" s="2"/>
      <c r="Q96" s="1">
        <f t="shared" si="5"/>
        <v>340.08199999999988</v>
      </c>
      <c r="R96">
        <f t="shared" si="4"/>
        <v>311.75049999999965</v>
      </c>
      <c r="S96" s="1">
        <f t="shared" si="6"/>
        <v>268.69354466807908</v>
      </c>
      <c r="T96" s="1">
        <f t="shared" si="7"/>
        <v>173.68295533192085</v>
      </c>
    </row>
    <row r="97" spans="1:20" x14ac:dyDescent="0.3">
      <c r="A97" t="s">
        <v>57</v>
      </c>
      <c r="B97" t="s">
        <v>615</v>
      </c>
      <c r="C97" t="s">
        <v>580</v>
      </c>
      <c r="D97" t="s">
        <v>581</v>
      </c>
      <c r="E97" s="2">
        <v>354.12599999999998</v>
      </c>
      <c r="F97" s="2">
        <v>0</v>
      </c>
      <c r="G97" s="2">
        <v>270.77100000000002</v>
      </c>
      <c r="H97" s="2">
        <v>-324.02100000000002</v>
      </c>
      <c r="I97" s="1">
        <v>0.88230883922671499</v>
      </c>
      <c r="J97" s="1">
        <v>0.95749394283390599</v>
      </c>
      <c r="K97" s="1">
        <v>0.63865524161522402</v>
      </c>
      <c r="L97" s="1">
        <v>0.70114754044539795</v>
      </c>
      <c r="M97" s="2"/>
      <c r="N97" s="2"/>
      <c r="Q97" s="1">
        <f t="shared" si="5"/>
        <v>312.44849999999963</v>
      </c>
      <c r="R97">
        <f t="shared" si="4"/>
        <v>339.0734999999998</v>
      </c>
      <c r="S97" s="1">
        <f t="shared" si="6"/>
        <v>226.16442609223282</v>
      </c>
      <c r="T97" s="1">
        <f t="shared" si="7"/>
        <v>248.29457390776699</v>
      </c>
    </row>
    <row r="98" spans="1:20" x14ac:dyDescent="0.3">
      <c r="A98" t="s">
        <v>57</v>
      </c>
      <c r="B98" t="s">
        <v>616</v>
      </c>
      <c r="C98" t="s">
        <v>580</v>
      </c>
      <c r="D98" t="s">
        <v>581</v>
      </c>
      <c r="E98" s="2">
        <v>200.887</v>
      </c>
      <c r="F98" s="2">
        <v>0</v>
      </c>
      <c r="G98" s="2">
        <v>107.91200000000001</v>
      </c>
      <c r="H98" s="2">
        <v>-97.259</v>
      </c>
      <c r="I98" s="1">
        <v>0.76858880863370904</v>
      </c>
      <c r="J98" s="1">
        <v>0.74207390224354897</v>
      </c>
      <c r="K98" s="1">
        <v>0.61334233403012905</v>
      </c>
      <c r="L98" s="1">
        <v>0.39732037684712901</v>
      </c>
      <c r="M98" s="2"/>
      <c r="N98" s="2"/>
      <c r="Q98" s="1">
        <f t="shared" si="5"/>
        <v>154.3994999999999</v>
      </c>
      <c r="R98">
        <f t="shared" si="4"/>
        <v>149.07299999999981</v>
      </c>
      <c r="S98" s="1">
        <f t="shared" si="6"/>
        <v>123.21250145631053</v>
      </c>
      <c r="T98" s="1">
        <f t="shared" si="7"/>
        <v>79.816498543689207</v>
      </c>
    </row>
    <row r="99" spans="1:20" x14ac:dyDescent="0.3">
      <c r="A99" t="s">
        <v>57</v>
      </c>
      <c r="B99" t="s">
        <v>81</v>
      </c>
      <c r="C99" t="s">
        <v>34</v>
      </c>
      <c r="D99" t="s">
        <v>35</v>
      </c>
      <c r="E99" s="2">
        <v>288</v>
      </c>
      <c r="F99" s="2">
        <v>0</v>
      </c>
      <c r="G99" s="2">
        <v>251.25899999999899</v>
      </c>
      <c r="H99" s="2">
        <v>-181.60399999999899</v>
      </c>
      <c r="I99" s="1">
        <v>0.93621354166666604</v>
      </c>
      <c r="J99" s="1">
        <v>0.81528472222222204</v>
      </c>
      <c r="K99" s="1">
        <v>0.85705965072881396</v>
      </c>
      <c r="L99" s="1">
        <v>0.394438613160074</v>
      </c>
      <c r="M99" s="2"/>
      <c r="N99" s="2"/>
      <c r="Q99" s="1">
        <f t="shared" si="5"/>
        <v>269.62949999999984</v>
      </c>
      <c r="R99">
        <f t="shared" si="4"/>
        <v>234.80199999999994</v>
      </c>
      <c r="S99" s="1">
        <f t="shared" si="6"/>
        <v>246.83317940989843</v>
      </c>
      <c r="T99" s="1">
        <f t="shared" si="7"/>
        <v>113.59832059010131</v>
      </c>
    </row>
    <row r="100" spans="1:20" x14ac:dyDescent="0.3">
      <c r="A100" t="s">
        <v>57</v>
      </c>
      <c r="B100" t="s">
        <v>617</v>
      </c>
      <c r="C100" t="s">
        <v>34</v>
      </c>
      <c r="D100" t="s">
        <v>35</v>
      </c>
      <c r="E100" s="2">
        <v>224.148</v>
      </c>
      <c r="F100" s="2">
        <v>0</v>
      </c>
      <c r="G100" s="2">
        <v>155.48699999999999</v>
      </c>
      <c r="H100" s="2">
        <v>-143.35599999999999</v>
      </c>
      <c r="I100" s="1">
        <v>0.84684003426307597</v>
      </c>
      <c r="J100" s="1">
        <v>0.81977978835412302</v>
      </c>
      <c r="K100" s="1">
        <v>0.718426328507073</v>
      </c>
      <c r="L100" s="1">
        <v>0.44819349411012599</v>
      </c>
      <c r="M100" s="2"/>
      <c r="N100" s="2"/>
      <c r="Q100" s="1">
        <f t="shared" si="5"/>
        <v>189.81749999999994</v>
      </c>
      <c r="R100">
        <f t="shared" si="4"/>
        <v>183.75199999999995</v>
      </c>
      <c r="S100" s="1">
        <f t="shared" si="6"/>
        <v>161.0338246822034</v>
      </c>
      <c r="T100" s="1">
        <f t="shared" si="7"/>
        <v>100.46167531779652</v>
      </c>
    </row>
    <row r="101" spans="1:20" x14ac:dyDescent="0.3">
      <c r="A101" t="s">
        <v>57</v>
      </c>
      <c r="B101" t="s">
        <v>82</v>
      </c>
      <c r="C101" t="s">
        <v>574</v>
      </c>
      <c r="D101" t="s">
        <v>575</v>
      </c>
      <c r="E101" s="2">
        <v>0</v>
      </c>
      <c r="F101" s="2">
        <v>0</v>
      </c>
      <c r="G101" s="2">
        <v>0</v>
      </c>
      <c r="H101" s="2">
        <v>0</v>
      </c>
      <c r="I101" s="1">
        <v>0</v>
      </c>
      <c r="J101" s="1">
        <v>0</v>
      </c>
      <c r="K101" s="1">
        <v>0</v>
      </c>
      <c r="L101" s="1">
        <v>0</v>
      </c>
      <c r="M101" s="2"/>
      <c r="N101" s="2"/>
      <c r="Q101" s="1">
        <f t="shared" si="5"/>
        <v>0</v>
      </c>
      <c r="R101">
        <f t="shared" si="4"/>
        <v>0</v>
      </c>
      <c r="S101" s="1">
        <f t="shared" si="6"/>
        <v>0</v>
      </c>
      <c r="T101" s="1">
        <f t="shared" si="7"/>
        <v>0</v>
      </c>
    </row>
    <row r="102" spans="1:20" x14ac:dyDescent="0.3">
      <c r="A102" t="s">
        <v>57</v>
      </c>
      <c r="B102" t="s">
        <v>83</v>
      </c>
      <c r="C102" t="s">
        <v>34</v>
      </c>
      <c r="D102" t="s">
        <v>35</v>
      </c>
      <c r="E102" s="2">
        <v>390.44</v>
      </c>
      <c r="F102" s="2">
        <v>0</v>
      </c>
      <c r="G102" s="2">
        <v>316.433999999999</v>
      </c>
      <c r="H102" s="2">
        <v>-233.09100000000001</v>
      </c>
      <c r="I102" s="1">
        <v>0.90522743571355402</v>
      </c>
      <c r="J102" s="1">
        <v>0.79849784858108797</v>
      </c>
      <c r="K102" s="1">
        <v>0.80673612310926002</v>
      </c>
      <c r="L102" s="1">
        <v>0.39698916118538102</v>
      </c>
      <c r="M102" s="2"/>
      <c r="N102" s="2"/>
      <c r="Q102" s="1">
        <f t="shared" si="5"/>
        <v>353.43700000000001</v>
      </c>
      <c r="R102">
        <f t="shared" si="4"/>
        <v>311.76549999999997</v>
      </c>
      <c r="S102" s="1">
        <f t="shared" si="6"/>
        <v>314.98205190677947</v>
      </c>
      <c r="T102" s="1">
        <f t="shared" si="7"/>
        <v>155.00044809322017</v>
      </c>
    </row>
    <row r="103" spans="1:20" x14ac:dyDescent="0.3">
      <c r="A103" t="s">
        <v>57</v>
      </c>
      <c r="B103" t="s">
        <v>84</v>
      </c>
      <c r="C103" t="s">
        <v>34</v>
      </c>
      <c r="D103" t="s">
        <v>35</v>
      </c>
      <c r="E103" s="2">
        <v>455.59800000000001</v>
      </c>
      <c r="F103" s="2">
        <v>0</v>
      </c>
      <c r="G103" s="2">
        <v>340.36399999999998</v>
      </c>
      <c r="H103" s="2">
        <v>-327.41899999999998</v>
      </c>
      <c r="I103" s="1">
        <v>0.87353544133205097</v>
      </c>
      <c r="J103" s="1">
        <v>0.85932883814239702</v>
      </c>
      <c r="K103" s="1">
        <v>0.74804523360108599</v>
      </c>
      <c r="L103" s="1">
        <v>0.484819045873362</v>
      </c>
      <c r="M103" s="2"/>
      <c r="N103" s="2"/>
      <c r="Q103" s="1">
        <f t="shared" si="5"/>
        <v>397.98099999999977</v>
      </c>
      <c r="R103">
        <f t="shared" si="4"/>
        <v>391.5084999999998</v>
      </c>
      <c r="S103" s="1">
        <f t="shared" si="6"/>
        <v>340.80791233818758</v>
      </c>
      <c r="T103" s="1">
        <f t="shared" si="7"/>
        <v>220.88258766181198</v>
      </c>
    </row>
    <row r="104" spans="1:20" x14ac:dyDescent="0.3">
      <c r="A104" t="s">
        <v>57</v>
      </c>
      <c r="B104" t="s">
        <v>85</v>
      </c>
      <c r="C104" t="s">
        <v>580</v>
      </c>
      <c r="D104" t="s">
        <v>581</v>
      </c>
      <c r="E104" s="2">
        <v>232.63300000000001</v>
      </c>
      <c r="F104" s="2">
        <v>0</v>
      </c>
      <c r="G104" s="2">
        <v>126.08199999999999</v>
      </c>
      <c r="H104" s="2">
        <v>-82.203999999999994</v>
      </c>
      <c r="I104" s="1">
        <v>0.770989068618811</v>
      </c>
      <c r="J104" s="1">
        <v>0.676681726152351</v>
      </c>
      <c r="K104" s="1">
        <v>0.64427730205960598</v>
      </c>
      <c r="L104" s="1">
        <v>0.30339349271155602</v>
      </c>
      <c r="M104" s="2"/>
      <c r="N104" s="2"/>
      <c r="Q104" s="1">
        <f t="shared" si="5"/>
        <v>179.35749999999987</v>
      </c>
      <c r="R104">
        <f t="shared" si="4"/>
        <v>157.41849999999988</v>
      </c>
      <c r="S104" s="1">
        <f t="shared" si="6"/>
        <v>149.88016161003233</v>
      </c>
      <c r="T104" s="1">
        <f t="shared" si="7"/>
        <v>70.579338389967418</v>
      </c>
    </row>
    <row r="105" spans="1:20" x14ac:dyDescent="0.3">
      <c r="A105" t="s">
        <v>57</v>
      </c>
      <c r="B105" t="s">
        <v>86</v>
      </c>
      <c r="C105" t="s">
        <v>34</v>
      </c>
      <c r="D105" t="s">
        <v>35</v>
      </c>
      <c r="E105" s="2">
        <v>60.182000000000002</v>
      </c>
      <c r="F105" s="2">
        <v>0</v>
      </c>
      <c r="G105" s="2">
        <v>50.442</v>
      </c>
      <c r="H105" s="2">
        <v>-51.727999999999902</v>
      </c>
      <c r="I105" s="1">
        <v>0.91907879432388395</v>
      </c>
      <c r="J105" s="1">
        <v>0.92976305207537102</v>
      </c>
      <c r="K105" s="1">
        <v>0.81279246372303804</v>
      </c>
      <c r="L105" s="1">
        <v>0.53604938267621605</v>
      </c>
      <c r="M105" s="2"/>
      <c r="N105" s="2"/>
      <c r="Q105" s="1">
        <f t="shared" si="5"/>
        <v>55.311999999999983</v>
      </c>
      <c r="R105">
        <f t="shared" si="4"/>
        <v>55.954999999999984</v>
      </c>
      <c r="S105" s="1">
        <f t="shared" si="6"/>
        <v>48.915476051779876</v>
      </c>
      <c r="T105" s="1">
        <f t="shared" si="7"/>
        <v>32.260523948220033</v>
      </c>
    </row>
    <row r="106" spans="1:20" x14ac:dyDescent="0.3">
      <c r="A106" t="s">
        <v>57</v>
      </c>
      <c r="B106" t="s">
        <v>87</v>
      </c>
      <c r="C106" t="s">
        <v>34</v>
      </c>
      <c r="D106" t="s">
        <v>35</v>
      </c>
      <c r="E106" s="2">
        <v>79.507000000000005</v>
      </c>
      <c r="F106" s="2">
        <v>0</v>
      </c>
      <c r="G106" s="2">
        <v>57.397999999999897</v>
      </c>
      <c r="H106" s="2">
        <v>-71.603999999999999</v>
      </c>
      <c r="I106" s="1">
        <v>0.86096192788056303</v>
      </c>
      <c r="J106" s="1">
        <v>0.95029997358723095</v>
      </c>
      <c r="K106" s="1">
        <v>0.75002974643429099</v>
      </c>
      <c r="L106" s="1">
        <v>0.56123215503350299</v>
      </c>
      <c r="M106" s="2"/>
      <c r="N106" s="2"/>
      <c r="Q106" s="1">
        <f t="shared" si="5"/>
        <v>68.45249999999993</v>
      </c>
      <c r="R106">
        <f t="shared" si="4"/>
        <v>75.555499999999981</v>
      </c>
      <c r="S106" s="1">
        <f t="shared" si="6"/>
        <v>59.63261504975118</v>
      </c>
      <c r="T106" s="1">
        <f t="shared" si="7"/>
        <v>44.621884950248727</v>
      </c>
    </row>
    <row r="107" spans="1:20" x14ac:dyDescent="0.3">
      <c r="A107" t="s">
        <v>57</v>
      </c>
      <c r="B107" t="s">
        <v>88</v>
      </c>
      <c r="C107" t="s">
        <v>580</v>
      </c>
      <c r="D107" t="s">
        <v>581</v>
      </c>
      <c r="E107" s="2">
        <v>142.47999999999999</v>
      </c>
      <c r="F107" s="2">
        <v>0</v>
      </c>
      <c r="G107" s="2">
        <v>93.075000000000003</v>
      </c>
      <c r="H107" s="2">
        <v>-73.363</v>
      </c>
      <c r="I107" s="1">
        <v>0.82662478944413198</v>
      </c>
      <c r="J107" s="1">
        <v>0.75745016844469404</v>
      </c>
      <c r="K107" s="1">
        <v>0.65673784397605806</v>
      </c>
      <c r="L107" s="1">
        <v>0.42733711391276802</v>
      </c>
      <c r="M107" s="2"/>
      <c r="N107" s="2"/>
      <c r="Q107" s="1">
        <f t="shared" si="5"/>
        <v>117.77749999999992</v>
      </c>
      <c r="R107">
        <f t="shared" si="4"/>
        <v>107.92149999999999</v>
      </c>
      <c r="S107" s="1">
        <f t="shared" si="6"/>
        <v>93.572008009708739</v>
      </c>
      <c r="T107" s="1">
        <f t="shared" si="7"/>
        <v>60.886991990291186</v>
      </c>
    </row>
    <row r="108" spans="1:20" x14ac:dyDescent="0.3">
      <c r="A108" t="s">
        <v>57</v>
      </c>
      <c r="B108" t="s">
        <v>618</v>
      </c>
      <c r="C108" t="s">
        <v>580</v>
      </c>
      <c r="D108" t="s">
        <v>581</v>
      </c>
      <c r="E108" s="2">
        <v>160.833</v>
      </c>
      <c r="F108" s="2">
        <v>0</v>
      </c>
      <c r="G108" s="2">
        <v>147.51499999999999</v>
      </c>
      <c r="H108" s="2">
        <v>-151.66900000000001</v>
      </c>
      <c r="I108" s="1">
        <v>0.958596805381979</v>
      </c>
      <c r="J108" s="1">
        <v>0.97151082178408599</v>
      </c>
      <c r="K108" s="1">
        <v>0.80237020336296405</v>
      </c>
      <c r="L108" s="1">
        <v>0.62773742380310105</v>
      </c>
      <c r="M108" s="2"/>
      <c r="N108" s="2"/>
      <c r="Q108" s="1">
        <f t="shared" si="5"/>
        <v>154.17399999999984</v>
      </c>
      <c r="R108">
        <f t="shared" si="4"/>
        <v>156.25099999999989</v>
      </c>
      <c r="S108" s="1">
        <f t="shared" si="6"/>
        <v>129.0476069174756</v>
      </c>
      <c r="T108" s="1">
        <f t="shared" si="7"/>
        <v>100.96089308252415</v>
      </c>
    </row>
    <row r="109" spans="1:20" x14ac:dyDescent="0.3">
      <c r="A109" t="s">
        <v>57</v>
      </c>
      <c r="B109" t="s">
        <v>619</v>
      </c>
      <c r="C109" t="s">
        <v>34</v>
      </c>
      <c r="D109" t="s">
        <v>35</v>
      </c>
      <c r="E109" s="2">
        <v>160</v>
      </c>
      <c r="F109" s="2">
        <v>0</v>
      </c>
      <c r="G109" s="2">
        <v>124.414</v>
      </c>
      <c r="H109" s="2">
        <v>-151</v>
      </c>
      <c r="I109" s="1">
        <v>0.88879374999999905</v>
      </c>
      <c r="J109" s="1">
        <v>0.97187500000000004</v>
      </c>
      <c r="K109" s="1">
        <v>0.77952983641787998</v>
      </c>
      <c r="L109" s="1">
        <v>0.581138913582119</v>
      </c>
      <c r="M109" s="2"/>
      <c r="N109" s="2"/>
      <c r="Q109" s="1">
        <f t="shared" si="5"/>
        <v>142.20699999999985</v>
      </c>
      <c r="R109">
        <f t="shared" si="4"/>
        <v>155.5</v>
      </c>
      <c r="S109" s="1">
        <f t="shared" si="6"/>
        <v>124.7247738268608</v>
      </c>
      <c r="T109" s="1">
        <f t="shared" si="7"/>
        <v>92.98222617313904</v>
      </c>
    </row>
    <row r="110" spans="1:20" x14ac:dyDescent="0.3">
      <c r="A110" t="s">
        <v>57</v>
      </c>
      <c r="B110" t="s">
        <v>620</v>
      </c>
      <c r="C110" t="s">
        <v>580</v>
      </c>
      <c r="D110" t="s">
        <v>581</v>
      </c>
      <c r="E110" s="2">
        <v>139.46600000000001</v>
      </c>
      <c r="F110" s="2">
        <v>0</v>
      </c>
      <c r="G110" s="2">
        <v>90.896000000000001</v>
      </c>
      <c r="H110" s="2">
        <v>-76.403999999999996</v>
      </c>
      <c r="I110" s="1">
        <v>0.82587153858287998</v>
      </c>
      <c r="J110" s="1">
        <v>0.77391622330890597</v>
      </c>
      <c r="K110" s="1">
        <v>0.61075300010483802</v>
      </c>
      <c r="L110" s="1">
        <v>0.48903476178694899</v>
      </c>
      <c r="M110" s="2"/>
      <c r="N110" s="2"/>
      <c r="Q110" s="1">
        <f t="shared" si="5"/>
        <v>115.18099999999994</v>
      </c>
      <c r="R110">
        <f t="shared" si="4"/>
        <v>107.93499999999989</v>
      </c>
      <c r="S110" s="1">
        <f t="shared" si="6"/>
        <v>85.179277912621345</v>
      </c>
      <c r="T110" s="1">
        <f t="shared" si="7"/>
        <v>68.203722087378637</v>
      </c>
    </row>
    <row r="111" spans="1:20" x14ac:dyDescent="0.3">
      <c r="A111" t="s">
        <v>57</v>
      </c>
      <c r="B111" t="s">
        <v>89</v>
      </c>
      <c r="C111" t="s">
        <v>580</v>
      </c>
      <c r="D111" t="s">
        <v>581</v>
      </c>
      <c r="E111" s="2">
        <v>86.331000000000003</v>
      </c>
      <c r="F111" s="2">
        <v>0</v>
      </c>
      <c r="G111" s="2">
        <v>70.162999999999997</v>
      </c>
      <c r="H111" s="2">
        <v>-80.337999999999994</v>
      </c>
      <c r="I111" s="1">
        <v>0.90636040356303005</v>
      </c>
      <c r="J111" s="1">
        <v>0.96529056769874</v>
      </c>
      <c r="K111" s="1">
        <v>0.71557070562577296</v>
      </c>
      <c r="L111" s="1">
        <v>0.65608026563599797</v>
      </c>
      <c r="M111" s="2"/>
      <c r="N111" s="2"/>
      <c r="Q111" s="1">
        <f t="shared" si="5"/>
        <v>78.246999999999943</v>
      </c>
      <c r="R111">
        <f t="shared" si="4"/>
        <v>83.33449999999992</v>
      </c>
      <c r="S111" s="1">
        <f t="shared" si="6"/>
        <v>61.775934587378607</v>
      </c>
      <c r="T111" s="1">
        <f t="shared" si="7"/>
        <v>56.64006541262134</v>
      </c>
    </row>
    <row r="112" spans="1:20" x14ac:dyDescent="0.3">
      <c r="A112" t="s">
        <v>57</v>
      </c>
      <c r="B112" t="s">
        <v>621</v>
      </c>
      <c r="C112" t="s">
        <v>580</v>
      </c>
      <c r="D112" t="s">
        <v>581</v>
      </c>
      <c r="E112" s="2">
        <v>56.652000000000001</v>
      </c>
      <c r="F112" s="2">
        <v>0</v>
      </c>
      <c r="G112" s="2">
        <v>50.462000000000003</v>
      </c>
      <c r="H112" s="2">
        <v>-52.241</v>
      </c>
      <c r="I112" s="1">
        <v>0.94536821294923301</v>
      </c>
      <c r="J112" s="1">
        <v>0.96106933559274099</v>
      </c>
      <c r="K112" s="1">
        <v>0.69659742101724997</v>
      </c>
      <c r="L112" s="1">
        <v>0.70984012752472503</v>
      </c>
      <c r="M112" s="2"/>
      <c r="N112" s="2"/>
      <c r="Q112" s="1">
        <f t="shared" si="5"/>
        <v>53.556999999999952</v>
      </c>
      <c r="R112">
        <f t="shared" si="4"/>
        <v>54.446499999999965</v>
      </c>
      <c r="S112" s="1">
        <f t="shared" si="6"/>
        <v>39.463637095469245</v>
      </c>
      <c r="T112" s="1">
        <f t="shared" si="7"/>
        <v>40.213862904530721</v>
      </c>
    </row>
    <row r="113" spans="1:20" x14ac:dyDescent="0.3">
      <c r="A113" t="s">
        <v>57</v>
      </c>
      <c r="B113" t="s">
        <v>622</v>
      </c>
      <c r="C113" t="s">
        <v>580</v>
      </c>
      <c r="D113" t="s">
        <v>581</v>
      </c>
      <c r="E113" s="2">
        <v>87.088999999999999</v>
      </c>
      <c r="F113" s="2">
        <v>0</v>
      </c>
      <c r="G113" s="2">
        <v>68.790999999999997</v>
      </c>
      <c r="H113" s="2">
        <v>-77.182999999999893</v>
      </c>
      <c r="I113" s="1">
        <v>0.89494654893270098</v>
      </c>
      <c r="J113" s="1">
        <v>0.94312714579338297</v>
      </c>
      <c r="K113" s="1">
        <v>0.753628622986246</v>
      </c>
      <c r="L113" s="1">
        <v>0.58444507173983795</v>
      </c>
      <c r="M113" s="2"/>
      <c r="N113" s="2"/>
      <c r="Q113" s="1">
        <f t="shared" si="5"/>
        <v>77.94</v>
      </c>
      <c r="R113">
        <f t="shared" si="4"/>
        <v>82.135999999999925</v>
      </c>
      <c r="S113" s="1">
        <f t="shared" si="6"/>
        <v>65.632763147249179</v>
      </c>
      <c r="T113" s="1">
        <f t="shared" si="7"/>
        <v>50.898736852750744</v>
      </c>
    </row>
    <row r="114" spans="1:20" x14ac:dyDescent="0.3">
      <c r="A114" t="s">
        <v>57</v>
      </c>
      <c r="B114" t="s">
        <v>623</v>
      </c>
      <c r="C114" t="s">
        <v>580</v>
      </c>
      <c r="D114" t="s">
        <v>581</v>
      </c>
      <c r="E114" s="2">
        <v>49.572000000000003</v>
      </c>
      <c r="F114" s="2">
        <v>0</v>
      </c>
      <c r="G114" s="2">
        <v>43.215000000000003</v>
      </c>
      <c r="H114" s="2">
        <v>-43.453000000000003</v>
      </c>
      <c r="I114" s="1">
        <v>0.93588114258048904</v>
      </c>
      <c r="J114" s="1">
        <v>0.93828169127733396</v>
      </c>
      <c r="K114" s="1">
        <v>0.77511935011595701</v>
      </c>
      <c r="L114" s="1">
        <v>0.599043483741865</v>
      </c>
      <c r="M114" s="2"/>
      <c r="N114" s="2"/>
      <c r="Q114" s="1">
        <f t="shared" si="5"/>
        <v>46.393500000000003</v>
      </c>
      <c r="R114">
        <f t="shared" si="4"/>
        <v>46.512500000000003</v>
      </c>
      <c r="S114" s="1">
        <f t="shared" si="6"/>
        <v>38.424216423948224</v>
      </c>
      <c r="T114" s="1">
        <f t="shared" si="7"/>
        <v>29.695783576051735</v>
      </c>
    </row>
    <row r="115" spans="1:20" x14ac:dyDescent="0.3">
      <c r="A115" t="s">
        <v>57</v>
      </c>
      <c r="B115" t="s">
        <v>624</v>
      </c>
      <c r="C115" t="s">
        <v>580</v>
      </c>
      <c r="D115" t="s">
        <v>581</v>
      </c>
      <c r="E115" s="2">
        <v>190.82</v>
      </c>
      <c r="F115" s="2">
        <v>0</v>
      </c>
      <c r="G115" s="2">
        <v>166.03299999999999</v>
      </c>
      <c r="H115" s="2">
        <v>-163.417</v>
      </c>
      <c r="I115" s="1">
        <v>0.93505135730007305</v>
      </c>
      <c r="J115" s="1">
        <v>0.928196729902525</v>
      </c>
      <c r="K115" s="1">
        <v>0.79186056977753505</v>
      </c>
      <c r="L115" s="1">
        <v>0.571387517425064</v>
      </c>
      <c r="M115" s="2"/>
      <c r="N115" s="2"/>
      <c r="Q115" s="1">
        <f t="shared" si="5"/>
        <v>178.42649999999992</v>
      </c>
      <c r="R115">
        <f t="shared" si="4"/>
        <v>177.11849999999981</v>
      </c>
      <c r="S115" s="1">
        <f t="shared" si="6"/>
        <v>151.10283392494924</v>
      </c>
      <c r="T115" s="1">
        <f t="shared" si="7"/>
        <v>109.03216607505071</v>
      </c>
    </row>
    <row r="116" spans="1:20" x14ac:dyDescent="0.3">
      <c r="A116" t="s">
        <v>57</v>
      </c>
      <c r="B116" t="s">
        <v>625</v>
      </c>
      <c r="C116" t="s">
        <v>580</v>
      </c>
      <c r="D116" t="s">
        <v>581</v>
      </c>
      <c r="E116" s="2">
        <v>177.047</v>
      </c>
      <c r="F116" s="2">
        <v>0</v>
      </c>
      <c r="G116" s="2">
        <v>140.82900000000001</v>
      </c>
      <c r="H116" s="2">
        <v>-146.01499999999999</v>
      </c>
      <c r="I116" s="1">
        <v>0.89771642558190701</v>
      </c>
      <c r="J116" s="1">
        <v>0.91236225409072103</v>
      </c>
      <c r="K116" s="1">
        <v>0.68234016348172</v>
      </c>
      <c r="L116" s="1">
        <v>0.62773851619090804</v>
      </c>
      <c r="M116" s="2"/>
      <c r="N116" s="2"/>
      <c r="Q116" s="1">
        <f t="shared" si="5"/>
        <v>158.93799999999987</v>
      </c>
      <c r="R116">
        <f t="shared" si="4"/>
        <v>161.53099999999989</v>
      </c>
      <c r="S116" s="1">
        <f t="shared" si="6"/>
        <v>120.80627892394808</v>
      </c>
      <c r="T116" s="1">
        <f t="shared" si="7"/>
        <v>111.1392210760517</v>
      </c>
    </row>
    <row r="117" spans="1:20" x14ac:dyDescent="0.3">
      <c r="A117" t="s">
        <v>57</v>
      </c>
      <c r="B117" t="s">
        <v>90</v>
      </c>
      <c r="C117" t="s">
        <v>580</v>
      </c>
      <c r="D117" t="s">
        <v>581</v>
      </c>
      <c r="E117" s="2">
        <v>584.71699999999998</v>
      </c>
      <c r="F117" s="2">
        <v>0</v>
      </c>
      <c r="G117" s="2">
        <v>312.28800000000001</v>
      </c>
      <c r="H117" s="2">
        <v>-310.303</v>
      </c>
      <c r="I117" s="1">
        <v>0.76704200493572094</v>
      </c>
      <c r="J117" s="1">
        <v>0.76534460260262605</v>
      </c>
      <c r="K117" s="1">
        <v>0.60063916538375905</v>
      </c>
      <c r="L117" s="1">
        <v>0.43174744215458699</v>
      </c>
      <c r="M117" s="2"/>
      <c r="N117" s="2"/>
      <c r="Q117" s="1">
        <f t="shared" si="5"/>
        <v>448.50249999999994</v>
      </c>
      <c r="R117">
        <f t="shared" si="4"/>
        <v>447.50999999999971</v>
      </c>
      <c r="S117" s="1">
        <f t="shared" si="6"/>
        <v>351.20393086569544</v>
      </c>
      <c r="T117" s="1">
        <f t="shared" si="7"/>
        <v>252.45006913430365</v>
      </c>
    </row>
    <row r="118" spans="1:20" x14ac:dyDescent="0.3">
      <c r="A118" t="s">
        <v>57</v>
      </c>
      <c r="B118" t="s">
        <v>91</v>
      </c>
      <c r="C118" t="s">
        <v>580</v>
      </c>
      <c r="D118" t="s">
        <v>581</v>
      </c>
      <c r="E118" s="2">
        <v>59.27</v>
      </c>
      <c r="F118" s="2">
        <v>0</v>
      </c>
      <c r="G118" s="2">
        <v>38.926000000000002</v>
      </c>
      <c r="H118" s="2">
        <v>-48.348999999999997</v>
      </c>
      <c r="I118" s="1">
        <v>0.82837860637759397</v>
      </c>
      <c r="J118" s="1">
        <v>0.90787076092458197</v>
      </c>
      <c r="K118" s="1">
        <v>0.64278928350486397</v>
      </c>
      <c r="L118" s="1">
        <v>0.59346008379731097</v>
      </c>
      <c r="M118" s="2"/>
      <c r="N118" s="2"/>
      <c r="Q118" s="1">
        <f t="shared" si="5"/>
        <v>49.097999999999999</v>
      </c>
      <c r="R118">
        <f t="shared" si="4"/>
        <v>53.809499999999979</v>
      </c>
      <c r="S118" s="1">
        <f t="shared" si="6"/>
        <v>38.09812083333329</v>
      </c>
      <c r="T118" s="1">
        <f t="shared" si="7"/>
        <v>35.174379166666625</v>
      </c>
    </row>
    <row r="119" spans="1:20" x14ac:dyDescent="0.3">
      <c r="A119" t="s">
        <v>57</v>
      </c>
      <c r="B119" t="s">
        <v>92</v>
      </c>
      <c r="C119" t="s">
        <v>580</v>
      </c>
      <c r="D119" t="s">
        <v>581</v>
      </c>
      <c r="E119" s="2">
        <v>86.406999999999996</v>
      </c>
      <c r="F119" s="2">
        <v>0</v>
      </c>
      <c r="G119" s="2">
        <v>46.058</v>
      </c>
      <c r="H119" s="2">
        <v>-61.397999999999897</v>
      </c>
      <c r="I119" s="1">
        <v>0.76651775897786001</v>
      </c>
      <c r="J119" s="1">
        <v>0.85528371543972104</v>
      </c>
      <c r="K119" s="1">
        <v>0.58027604589598702</v>
      </c>
      <c r="L119" s="1">
        <v>0.54152542852159402</v>
      </c>
      <c r="M119" s="2"/>
      <c r="N119" s="2"/>
      <c r="Q119" s="1">
        <f t="shared" si="5"/>
        <v>66.232499999999945</v>
      </c>
      <c r="R119">
        <f t="shared" si="4"/>
        <v>73.902499999999975</v>
      </c>
      <c r="S119" s="1">
        <f t="shared" si="6"/>
        <v>50.139912297734547</v>
      </c>
      <c r="T119" s="1">
        <f t="shared" si="7"/>
        <v>46.791587702265375</v>
      </c>
    </row>
    <row r="120" spans="1:20" x14ac:dyDescent="0.3">
      <c r="A120" t="s">
        <v>57</v>
      </c>
      <c r="B120" t="s">
        <v>93</v>
      </c>
      <c r="C120" t="s">
        <v>580</v>
      </c>
      <c r="D120" t="s">
        <v>581</v>
      </c>
      <c r="E120" s="2">
        <v>77.662000000000006</v>
      </c>
      <c r="F120" s="2">
        <v>0</v>
      </c>
      <c r="G120" s="2">
        <v>52.542000000000002</v>
      </c>
      <c r="H120" s="2">
        <v>-58.418999999999997</v>
      </c>
      <c r="I120" s="1">
        <v>0.83827354433313495</v>
      </c>
      <c r="J120" s="1">
        <v>0.87611058175169299</v>
      </c>
      <c r="K120" s="1">
        <v>0.58741440795767597</v>
      </c>
      <c r="L120" s="1">
        <v>0.62696971812715196</v>
      </c>
      <c r="M120" s="2"/>
      <c r="N120" s="2"/>
      <c r="Q120" s="1">
        <f t="shared" si="5"/>
        <v>65.101999999999933</v>
      </c>
      <c r="R120">
        <f t="shared" si="4"/>
        <v>68.04049999999998</v>
      </c>
      <c r="S120" s="1">
        <f t="shared" si="6"/>
        <v>45.619777750809035</v>
      </c>
      <c r="T120" s="1">
        <f t="shared" si="7"/>
        <v>48.691722249190882</v>
      </c>
    </row>
    <row r="121" spans="1:20" x14ac:dyDescent="0.3">
      <c r="A121" t="s">
        <v>57</v>
      </c>
      <c r="B121" t="s">
        <v>626</v>
      </c>
      <c r="C121" t="s">
        <v>34</v>
      </c>
      <c r="D121" t="s">
        <v>35</v>
      </c>
      <c r="E121" s="2">
        <v>185.143</v>
      </c>
      <c r="F121" s="2">
        <v>0</v>
      </c>
      <c r="G121" s="2">
        <v>107.99299999999999</v>
      </c>
      <c r="H121" s="2">
        <v>-104.48399999999999</v>
      </c>
      <c r="I121" s="1">
        <v>0.79164753730899895</v>
      </c>
      <c r="J121" s="1">
        <v>0.78217107857169799</v>
      </c>
      <c r="K121" s="1">
        <v>0.71940317208143401</v>
      </c>
      <c r="L121" s="1">
        <v>0.35441544379926199</v>
      </c>
      <c r="M121" s="2"/>
      <c r="N121" s="2"/>
      <c r="Q121" s="1">
        <f t="shared" si="5"/>
        <v>146.56799999999998</v>
      </c>
      <c r="R121">
        <f t="shared" si="4"/>
        <v>144.81349999999989</v>
      </c>
      <c r="S121" s="1">
        <f t="shared" si="6"/>
        <v>133.19246148867293</v>
      </c>
      <c r="T121" s="1">
        <f t="shared" si="7"/>
        <v>65.617538511326757</v>
      </c>
    </row>
    <row r="122" spans="1:20" x14ac:dyDescent="0.3">
      <c r="A122" t="s">
        <v>57</v>
      </c>
      <c r="B122" t="s">
        <v>94</v>
      </c>
      <c r="C122" t="s">
        <v>580</v>
      </c>
      <c r="D122" t="s">
        <v>581</v>
      </c>
      <c r="E122" s="2">
        <v>164.011</v>
      </c>
      <c r="F122" s="2">
        <v>0</v>
      </c>
      <c r="G122" s="2">
        <v>110.07599999999999</v>
      </c>
      <c r="H122" s="2">
        <v>-124.968</v>
      </c>
      <c r="I122" s="1">
        <v>0.83557505289279299</v>
      </c>
      <c r="J122" s="1">
        <v>0.880974446835882</v>
      </c>
      <c r="K122" s="1">
        <v>0.61789126189124699</v>
      </c>
      <c r="L122" s="1">
        <v>0.598658237837429</v>
      </c>
      <c r="M122" s="2"/>
      <c r="N122" s="2"/>
      <c r="Q122" s="1">
        <f t="shared" si="5"/>
        <v>137.04349999999988</v>
      </c>
      <c r="R122">
        <f t="shared" si="4"/>
        <v>144.48949999999985</v>
      </c>
      <c r="S122" s="1">
        <f t="shared" si="6"/>
        <v>101.3409637540453</v>
      </c>
      <c r="T122" s="1">
        <f t="shared" si="7"/>
        <v>98.186536245954571</v>
      </c>
    </row>
    <row r="123" spans="1:20" x14ac:dyDescent="0.3">
      <c r="A123" t="s">
        <v>57</v>
      </c>
      <c r="B123" t="s">
        <v>95</v>
      </c>
      <c r="C123" t="s">
        <v>580</v>
      </c>
      <c r="D123" t="s">
        <v>581</v>
      </c>
      <c r="E123" s="2">
        <v>515</v>
      </c>
      <c r="F123" s="2">
        <v>0</v>
      </c>
      <c r="G123" s="2">
        <v>254.637</v>
      </c>
      <c r="H123" s="2">
        <v>-411</v>
      </c>
      <c r="I123" s="1">
        <v>0.74722038834951399</v>
      </c>
      <c r="J123" s="1">
        <v>0.89902912621359199</v>
      </c>
      <c r="K123" s="1">
        <v>0.61363717524930095</v>
      </c>
      <c r="L123" s="1">
        <v>0.53261233931380503</v>
      </c>
      <c r="M123" s="2"/>
      <c r="N123" s="2"/>
      <c r="Q123" s="1">
        <f t="shared" si="5"/>
        <v>384.81849999999969</v>
      </c>
      <c r="R123">
        <f t="shared" si="4"/>
        <v>462.99999999999989</v>
      </c>
      <c r="S123" s="1">
        <f t="shared" si="6"/>
        <v>316.02314525339</v>
      </c>
      <c r="T123" s="1">
        <f t="shared" si="7"/>
        <v>274.29535474660958</v>
      </c>
    </row>
    <row r="124" spans="1:20" x14ac:dyDescent="0.3">
      <c r="A124" t="s">
        <v>57</v>
      </c>
      <c r="B124" t="s">
        <v>96</v>
      </c>
      <c r="C124" t="s">
        <v>580</v>
      </c>
      <c r="D124" t="s">
        <v>581</v>
      </c>
      <c r="E124" s="2">
        <v>346.928</v>
      </c>
      <c r="F124" s="2">
        <v>0</v>
      </c>
      <c r="G124" s="2">
        <v>303.73700000000002</v>
      </c>
      <c r="H124" s="2">
        <v>-303.73700000000002</v>
      </c>
      <c r="I124" s="1">
        <v>0.93775221371581396</v>
      </c>
      <c r="J124" s="1">
        <v>0.93775221371581396</v>
      </c>
      <c r="K124" s="1">
        <v>0.69809145724296195</v>
      </c>
      <c r="L124" s="1">
        <v>0.67741297018866498</v>
      </c>
      <c r="M124" s="2"/>
      <c r="N124" s="2"/>
      <c r="Q124" s="1">
        <f t="shared" si="5"/>
        <v>325.33249999999992</v>
      </c>
      <c r="R124">
        <f t="shared" si="4"/>
        <v>325.33249999999992</v>
      </c>
      <c r="S124" s="1">
        <f t="shared" si="6"/>
        <v>242.18747307838629</v>
      </c>
      <c r="T124" s="1">
        <f t="shared" si="7"/>
        <v>235.01352692161316</v>
      </c>
    </row>
    <row r="125" spans="1:20" x14ac:dyDescent="0.3">
      <c r="A125" t="s">
        <v>57</v>
      </c>
      <c r="B125" t="s">
        <v>97</v>
      </c>
      <c r="C125" t="s">
        <v>580</v>
      </c>
      <c r="D125" t="s">
        <v>581</v>
      </c>
      <c r="E125" s="2">
        <v>175.381</v>
      </c>
      <c r="F125" s="2">
        <v>0</v>
      </c>
      <c r="G125" s="2">
        <v>73.143000000000001</v>
      </c>
      <c r="H125" s="2">
        <v>-52.472000000000001</v>
      </c>
      <c r="I125" s="1">
        <v>0.70852600908878305</v>
      </c>
      <c r="J125" s="1">
        <v>0.64959431181256799</v>
      </c>
      <c r="K125" s="1">
        <v>0.61622617953046799</v>
      </c>
      <c r="L125" s="1">
        <v>0.241894141370883</v>
      </c>
      <c r="M125" s="2"/>
      <c r="N125" s="2"/>
      <c r="Q125" s="1">
        <f t="shared" si="5"/>
        <v>124.26199999999986</v>
      </c>
      <c r="R125">
        <f t="shared" si="4"/>
        <v>113.92649999999999</v>
      </c>
      <c r="S125" s="1">
        <f t="shared" si="6"/>
        <v>108.07436359223301</v>
      </c>
      <c r="T125" s="1">
        <f t="shared" si="7"/>
        <v>42.423636407766828</v>
      </c>
    </row>
    <row r="126" spans="1:20" x14ac:dyDescent="0.3">
      <c r="A126" t="s">
        <v>57</v>
      </c>
      <c r="B126" t="s">
        <v>98</v>
      </c>
      <c r="C126" t="s">
        <v>580</v>
      </c>
      <c r="D126" t="s">
        <v>581</v>
      </c>
      <c r="E126" s="2">
        <v>97.926000000000002</v>
      </c>
      <c r="F126" s="2">
        <v>0</v>
      </c>
      <c r="G126" s="2">
        <v>82.045999999999907</v>
      </c>
      <c r="H126" s="2">
        <v>-90.896999999999906</v>
      </c>
      <c r="I126" s="1">
        <v>0.91891836693012996</v>
      </c>
      <c r="J126" s="1">
        <v>0.96411065498437498</v>
      </c>
      <c r="K126" s="1">
        <v>0.70452755521688004</v>
      </c>
      <c r="L126" s="1">
        <v>0.67850146669762501</v>
      </c>
      <c r="M126" s="2"/>
      <c r="N126" s="2"/>
      <c r="Q126" s="1">
        <f t="shared" si="5"/>
        <v>89.985999999999905</v>
      </c>
      <c r="R126">
        <f t="shared" si="4"/>
        <v>94.411499999999904</v>
      </c>
      <c r="S126" s="1">
        <f t="shared" si="6"/>
        <v>68.991565372168196</v>
      </c>
      <c r="T126" s="1">
        <f t="shared" si="7"/>
        <v>66.442934627831633</v>
      </c>
    </row>
    <row r="127" spans="1:20" x14ac:dyDescent="0.3">
      <c r="A127" t="s">
        <v>57</v>
      </c>
      <c r="B127" t="s">
        <v>627</v>
      </c>
      <c r="C127" t="s">
        <v>580</v>
      </c>
      <c r="D127" t="s">
        <v>581</v>
      </c>
      <c r="E127" s="2">
        <v>86.262</v>
      </c>
      <c r="F127" s="2">
        <v>0</v>
      </c>
      <c r="G127" s="2">
        <v>75.168999999999997</v>
      </c>
      <c r="H127" s="2">
        <v>-69.248000000000005</v>
      </c>
      <c r="I127" s="1">
        <v>0.93570169947369597</v>
      </c>
      <c r="J127" s="1">
        <v>0.90138183672996197</v>
      </c>
      <c r="K127" s="1">
        <v>0.76230151222674103</v>
      </c>
      <c r="L127" s="1">
        <v>0.57478202397691702</v>
      </c>
      <c r="M127" s="2"/>
      <c r="N127" s="2"/>
      <c r="Q127" s="1">
        <f t="shared" si="5"/>
        <v>80.715499999999963</v>
      </c>
      <c r="R127">
        <f t="shared" si="4"/>
        <v>77.754999999999981</v>
      </c>
      <c r="S127" s="1">
        <f t="shared" si="6"/>
        <v>65.75765304770313</v>
      </c>
      <c r="T127" s="1">
        <f t="shared" si="7"/>
        <v>49.581846952296814</v>
      </c>
    </row>
    <row r="128" spans="1:20" x14ac:dyDescent="0.3">
      <c r="A128" t="s">
        <v>57</v>
      </c>
      <c r="B128" t="s">
        <v>628</v>
      </c>
      <c r="C128" t="s">
        <v>580</v>
      </c>
      <c r="D128" t="s">
        <v>581</v>
      </c>
      <c r="E128" s="2">
        <v>106.66800000000001</v>
      </c>
      <c r="F128" s="2">
        <v>0</v>
      </c>
      <c r="G128" s="2">
        <v>55.218000000000004</v>
      </c>
      <c r="H128" s="2">
        <v>-68.361999999999995</v>
      </c>
      <c r="I128" s="1">
        <v>0.75883113961075399</v>
      </c>
      <c r="J128" s="1">
        <v>0.82044286946413103</v>
      </c>
      <c r="K128" s="1">
        <v>0.57523315394237096</v>
      </c>
      <c r="L128" s="1">
        <v>0.50404085513251395</v>
      </c>
      <c r="M128" s="2"/>
      <c r="N128" s="2"/>
      <c r="Q128" s="1">
        <f t="shared" si="5"/>
        <v>80.942999999999913</v>
      </c>
      <c r="R128">
        <f t="shared" si="4"/>
        <v>87.51499999999993</v>
      </c>
      <c r="S128" s="1">
        <f t="shared" si="6"/>
        <v>61.358970064724829</v>
      </c>
      <c r="T128" s="1">
        <f t="shared" si="7"/>
        <v>53.765029935275003</v>
      </c>
    </row>
    <row r="129" spans="1:20" x14ac:dyDescent="0.3">
      <c r="A129" t="s">
        <v>57</v>
      </c>
      <c r="B129" t="s">
        <v>99</v>
      </c>
      <c r="C129" t="s">
        <v>580</v>
      </c>
      <c r="D129" t="s">
        <v>581</v>
      </c>
      <c r="E129" s="2">
        <v>80.138999999999996</v>
      </c>
      <c r="F129" s="2">
        <v>0</v>
      </c>
      <c r="G129" s="2">
        <v>51.445</v>
      </c>
      <c r="H129" s="2">
        <v>-63.661000000000001</v>
      </c>
      <c r="I129" s="1">
        <v>0.82097355844220599</v>
      </c>
      <c r="J129" s="1">
        <v>0.89719113041091103</v>
      </c>
      <c r="K129" s="1">
        <v>0.68073486627260205</v>
      </c>
      <c r="L129" s="1">
        <v>0.53742982258051497</v>
      </c>
      <c r="M129" s="2"/>
      <c r="N129" s="2"/>
      <c r="Q129" s="1">
        <f t="shared" si="5"/>
        <v>65.791999999999945</v>
      </c>
      <c r="R129">
        <f t="shared" si="4"/>
        <v>71.899999999999991</v>
      </c>
      <c r="S129" s="1">
        <f t="shared" si="6"/>
        <v>54.553411448220054</v>
      </c>
      <c r="T129" s="1">
        <f t="shared" si="7"/>
        <v>43.069088551779885</v>
      </c>
    </row>
    <row r="130" spans="1:20" x14ac:dyDescent="0.3">
      <c r="A130" t="s">
        <v>57</v>
      </c>
      <c r="B130" t="s">
        <v>100</v>
      </c>
      <c r="C130" t="s">
        <v>580</v>
      </c>
      <c r="D130" t="s">
        <v>581</v>
      </c>
      <c r="E130" s="2">
        <v>155.26900000000001</v>
      </c>
      <c r="F130" s="2">
        <v>0</v>
      </c>
      <c r="G130" s="2">
        <v>97.236000000000004</v>
      </c>
      <c r="H130" s="2">
        <v>-110.81399999999999</v>
      </c>
      <c r="I130" s="1">
        <v>0.81312109951116995</v>
      </c>
      <c r="J130" s="1">
        <v>0.856845217010478</v>
      </c>
      <c r="K130" s="1">
        <v>0.61006358007434203</v>
      </c>
      <c r="L130" s="1">
        <v>0.55990273644730604</v>
      </c>
      <c r="M130" s="2"/>
      <c r="N130" s="2"/>
      <c r="Q130" s="1">
        <f t="shared" si="5"/>
        <v>126.25249999999986</v>
      </c>
      <c r="R130">
        <f t="shared" ref="R130:R193" si="8">J130*E130</f>
        <v>133.0414999999999</v>
      </c>
      <c r="S130" s="1">
        <f t="shared" si="6"/>
        <v>94.723962014563014</v>
      </c>
      <c r="T130" s="1">
        <f t="shared" si="7"/>
        <v>86.935537985436767</v>
      </c>
    </row>
    <row r="131" spans="1:20" x14ac:dyDescent="0.3">
      <c r="A131" t="s">
        <v>57</v>
      </c>
      <c r="B131" t="s">
        <v>101</v>
      </c>
      <c r="C131" t="s">
        <v>580</v>
      </c>
      <c r="D131" t="s">
        <v>581</v>
      </c>
      <c r="E131" s="2">
        <v>138.16999999999999</v>
      </c>
      <c r="F131" s="2">
        <v>0</v>
      </c>
      <c r="G131" s="2">
        <v>100.154</v>
      </c>
      <c r="H131" s="2">
        <v>-90.266999999999996</v>
      </c>
      <c r="I131" s="1">
        <v>0.86243033943692504</v>
      </c>
      <c r="J131" s="1">
        <v>0.82665195049576601</v>
      </c>
      <c r="K131" s="1">
        <v>0.65781316570296</v>
      </c>
      <c r="L131" s="1">
        <v>0.53126912422973105</v>
      </c>
      <c r="M131" s="2"/>
      <c r="N131" s="2"/>
      <c r="Q131" s="1">
        <f t="shared" ref="Q131:Q194" si="9">I131*E131</f>
        <v>119.16199999999992</v>
      </c>
      <c r="R131">
        <f t="shared" si="8"/>
        <v>114.21849999999998</v>
      </c>
      <c r="S131" s="1">
        <f t="shared" ref="S131:S194" si="10">K131*E131</f>
        <v>90.890045105177975</v>
      </c>
      <c r="T131" s="1">
        <f t="shared" ref="T131:T194" si="11">L131*E131</f>
        <v>73.405454894821929</v>
      </c>
    </row>
    <row r="132" spans="1:20" x14ac:dyDescent="0.3">
      <c r="A132" t="s">
        <v>57</v>
      </c>
      <c r="B132" t="s">
        <v>102</v>
      </c>
      <c r="C132" t="s">
        <v>580</v>
      </c>
      <c r="D132" t="s">
        <v>581</v>
      </c>
      <c r="E132" s="2">
        <v>169</v>
      </c>
      <c r="F132" s="2">
        <v>0</v>
      </c>
      <c r="G132" s="2">
        <v>106.32</v>
      </c>
      <c r="H132" s="2">
        <v>-119.071</v>
      </c>
      <c r="I132" s="1">
        <v>0.81455621301775105</v>
      </c>
      <c r="J132" s="1">
        <v>0.85228106508875701</v>
      </c>
      <c r="K132" s="1">
        <v>0.61932983019283405</v>
      </c>
      <c r="L132" s="1">
        <v>0.54750744791367401</v>
      </c>
      <c r="M132" s="2"/>
      <c r="N132" s="2"/>
      <c r="Q132" s="1">
        <f t="shared" si="9"/>
        <v>137.65999999999994</v>
      </c>
      <c r="R132">
        <f t="shared" si="8"/>
        <v>144.03549999999993</v>
      </c>
      <c r="S132" s="1">
        <f t="shared" si="10"/>
        <v>104.66674130258896</v>
      </c>
      <c r="T132" s="1">
        <f t="shared" si="11"/>
        <v>92.528758697410908</v>
      </c>
    </row>
    <row r="133" spans="1:20" x14ac:dyDescent="0.3">
      <c r="A133" t="s">
        <v>57</v>
      </c>
      <c r="B133" t="s">
        <v>103</v>
      </c>
      <c r="C133" t="s">
        <v>580</v>
      </c>
      <c r="D133" t="s">
        <v>581</v>
      </c>
      <c r="E133" s="2">
        <v>188.96100000000001</v>
      </c>
      <c r="F133" s="2">
        <v>0</v>
      </c>
      <c r="G133" s="2">
        <v>119.437</v>
      </c>
      <c r="H133" s="2">
        <v>-120.098</v>
      </c>
      <c r="I133" s="1">
        <v>0.81603611327204995</v>
      </c>
      <c r="J133" s="1">
        <v>0.81778515143336405</v>
      </c>
      <c r="K133" s="1">
        <v>0.62264719968670701</v>
      </c>
      <c r="L133" s="1">
        <v>0.51117406501870699</v>
      </c>
      <c r="M133" s="2"/>
      <c r="N133" s="2"/>
      <c r="Q133" s="1">
        <f t="shared" si="9"/>
        <v>154.19899999999984</v>
      </c>
      <c r="R133">
        <f t="shared" si="8"/>
        <v>154.52949999999993</v>
      </c>
      <c r="S133" s="1">
        <f t="shared" si="10"/>
        <v>117.65603749999985</v>
      </c>
      <c r="T133" s="1">
        <f t="shared" si="11"/>
        <v>96.591962499999894</v>
      </c>
    </row>
    <row r="134" spans="1:20" x14ac:dyDescent="0.3">
      <c r="A134" t="s">
        <v>57</v>
      </c>
      <c r="B134" t="s">
        <v>104</v>
      </c>
      <c r="C134" t="s">
        <v>580</v>
      </c>
      <c r="D134" t="s">
        <v>581</v>
      </c>
      <c r="E134" s="2">
        <v>187.77799999999999</v>
      </c>
      <c r="F134" s="2">
        <v>0</v>
      </c>
      <c r="G134" s="2">
        <v>113.102</v>
      </c>
      <c r="H134" s="2">
        <v>-94.632999999999996</v>
      </c>
      <c r="I134" s="1">
        <v>0.80115881519666798</v>
      </c>
      <c r="J134" s="1">
        <v>0.75198106274430399</v>
      </c>
      <c r="K134" s="1">
        <v>0.60748955589505005</v>
      </c>
      <c r="L134" s="1">
        <v>0.44565032204592198</v>
      </c>
      <c r="M134" s="2"/>
      <c r="N134" s="2"/>
      <c r="Q134" s="1">
        <f t="shared" si="9"/>
        <v>150.43999999999991</v>
      </c>
      <c r="R134">
        <f t="shared" si="8"/>
        <v>141.20549999999992</v>
      </c>
      <c r="S134" s="1">
        <f t="shared" si="10"/>
        <v>114.0731738268607</v>
      </c>
      <c r="T134" s="1">
        <f t="shared" si="11"/>
        <v>83.683326173139136</v>
      </c>
    </row>
    <row r="135" spans="1:20" x14ac:dyDescent="0.3">
      <c r="A135" t="s">
        <v>57</v>
      </c>
      <c r="B135" t="s">
        <v>105</v>
      </c>
      <c r="C135" t="s">
        <v>580</v>
      </c>
      <c r="D135" t="s">
        <v>581</v>
      </c>
      <c r="E135" s="2">
        <v>222.79400000000001</v>
      </c>
      <c r="F135" s="2">
        <v>0</v>
      </c>
      <c r="G135" s="2">
        <v>144.30599999999899</v>
      </c>
      <c r="H135" s="2">
        <v>-176.94299999999899</v>
      </c>
      <c r="I135" s="1">
        <v>0.82385522051760796</v>
      </c>
      <c r="J135" s="1">
        <v>0.897100011669973</v>
      </c>
      <c r="K135" s="1">
        <v>0.62940799372970602</v>
      </c>
      <c r="L135" s="1">
        <v>0.59154723845787405</v>
      </c>
      <c r="M135" s="2"/>
      <c r="N135" s="2"/>
      <c r="Q135" s="1">
        <f t="shared" si="9"/>
        <v>183.54999999999995</v>
      </c>
      <c r="R135">
        <f t="shared" si="8"/>
        <v>199.86849999999998</v>
      </c>
      <c r="S135" s="1">
        <f t="shared" si="10"/>
        <v>140.22832455501612</v>
      </c>
      <c r="T135" s="1">
        <f t="shared" si="11"/>
        <v>131.7931754449836</v>
      </c>
    </row>
    <row r="136" spans="1:20" x14ac:dyDescent="0.3">
      <c r="A136" t="s">
        <v>57</v>
      </c>
      <c r="B136" t="s">
        <v>106</v>
      </c>
      <c r="C136" t="s">
        <v>580</v>
      </c>
      <c r="D136" t="s">
        <v>581</v>
      </c>
      <c r="E136" s="2">
        <v>204.095</v>
      </c>
      <c r="F136" s="2">
        <v>0</v>
      </c>
      <c r="G136" s="2">
        <v>161.12299999999999</v>
      </c>
      <c r="H136" s="2">
        <v>-154.279</v>
      </c>
      <c r="I136" s="1">
        <v>0.89472549548004598</v>
      </c>
      <c r="J136" s="1">
        <v>0.87795879369901197</v>
      </c>
      <c r="K136" s="1">
        <v>0.63837594088204497</v>
      </c>
      <c r="L136" s="1">
        <v>0.63430834829701299</v>
      </c>
      <c r="M136" s="2"/>
      <c r="N136" s="2"/>
      <c r="Q136" s="1">
        <f t="shared" si="9"/>
        <v>182.60899999999998</v>
      </c>
      <c r="R136">
        <f t="shared" si="8"/>
        <v>179.18699999999984</v>
      </c>
      <c r="S136" s="1">
        <f t="shared" si="10"/>
        <v>130.28933765432097</v>
      </c>
      <c r="T136" s="1">
        <f t="shared" si="11"/>
        <v>129.45916234567886</v>
      </c>
    </row>
    <row r="137" spans="1:20" x14ac:dyDescent="0.3">
      <c r="A137" t="s">
        <v>57</v>
      </c>
      <c r="B137" t="s">
        <v>107</v>
      </c>
      <c r="C137" t="s">
        <v>34</v>
      </c>
      <c r="D137" t="s">
        <v>35</v>
      </c>
      <c r="E137" s="2">
        <v>256.59500000000003</v>
      </c>
      <c r="F137" s="2">
        <v>0</v>
      </c>
      <c r="G137" s="2">
        <v>210.11099999999999</v>
      </c>
      <c r="H137" s="2">
        <v>-202.81399999999999</v>
      </c>
      <c r="I137" s="1">
        <v>0.90942146183674599</v>
      </c>
      <c r="J137" s="1">
        <v>0.89520255655799896</v>
      </c>
      <c r="K137" s="1">
        <v>0.79280574023600403</v>
      </c>
      <c r="L137" s="1">
        <v>0.51181827815874104</v>
      </c>
      <c r="M137" s="2"/>
      <c r="N137" s="2"/>
      <c r="Q137" s="1">
        <f t="shared" si="9"/>
        <v>233.35299999999987</v>
      </c>
      <c r="R137">
        <f t="shared" si="8"/>
        <v>229.70449999999977</v>
      </c>
      <c r="S137" s="1">
        <f t="shared" si="10"/>
        <v>203.42998891585748</v>
      </c>
      <c r="T137" s="1">
        <f t="shared" si="11"/>
        <v>131.33001108414217</v>
      </c>
    </row>
    <row r="138" spans="1:20" x14ac:dyDescent="0.3">
      <c r="A138" t="s">
        <v>57</v>
      </c>
      <c r="B138" t="s">
        <v>108</v>
      </c>
      <c r="C138" t="s">
        <v>580</v>
      </c>
      <c r="D138" t="s">
        <v>581</v>
      </c>
      <c r="E138" s="2">
        <v>88.165999999999997</v>
      </c>
      <c r="F138" s="2">
        <v>0</v>
      </c>
      <c r="G138" s="2">
        <v>73.881</v>
      </c>
      <c r="H138" s="2">
        <v>-77.914000000000001</v>
      </c>
      <c r="I138" s="1">
        <v>0.91898804527822497</v>
      </c>
      <c r="J138" s="1">
        <v>0.94185967379715496</v>
      </c>
      <c r="K138" s="1">
        <v>0.64803331463882397</v>
      </c>
      <c r="L138" s="1">
        <v>0.71281440443655597</v>
      </c>
      <c r="M138" s="2"/>
      <c r="N138" s="2"/>
      <c r="Q138" s="1">
        <f t="shared" si="9"/>
        <v>81.023499999999984</v>
      </c>
      <c r="R138">
        <f t="shared" si="8"/>
        <v>83.039999999999964</v>
      </c>
      <c r="S138" s="1">
        <f t="shared" si="10"/>
        <v>57.134505218446549</v>
      </c>
      <c r="T138" s="1">
        <f t="shared" si="11"/>
        <v>62.845994781553394</v>
      </c>
    </row>
    <row r="139" spans="1:20" x14ac:dyDescent="0.3">
      <c r="A139" t="s">
        <v>57</v>
      </c>
      <c r="B139" t="s">
        <v>629</v>
      </c>
      <c r="C139" t="s">
        <v>580</v>
      </c>
      <c r="D139" t="s">
        <v>581</v>
      </c>
      <c r="E139" s="2">
        <v>89.504000000000005</v>
      </c>
      <c r="F139" s="2">
        <v>0</v>
      </c>
      <c r="G139" s="2">
        <v>83.010999999999996</v>
      </c>
      <c r="H139" s="2">
        <v>-80.992999999999995</v>
      </c>
      <c r="I139" s="1">
        <v>0.96372787808366001</v>
      </c>
      <c r="J139" s="1">
        <v>0.95245463889881998</v>
      </c>
      <c r="K139" s="1">
        <v>0.76929998310357295</v>
      </c>
      <c r="L139" s="1">
        <v>0.64688253387890704</v>
      </c>
      <c r="M139" s="2"/>
      <c r="N139" s="2"/>
      <c r="Q139" s="1">
        <f t="shared" si="9"/>
        <v>86.257499999999908</v>
      </c>
      <c r="R139">
        <f t="shared" si="8"/>
        <v>85.248499999999993</v>
      </c>
      <c r="S139" s="1">
        <f t="shared" si="10"/>
        <v>68.855425687702194</v>
      </c>
      <c r="T139" s="1">
        <f t="shared" si="11"/>
        <v>57.898574312297697</v>
      </c>
    </row>
    <row r="140" spans="1:20" x14ac:dyDescent="0.3">
      <c r="A140" t="s">
        <v>57</v>
      </c>
      <c r="B140" t="s">
        <v>109</v>
      </c>
      <c r="C140" t="s">
        <v>580</v>
      </c>
      <c r="D140" t="s">
        <v>581</v>
      </c>
      <c r="E140" s="2">
        <v>194.226</v>
      </c>
      <c r="F140" s="2">
        <v>0</v>
      </c>
      <c r="G140" s="2">
        <v>132.78100000000001</v>
      </c>
      <c r="H140" s="2">
        <v>-132.03399999999999</v>
      </c>
      <c r="I140" s="1">
        <v>0.84182086847281001</v>
      </c>
      <c r="J140" s="1">
        <v>0.83989785095713199</v>
      </c>
      <c r="K140" s="1">
        <v>0.65122662566848599</v>
      </c>
      <c r="L140" s="1">
        <v>0.53049209376145601</v>
      </c>
      <c r="M140" s="2"/>
      <c r="N140" s="2"/>
      <c r="Q140" s="1">
        <f t="shared" si="9"/>
        <v>163.5035</v>
      </c>
      <c r="R140">
        <f t="shared" si="8"/>
        <v>163.12999999999991</v>
      </c>
      <c r="S140" s="1">
        <f t="shared" si="10"/>
        <v>126.48514259708736</v>
      </c>
      <c r="T140" s="1">
        <f t="shared" si="11"/>
        <v>103.03535740291255</v>
      </c>
    </row>
    <row r="141" spans="1:20" x14ac:dyDescent="0.3">
      <c r="A141" t="s">
        <v>57</v>
      </c>
      <c r="B141" t="s">
        <v>110</v>
      </c>
      <c r="C141" t="s">
        <v>580</v>
      </c>
      <c r="D141" t="s">
        <v>581</v>
      </c>
      <c r="E141" s="2">
        <v>461.92200000000003</v>
      </c>
      <c r="F141" s="2">
        <v>0</v>
      </c>
      <c r="G141" s="2">
        <v>260.14499999999998</v>
      </c>
      <c r="H141" s="2">
        <v>-311.99400000000003</v>
      </c>
      <c r="I141" s="1">
        <v>0.78158974891864796</v>
      </c>
      <c r="J141" s="1">
        <v>0.83771286061283001</v>
      </c>
      <c r="K141" s="1">
        <v>0.59752201396745697</v>
      </c>
      <c r="L141" s="1">
        <v>0.52178059556402201</v>
      </c>
      <c r="M141" s="2"/>
      <c r="N141" s="2"/>
      <c r="Q141" s="1">
        <f t="shared" si="9"/>
        <v>361.03349999999972</v>
      </c>
      <c r="R141">
        <f t="shared" si="8"/>
        <v>386.95799999999969</v>
      </c>
      <c r="S141" s="1">
        <f t="shared" si="10"/>
        <v>276.00856373587567</v>
      </c>
      <c r="T141" s="1">
        <f t="shared" si="11"/>
        <v>241.02193626412418</v>
      </c>
    </row>
    <row r="142" spans="1:20" x14ac:dyDescent="0.3">
      <c r="A142" t="s">
        <v>57</v>
      </c>
      <c r="B142" t="s">
        <v>111</v>
      </c>
      <c r="C142" t="s">
        <v>580</v>
      </c>
      <c r="D142" t="s">
        <v>581</v>
      </c>
      <c r="E142" s="2">
        <v>52.466000000000001</v>
      </c>
      <c r="F142" s="2">
        <v>0</v>
      </c>
      <c r="G142" s="2">
        <v>45.649000000000001</v>
      </c>
      <c r="H142" s="2">
        <v>-49.473999999999997</v>
      </c>
      <c r="I142" s="1">
        <v>0.93503411733313002</v>
      </c>
      <c r="J142" s="1">
        <v>0.97148629588685997</v>
      </c>
      <c r="K142" s="1">
        <v>0.74092859043125703</v>
      </c>
      <c r="L142" s="1">
        <v>0.66559182278873197</v>
      </c>
      <c r="M142" s="2"/>
      <c r="N142" s="2"/>
      <c r="Q142" s="1">
        <f t="shared" si="9"/>
        <v>49.057499999999997</v>
      </c>
      <c r="R142">
        <f t="shared" si="8"/>
        <v>50.97</v>
      </c>
      <c r="S142" s="1">
        <f t="shared" si="10"/>
        <v>38.873559425566334</v>
      </c>
      <c r="T142" s="1">
        <f t="shared" si="11"/>
        <v>34.920940574433615</v>
      </c>
    </row>
    <row r="143" spans="1:20" x14ac:dyDescent="0.3">
      <c r="A143" t="s">
        <v>57</v>
      </c>
      <c r="B143" t="s">
        <v>112</v>
      </c>
      <c r="C143" t="s">
        <v>580</v>
      </c>
      <c r="D143" t="s">
        <v>581</v>
      </c>
      <c r="E143" s="2">
        <v>255.53</v>
      </c>
      <c r="F143" s="2">
        <v>0</v>
      </c>
      <c r="G143" s="2">
        <v>129.97900000000001</v>
      </c>
      <c r="H143" s="2">
        <v>-134.05000000000001</v>
      </c>
      <c r="I143" s="1">
        <v>0.75433217234766903</v>
      </c>
      <c r="J143" s="1">
        <v>0.76229796892732704</v>
      </c>
      <c r="K143" s="1">
        <v>0.56394386795159002</v>
      </c>
      <c r="L143" s="1">
        <v>0.452686273323406</v>
      </c>
      <c r="M143" s="2"/>
      <c r="N143" s="2"/>
      <c r="Q143" s="1">
        <f t="shared" si="9"/>
        <v>192.75449999999987</v>
      </c>
      <c r="R143">
        <f t="shared" si="8"/>
        <v>194.78999999999988</v>
      </c>
      <c r="S143" s="1">
        <f t="shared" si="10"/>
        <v>144.1045765776698</v>
      </c>
      <c r="T143" s="1">
        <f t="shared" si="11"/>
        <v>115.67492342232994</v>
      </c>
    </row>
    <row r="144" spans="1:20" x14ac:dyDescent="0.3">
      <c r="A144" t="s">
        <v>57</v>
      </c>
      <c r="B144" t="s">
        <v>113</v>
      </c>
      <c r="C144" t="s">
        <v>580</v>
      </c>
      <c r="D144" t="s">
        <v>581</v>
      </c>
      <c r="E144" s="2">
        <v>238.577</v>
      </c>
      <c r="F144" s="2">
        <v>0</v>
      </c>
      <c r="G144" s="2">
        <v>161.37</v>
      </c>
      <c r="H144" s="2">
        <v>-148.30699999999999</v>
      </c>
      <c r="I144" s="1">
        <v>0.83819270088902098</v>
      </c>
      <c r="J144" s="1">
        <v>0.81081579531975001</v>
      </c>
      <c r="K144" s="1">
        <v>0.63946983973598703</v>
      </c>
      <c r="L144" s="1">
        <v>0.50953865647278396</v>
      </c>
      <c r="M144" s="2"/>
      <c r="N144" s="2"/>
      <c r="Q144" s="1">
        <f t="shared" si="9"/>
        <v>199.97349999999994</v>
      </c>
      <c r="R144">
        <f t="shared" si="8"/>
        <v>193.44200000000001</v>
      </c>
      <c r="S144" s="1">
        <f t="shared" si="10"/>
        <v>152.56279595469258</v>
      </c>
      <c r="T144" s="1">
        <f t="shared" si="11"/>
        <v>121.56420404530738</v>
      </c>
    </row>
    <row r="145" spans="1:20" x14ac:dyDescent="0.3">
      <c r="A145" t="s">
        <v>57</v>
      </c>
      <c r="B145" t="s">
        <v>114</v>
      </c>
      <c r="C145" t="s">
        <v>580</v>
      </c>
      <c r="D145" t="s">
        <v>581</v>
      </c>
      <c r="E145" s="2">
        <v>570.76800000000003</v>
      </c>
      <c r="F145" s="2">
        <v>0</v>
      </c>
      <c r="G145" s="2">
        <v>288.74599999999998</v>
      </c>
      <c r="H145" s="2">
        <v>-444.98200000000003</v>
      </c>
      <c r="I145" s="1">
        <v>0.75294515459871603</v>
      </c>
      <c r="J145" s="1">
        <v>0.88980987020996205</v>
      </c>
      <c r="K145" s="1">
        <v>0.63608443868964204</v>
      </c>
      <c r="L145" s="1">
        <v>0.50667058611903604</v>
      </c>
      <c r="M145" s="2"/>
      <c r="N145" s="2"/>
      <c r="Q145" s="1">
        <f t="shared" si="9"/>
        <v>429.75699999999995</v>
      </c>
      <c r="R145">
        <f t="shared" si="8"/>
        <v>507.87499999999966</v>
      </c>
      <c r="S145" s="1">
        <f t="shared" si="10"/>
        <v>363.05664290200963</v>
      </c>
      <c r="T145" s="1">
        <f t="shared" si="11"/>
        <v>289.19135709798996</v>
      </c>
    </row>
    <row r="146" spans="1:20" x14ac:dyDescent="0.3">
      <c r="A146" t="s">
        <v>57</v>
      </c>
      <c r="B146" t="s">
        <v>630</v>
      </c>
      <c r="C146" t="s">
        <v>580</v>
      </c>
      <c r="D146" t="s">
        <v>581</v>
      </c>
      <c r="E146" s="2">
        <v>627.79499999999996</v>
      </c>
      <c r="F146" s="2">
        <v>0</v>
      </c>
      <c r="G146" s="2">
        <v>404.08199999999999</v>
      </c>
      <c r="H146" s="2">
        <v>-299.16399999999999</v>
      </c>
      <c r="I146" s="1">
        <v>0.82182639237330601</v>
      </c>
      <c r="J146" s="1">
        <v>0.73826567589738601</v>
      </c>
      <c r="K146" s="1">
        <v>0.57147835946025405</v>
      </c>
      <c r="L146" s="1">
        <v>0.48861370881043897</v>
      </c>
      <c r="M146" s="2"/>
      <c r="N146" s="2"/>
      <c r="Q146" s="1">
        <f t="shared" si="9"/>
        <v>515.93849999999964</v>
      </c>
      <c r="R146">
        <f t="shared" si="8"/>
        <v>463.4794999999994</v>
      </c>
      <c r="S146" s="1">
        <f t="shared" si="10"/>
        <v>358.77125667735015</v>
      </c>
      <c r="T146" s="1">
        <f t="shared" si="11"/>
        <v>306.74924332264953</v>
      </c>
    </row>
    <row r="147" spans="1:20" x14ac:dyDescent="0.3">
      <c r="A147" t="s">
        <v>57</v>
      </c>
      <c r="B147" t="s">
        <v>631</v>
      </c>
      <c r="C147" t="s">
        <v>580</v>
      </c>
      <c r="D147" t="s">
        <v>581</v>
      </c>
      <c r="E147" s="2">
        <v>165.36600000000001</v>
      </c>
      <c r="F147" s="2">
        <v>0</v>
      </c>
      <c r="G147" s="2">
        <v>96.026999999999902</v>
      </c>
      <c r="H147" s="2">
        <v>-132.673</v>
      </c>
      <c r="I147" s="1">
        <v>0.79034686694967504</v>
      </c>
      <c r="J147" s="1">
        <v>0.90114957125406603</v>
      </c>
      <c r="K147" s="1">
        <v>0.68285927580969497</v>
      </c>
      <c r="L147" s="1">
        <v>0.50863716239404599</v>
      </c>
      <c r="M147" s="2"/>
      <c r="N147" s="2"/>
      <c r="Q147" s="1">
        <f t="shared" si="9"/>
        <v>130.69649999999999</v>
      </c>
      <c r="R147">
        <f t="shared" si="8"/>
        <v>149.01949999999991</v>
      </c>
      <c r="S147" s="1">
        <f t="shared" si="10"/>
        <v>112.92170700354603</v>
      </c>
      <c r="T147" s="1">
        <f t="shared" si="11"/>
        <v>84.111292996453813</v>
      </c>
    </row>
    <row r="148" spans="1:20" x14ac:dyDescent="0.3">
      <c r="A148" t="s">
        <v>57</v>
      </c>
      <c r="B148" t="s">
        <v>632</v>
      </c>
      <c r="C148" t="s">
        <v>580</v>
      </c>
      <c r="D148" t="s">
        <v>581</v>
      </c>
      <c r="E148" s="2">
        <v>381.9</v>
      </c>
      <c r="F148" s="2">
        <v>0.247</v>
      </c>
      <c r="G148" s="2">
        <v>205.84899999999999</v>
      </c>
      <c r="H148" s="2">
        <v>-224.16899999999899</v>
      </c>
      <c r="I148" s="1">
        <v>0.76918303220738404</v>
      </c>
      <c r="J148" s="1">
        <v>0.79316836868290097</v>
      </c>
      <c r="K148" s="1">
        <v>0.51476664446645404</v>
      </c>
      <c r="L148" s="1">
        <v>0.547908139508407</v>
      </c>
      <c r="M148" s="2"/>
      <c r="N148" s="2"/>
      <c r="Q148" s="1">
        <f t="shared" si="9"/>
        <v>293.75099999999998</v>
      </c>
      <c r="R148">
        <f t="shared" si="8"/>
        <v>302.91099999999989</v>
      </c>
      <c r="S148" s="1">
        <f t="shared" si="10"/>
        <v>196.58938152173877</v>
      </c>
      <c r="T148" s="1">
        <f t="shared" si="11"/>
        <v>209.24611847826063</v>
      </c>
    </row>
    <row r="149" spans="1:20" x14ac:dyDescent="0.3">
      <c r="A149" t="s">
        <v>57</v>
      </c>
      <c r="B149" t="s">
        <v>633</v>
      </c>
      <c r="C149" t="s">
        <v>580</v>
      </c>
      <c r="D149" t="s">
        <v>581</v>
      </c>
      <c r="E149" s="2">
        <v>103.041</v>
      </c>
      <c r="F149" s="2">
        <v>0</v>
      </c>
      <c r="G149" s="2">
        <v>55.024000000000001</v>
      </c>
      <c r="H149" s="2">
        <v>-81.405000000000001</v>
      </c>
      <c r="I149" s="1">
        <v>0.76700051435836203</v>
      </c>
      <c r="J149" s="1">
        <v>0.89501266486155995</v>
      </c>
      <c r="K149" s="1">
        <v>0.62568415495422502</v>
      </c>
      <c r="L149" s="1">
        <v>0.53632902426569695</v>
      </c>
      <c r="M149" s="2"/>
      <c r="N149" s="2"/>
      <c r="Q149" s="1">
        <f t="shared" si="9"/>
        <v>79.032499999999985</v>
      </c>
      <c r="R149">
        <f t="shared" si="8"/>
        <v>92.222999999999999</v>
      </c>
      <c r="S149" s="1">
        <f t="shared" si="10"/>
        <v>64.471121010638299</v>
      </c>
      <c r="T149" s="1">
        <f t="shared" si="11"/>
        <v>55.263878989361679</v>
      </c>
    </row>
    <row r="150" spans="1:20" x14ac:dyDescent="0.3">
      <c r="A150" t="s">
        <v>57</v>
      </c>
      <c r="B150" t="s">
        <v>634</v>
      </c>
      <c r="C150" t="s">
        <v>580</v>
      </c>
      <c r="D150" t="s">
        <v>581</v>
      </c>
      <c r="E150" s="2">
        <v>198.291</v>
      </c>
      <c r="F150" s="2">
        <v>0</v>
      </c>
      <c r="G150" s="2">
        <v>90.412999999999997</v>
      </c>
      <c r="H150" s="2">
        <v>-117.143</v>
      </c>
      <c r="I150" s="1">
        <v>0.72798059417724403</v>
      </c>
      <c r="J150" s="1">
        <v>0.79538153521844102</v>
      </c>
      <c r="K150" s="1">
        <v>0.493024954523896</v>
      </c>
      <c r="L150" s="1">
        <v>0.53033717487179</v>
      </c>
      <c r="M150" s="2"/>
      <c r="N150" s="2"/>
      <c r="Q150" s="1">
        <f t="shared" si="9"/>
        <v>144.35199999999989</v>
      </c>
      <c r="R150">
        <f t="shared" si="8"/>
        <v>157.71699999999987</v>
      </c>
      <c r="S150" s="1">
        <f t="shared" si="10"/>
        <v>97.76241125749786</v>
      </c>
      <c r="T150" s="1">
        <f t="shared" si="11"/>
        <v>105.1610887425021</v>
      </c>
    </row>
    <row r="151" spans="1:20" x14ac:dyDescent="0.3">
      <c r="A151" t="s">
        <v>57</v>
      </c>
      <c r="B151" t="s">
        <v>115</v>
      </c>
      <c r="C151" t="s">
        <v>34</v>
      </c>
      <c r="D151" t="s">
        <v>35</v>
      </c>
      <c r="E151" s="2">
        <v>179.97399999999999</v>
      </c>
      <c r="F151" s="2">
        <v>0</v>
      </c>
      <c r="G151" s="2">
        <v>125.815</v>
      </c>
      <c r="H151" s="2">
        <v>-135.136</v>
      </c>
      <c r="I151" s="1">
        <v>0.84953659973107198</v>
      </c>
      <c r="J151" s="1">
        <v>0.87543200684543299</v>
      </c>
      <c r="K151" s="1">
        <v>0.73377247510904398</v>
      </c>
      <c r="L151" s="1">
        <v>0.49119613146746099</v>
      </c>
      <c r="M151" s="2"/>
      <c r="N151" s="2"/>
      <c r="Q151" s="1">
        <f t="shared" si="9"/>
        <v>152.89449999999994</v>
      </c>
      <c r="R151">
        <f t="shared" si="8"/>
        <v>157.55499999999995</v>
      </c>
      <c r="S151" s="1">
        <f t="shared" si="10"/>
        <v>132.05996743527507</v>
      </c>
      <c r="T151" s="1">
        <f t="shared" si="11"/>
        <v>88.402532564724822</v>
      </c>
    </row>
    <row r="152" spans="1:20" x14ac:dyDescent="0.3">
      <c r="A152" t="s">
        <v>57</v>
      </c>
      <c r="B152" t="s">
        <v>635</v>
      </c>
      <c r="C152" t="s">
        <v>580</v>
      </c>
      <c r="D152" t="s">
        <v>581</v>
      </c>
      <c r="E152" s="2">
        <v>191.34200000000001</v>
      </c>
      <c r="F152" s="2">
        <v>0</v>
      </c>
      <c r="G152" s="2">
        <v>169.017</v>
      </c>
      <c r="H152" s="2">
        <v>-96.852000000000004</v>
      </c>
      <c r="I152" s="1">
        <v>0.94166205015103799</v>
      </c>
      <c r="J152" s="1">
        <v>0.75308609714542496</v>
      </c>
      <c r="K152" s="1">
        <v>0.81728595798864201</v>
      </c>
      <c r="L152" s="1">
        <v>0.37746218930782099</v>
      </c>
      <c r="M152" s="2"/>
      <c r="N152" s="2"/>
      <c r="Q152" s="1">
        <f t="shared" si="9"/>
        <v>180.17949999999993</v>
      </c>
      <c r="R152">
        <f t="shared" si="8"/>
        <v>144.09699999999992</v>
      </c>
      <c r="S152" s="1">
        <f t="shared" si="10"/>
        <v>156.38112977346276</v>
      </c>
      <c r="T152" s="1">
        <f t="shared" si="11"/>
        <v>72.22437022653709</v>
      </c>
    </row>
    <row r="153" spans="1:20" x14ac:dyDescent="0.3">
      <c r="A153" t="s">
        <v>57</v>
      </c>
      <c r="B153" t="s">
        <v>116</v>
      </c>
      <c r="C153" t="s">
        <v>580</v>
      </c>
      <c r="D153" t="s">
        <v>581</v>
      </c>
      <c r="E153" s="2">
        <v>66.721999999999994</v>
      </c>
      <c r="F153" s="2">
        <v>0</v>
      </c>
      <c r="G153" s="2">
        <v>54.433999999999997</v>
      </c>
      <c r="H153" s="2">
        <v>-55.850999999999999</v>
      </c>
      <c r="I153" s="1">
        <v>0.90791642936362804</v>
      </c>
      <c r="J153" s="1">
        <v>0.91853511585384096</v>
      </c>
      <c r="K153" s="1">
        <v>0.72250068331094297</v>
      </c>
      <c r="L153" s="1">
        <v>0.60395086190652503</v>
      </c>
      <c r="M153" s="2"/>
      <c r="N153" s="2"/>
      <c r="Q153" s="1">
        <f t="shared" si="9"/>
        <v>60.577999999999982</v>
      </c>
      <c r="R153">
        <f t="shared" si="8"/>
        <v>61.286499999999968</v>
      </c>
      <c r="S153" s="1">
        <f t="shared" si="10"/>
        <v>48.206690591872736</v>
      </c>
      <c r="T153" s="1">
        <f t="shared" si="11"/>
        <v>40.29680940812716</v>
      </c>
    </row>
    <row r="154" spans="1:20" x14ac:dyDescent="0.3">
      <c r="A154" t="s">
        <v>57</v>
      </c>
      <c r="B154" t="s">
        <v>117</v>
      </c>
      <c r="C154" t="s">
        <v>34</v>
      </c>
      <c r="D154" t="s">
        <v>35</v>
      </c>
      <c r="E154" s="2">
        <v>80.042000000000002</v>
      </c>
      <c r="F154" s="2">
        <v>0</v>
      </c>
      <c r="G154" s="2">
        <v>62.460999999999999</v>
      </c>
      <c r="H154" s="2">
        <v>-66.119</v>
      </c>
      <c r="I154" s="1">
        <v>0.89017640738612203</v>
      </c>
      <c r="J154" s="1">
        <v>0.913026910871792</v>
      </c>
      <c r="K154" s="1">
        <v>0.78975923107601498</v>
      </c>
      <c r="L154" s="1">
        <v>0.51344408718189904</v>
      </c>
      <c r="M154" s="2"/>
      <c r="N154" s="2"/>
      <c r="Q154" s="1">
        <f t="shared" si="9"/>
        <v>71.251499999999979</v>
      </c>
      <c r="R154">
        <f t="shared" si="8"/>
        <v>73.080499999999972</v>
      </c>
      <c r="S154" s="1">
        <f t="shared" si="10"/>
        <v>63.213908373786396</v>
      </c>
      <c r="T154" s="1">
        <f t="shared" si="11"/>
        <v>41.097091626213562</v>
      </c>
    </row>
    <row r="155" spans="1:20" x14ac:dyDescent="0.3">
      <c r="A155" t="s">
        <v>57</v>
      </c>
      <c r="B155" t="s">
        <v>118</v>
      </c>
      <c r="C155" t="s">
        <v>580</v>
      </c>
      <c r="D155" t="s">
        <v>35</v>
      </c>
      <c r="E155" s="2">
        <v>340.36799999999999</v>
      </c>
      <c r="F155" s="2">
        <v>0</v>
      </c>
      <c r="G155" s="2">
        <v>218.33799999999999</v>
      </c>
      <c r="H155" s="2">
        <v>-226.736999999999</v>
      </c>
      <c r="I155" s="1">
        <v>0.82073814224603903</v>
      </c>
      <c r="J155" s="1">
        <v>0.83307625863770896</v>
      </c>
      <c r="K155" s="1">
        <v>0.57312679248689002</v>
      </c>
      <c r="L155" s="1">
        <v>0.58068760839685796</v>
      </c>
      <c r="M155" s="2"/>
      <c r="N155" s="2"/>
      <c r="Q155" s="1">
        <f t="shared" si="9"/>
        <v>279.35299999999978</v>
      </c>
      <c r="R155">
        <f t="shared" si="8"/>
        <v>283.55249999999972</v>
      </c>
      <c r="S155" s="1">
        <f t="shared" si="10"/>
        <v>195.07402010517779</v>
      </c>
      <c r="T155" s="1">
        <f t="shared" si="11"/>
        <v>197.64747989482174</v>
      </c>
    </row>
    <row r="156" spans="1:20" x14ac:dyDescent="0.3">
      <c r="A156" t="s">
        <v>57</v>
      </c>
      <c r="B156" t="s">
        <v>119</v>
      </c>
      <c r="C156" t="s">
        <v>580</v>
      </c>
      <c r="D156" t="s">
        <v>581</v>
      </c>
      <c r="E156" s="2">
        <v>148.60900000000001</v>
      </c>
      <c r="F156" s="2">
        <v>0</v>
      </c>
      <c r="G156" s="2">
        <v>128.358</v>
      </c>
      <c r="H156" s="2">
        <v>-123.782</v>
      </c>
      <c r="I156" s="1">
        <v>0.931864826490993</v>
      </c>
      <c r="J156" s="1">
        <v>0.91646871992947898</v>
      </c>
      <c r="K156" s="1">
        <v>0.70193070776441402</v>
      </c>
      <c r="L156" s="1">
        <v>0.64640283865605797</v>
      </c>
      <c r="M156" s="2"/>
      <c r="N156" s="2"/>
      <c r="Q156" s="1">
        <f t="shared" si="9"/>
        <v>138.48349999999999</v>
      </c>
      <c r="R156">
        <f t="shared" si="8"/>
        <v>136.19549999999995</v>
      </c>
      <c r="S156" s="1">
        <f t="shared" si="10"/>
        <v>104.31322055016182</v>
      </c>
      <c r="T156" s="1">
        <f t="shared" si="11"/>
        <v>96.061279449838125</v>
      </c>
    </row>
    <row r="157" spans="1:20" x14ac:dyDescent="0.3">
      <c r="A157" t="s">
        <v>57</v>
      </c>
      <c r="B157" t="s">
        <v>120</v>
      </c>
      <c r="C157" t="s">
        <v>580</v>
      </c>
      <c r="D157" t="s">
        <v>581</v>
      </c>
      <c r="E157" s="2">
        <v>40.722000000000001</v>
      </c>
      <c r="F157" s="2">
        <v>0</v>
      </c>
      <c r="G157" s="2">
        <v>25.866</v>
      </c>
      <c r="H157" s="2">
        <v>-31.768999999999998</v>
      </c>
      <c r="I157" s="1">
        <v>0.81759245616620002</v>
      </c>
      <c r="J157" s="1">
        <v>0.89007170571189997</v>
      </c>
      <c r="K157" s="1">
        <v>0.62799666068580495</v>
      </c>
      <c r="L157" s="1">
        <v>0.57966750119229404</v>
      </c>
      <c r="M157" s="2"/>
      <c r="N157" s="2"/>
      <c r="Q157" s="1">
        <f t="shared" si="9"/>
        <v>33.293999999999997</v>
      </c>
      <c r="R157">
        <f t="shared" si="8"/>
        <v>36.245499999999993</v>
      </c>
      <c r="S157" s="1">
        <f t="shared" si="10"/>
        <v>25.573280016447349</v>
      </c>
      <c r="T157" s="1">
        <f t="shared" si="11"/>
        <v>23.605219983552598</v>
      </c>
    </row>
    <row r="158" spans="1:20" x14ac:dyDescent="0.3">
      <c r="A158" t="s">
        <v>57</v>
      </c>
      <c r="B158" t="s">
        <v>121</v>
      </c>
      <c r="C158" t="s">
        <v>34</v>
      </c>
      <c r="D158" t="s">
        <v>35</v>
      </c>
      <c r="E158" s="2">
        <v>442.23899999999998</v>
      </c>
      <c r="F158" s="2">
        <v>0</v>
      </c>
      <c r="G158" s="2">
        <v>362.09199999999998</v>
      </c>
      <c r="H158" s="2">
        <v>-432.22800000000001</v>
      </c>
      <c r="I158" s="1">
        <v>0.90938497057021195</v>
      </c>
      <c r="J158" s="1">
        <v>0.98868145957276499</v>
      </c>
      <c r="K158" s="1">
        <v>0.78906593382145396</v>
      </c>
      <c r="L158" s="1">
        <v>0.60900049632152198</v>
      </c>
      <c r="M158" s="2"/>
      <c r="N158" s="2"/>
      <c r="Q158" s="1">
        <f t="shared" si="9"/>
        <v>402.16549999999995</v>
      </c>
      <c r="R158">
        <f t="shared" si="8"/>
        <v>437.23349999999999</v>
      </c>
      <c r="S158" s="1">
        <f t="shared" si="10"/>
        <v>348.95572950726597</v>
      </c>
      <c r="T158" s="1">
        <f t="shared" si="11"/>
        <v>269.32377049273356</v>
      </c>
    </row>
    <row r="159" spans="1:20" x14ac:dyDescent="0.3">
      <c r="A159" t="s">
        <v>57</v>
      </c>
      <c r="B159" t="s">
        <v>122</v>
      </c>
      <c r="C159" t="s">
        <v>34</v>
      </c>
      <c r="D159" t="s">
        <v>35</v>
      </c>
      <c r="E159" s="2">
        <v>237.376</v>
      </c>
      <c r="F159" s="2">
        <v>0</v>
      </c>
      <c r="G159" s="2">
        <v>117.97</v>
      </c>
      <c r="H159" s="2">
        <v>-131.09200000000001</v>
      </c>
      <c r="I159" s="1">
        <v>0.748487631437045</v>
      </c>
      <c r="J159" s="1">
        <v>0.77612732542464202</v>
      </c>
      <c r="K159" s="1">
        <v>0.64815980832641096</v>
      </c>
      <c r="L159" s="1">
        <v>0.37645514853527601</v>
      </c>
      <c r="M159" s="2"/>
      <c r="N159" s="2"/>
      <c r="Q159" s="1">
        <f t="shared" si="9"/>
        <v>177.673</v>
      </c>
      <c r="R159">
        <f t="shared" si="8"/>
        <v>184.23399999999984</v>
      </c>
      <c r="S159" s="1">
        <f t="shared" si="10"/>
        <v>153.85758266129014</v>
      </c>
      <c r="T159" s="1">
        <f t="shared" si="11"/>
        <v>89.361417338709686</v>
      </c>
    </row>
    <row r="160" spans="1:20" x14ac:dyDescent="0.3">
      <c r="A160" t="s">
        <v>57</v>
      </c>
      <c r="B160" t="s">
        <v>123</v>
      </c>
      <c r="C160" t="s">
        <v>34</v>
      </c>
      <c r="D160" t="s">
        <v>35</v>
      </c>
      <c r="E160" s="2">
        <v>98.765000000000001</v>
      </c>
      <c r="F160" s="2">
        <v>0</v>
      </c>
      <c r="G160" s="2">
        <v>47.688999999999901</v>
      </c>
      <c r="H160" s="2">
        <v>-55.609000000000002</v>
      </c>
      <c r="I160" s="1">
        <v>0.74142661874145699</v>
      </c>
      <c r="J160" s="1">
        <v>0.78152179415784895</v>
      </c>
      <c r="K160" s="1">
        <v>0.66078720674508595</v>
      </c>
      <c r="L160" s="1">
        <v>0.36216120615421998</v>
      </c>
      <c r="M160" s="2"/>
      <c r="N160" s="2"/>
      <c r="Q160" s="1">
        <f t="shared" si="9"/>
        <v>73.227000000000004</v>
      </c>
      <c r="R160">
        <f t="shared" si="8"/>
        <v>77.186999999999955</v>
      </c>
      <c r="S160" s="1">
        <f t="shared" si="10"/>
        <v>65.26264847417842</v>
      </c>
      <c r="T160" s="1">
        <f t="shared" si="11"/>
        <v>35.768851525821539</v>
      </c>
    </row>
    <row r="161" spans="1:20" x14ac:dyDescent="0.3">
      <c r="A161" t="s">
        <v>57</v>
      </c>
      <c r="B161" t="s">
        <v>124</v>
      </c>
      <c r="C161" t="s">
        <v>34</v>
      </c>
      <c r="D161" t="s">
        <v>35</v>
      </c>
      <c r="E161" s="2">
        <v>164.517</v>
      </c>
      <c r="F161" s="2">
        <v>0</v>
      </c>
      <c r="G161" s="2">
        <v>111.801999999999</v>
      </c>
      <c r="H161" s="2">
        <v>-123.604</v>
      </c>
      <c r="I161" s="1">
        <v>0.83978859327607402</v>
      </c>
      <c r="J161" s="1">
        <v>0.87565722691271997</v>
      </c>
      <c r="K161" s="1">
        <v>0.70689816103691205</v>
      </c>
      <c r="L161" s="1">
        <v>0.50854765915188205</v>
      </c>
      <c r="M161" s="2"/>
      <c r="N161" s="2"/>
      <c r="Q161" s="1">
        <f t="shared" si="9"/>
        <v>138.15949999999987</v>
      </c>
      <c r="R161">
        <f t="shared" si="8"/>
        <v>144.06049999999993</v>
      </c>
      <c r="S161" s="1">
        <f t="shared" si="10"/>
        <v>116.29676475930965</v>
      </c>
      <c r="T161" s="1">
        <f t="shared" si="11"/>
        <v>83.664735240690177</v>
      </c>
    </row>
    <row r="162" spans="1:20" x14ac:dyDescent="0.3">
      <c r="A162" t="s">
        <v>57</v>
      </c>
      <c r="B162" t="s">
        <v>125</v>
      </c>
      <c r="C162" t="s">
        <v>34</v>
      </c>
      <c r="D162" t="s">
        <v>35</v>
      </c>
      <c r="E162" s="2">
        <v>635.62199999999996</v>
      </c>
      <c r="F162" s="2">
        <v>0</v>
      </c>
      <c r="G162" s="2">
        <v>551.16800000000001</v>
      </c>
      <c r="H162" s="2">
        <v>-419.253999999999</v>
      </c>
      <c r="I162" s="1">
        <v>0.93356586147112597</v>
      </c>
      <c r="J162" s="1">
        <v>0.82979821340356297</v>
      </c>
      <c r="K162" s="1">
        <v>0.86707730670898397</v>
      </c>
      <c r="L162" s="1">
        <v>0.39628676816570502</v>
      </c>
      <c r="M162" s="2"/>
      <c r="N162" s="2"/>
      <c r="Q162" s="1">
        <f t="shared" si="9"/>
        <v>593.39499999999998</v>
      </c>
      <c r="R162">
        <f t="shared" si="8"/>
        <v>527.43799999999942</v>
      </c>
      <c r="S162" s="1">
        <f t="shared" si="10"/>
        <v>551.13341184497779</v>
      </c>
      <c r="T162" s="1">
        <f t="shared" si="11"/>
        <v>251.88858815502175</v>
      </c>
    </row>
    <row r="163" spans="1:20" x14ac:dyDescent="0.3">
      <c r="A163" t="s">
        <v>57</v>
      </c>
      <c r="B163" t="s">
        <v>636</v>
      </c>
      <c r="C163" t="s">
        <v>34</v>
      </c>
      <c r="D163" t="s">
        <v>35</v>
      </c>
      <c r="E163" s="2">
        <v>598.37599999999998</v>
      </c>
      <c r="F163" s="2">
        <v>0</v>
      </c>
      <c r="G163" s="2">
        <v>550.42899999999997</v>
      </c>
      <c r="H163" s="2">
        <v>-448.17099999999999</v>
      </c>
      <c r="I163" s="1">
        <v>0.959935726031792</v>
      </c>
      <c r="J163" s="1">
        <v>0.87448945144858703</v>
      </c>
      <c r="K163" s="1">
        <v>0.84295856309101302</v>
      </c>
      <c r="L163" s="1">
        <v>0.49146661438936601</v>
      </c>
      <c r="M163" s="2"/>
      <c r="N163" s="2"/>
      <c r="Q163" s="1">
        <f t="shared" si="9"/>
        <v>574.40249999999958</v>
      </c>
      <c r="R163">
        <f t="shared" si="8"/>
        <v>523.27349999999967</v>
      </c>
      <c r="S163" s="1">
        <f t="shared" si="10"/>
        <v>504.40617314814801</v>
      </c>
      <c r="T163" s="1">
        <f t="shared" si="11"/>
        <v>294.08182685185125</v>
      </c>
    </row>
    <row r="164" spans="1:20" x14ac:dyDescent="0.3">
      <c r="A164" t="s">
        <v>57</v>
      </c>
      <c r="B164" t="s">
        <v>126</v>
      </c>
      <c r="C164" t="s">
        <v>34</v>
      </c>
      <c r="D164" t="s">
        <v>35</v>
      </c>
      <c r="E164" s="2">
        <v>666.56399999999996</v>
      </c>
      <c r="F164" s="2">
        <v>0</v>
      </c>
      <c r="G164" s="2">
        <v>507.97699999999998</v>
      </c>
      <c r="H164" s="2">
        <v>-404.34300000000002</v>
      </c>
      <c r="I164" s="1">
        <v>0.88104143038027805</v>
      </c>
      <c r="J164" s="1">
        <v>0.80330395880965599</v>
      </c>
      <c r="K164" s="1">
        <v>0.75533391960323004</v>
      </c>
      <c r="L164" s="1">
        <v>0.429011469586704</v>
      </c>
      <c r="M164" s="2"/>
      <c r="N164" s="2"/>
      <c r="Q164" s="1">
        <f t="shared" si="9"/>
        <v>587.27049999999963</v>
      </c>
      <c r="R164">
        <f t="shared" si="8"/>
        <v>535.45349999999951</v>
      </c>
      <c r="S164" s="1">
        <f t="shared" si="10"/>
        <v>503.47839878640741</v>
      </c>
      <c r="T164" s="1">
        <f t="shared" si="11"/>
        <v>285.96360121359174</v>
      </c>
    </row>
    <row r="165" spans="1:20" x14ac:dyDescent="0.3">
      <c r="A165" t="s">
        <v>57</v>
      </c>
      <c r="B165" t="s">
        <v>127</v>
      </c>
      <c r="C165" t="s">
        <v>580</v>
      </c>
      <c r="D165" t="s">
        <v>581</v>
      </c>
      <c r="E165" s="2">
        <v>148.101</v>
      </c>
      <c r="F165" s="2">
        <v>0</v>
      </c>
      <c r="G165" s="2">
        <v>95.415000000000006</v>
      </c>
      <c r="H165" s="2">
        <v>-111.348</v>
      </c>
      <c r="I165" s="1">
        <v>0.82212814228128095</v>
      </c>
      <c r="J165" s="1">
        <v>0.87591913626511597</v>
      </c>
      <c r="K165" s="1">
        <v>0.68966015391315705</v>
      </c>
      <c r="L165" s="1">
        <v>0.50838712463323898</v>
      </c>
      <c r="M165" s="2"/>
      <c r="N165" s="2"/>
      <c r="Q165" s="1">
        <f t="shared" si="9"/>
        <v>121.758</v>
      </c>
      <c r="R165">
        <f t="shared" si="8"/>
        <v>129.72449999999995</v>
      </c>
      <c r="S165" s="1">
        <f t="shared" si="10"/>
        <v>102.13935845469247</v>
      </c>
      <c r="T165" s="1">
        <f t="shared" si="11"/>
        <v>75.292641545307333</v>
      </c>
    </row>
    <row r="166" spans="1:20" x14ac:dyDescent="0.3">
      <c r="A166" t="s">
        <v>57</v>
      </c>
      <c r="B166" t="s">
        <v>128</v>
      </c>
      <c r="C166" t="s">
        <v>580</v>
      </c>
      <c r="D166" t="s">
        <v>581</v>
      </c>
      <c r="E166" s="2">
        <v>64.141000000000005</v>
      </c>
      <c r="F166" s="2">
        <v>0</v>
      </c>
      <c r="G166" s="2">
        <v>51.454000000000001</v>
      </c>
      <c r="H166" s="2">
        <v>-39.035999999999902</v>
      </c>
      <c r="I166" s="1">
        <v>0.90110070002026699</v>
      </c>
      <c r="J166" s="1">
        <v>0.80429834271370804</v>
      </c>
      <c r="K166" s="1">
        <v>0.69436616659020101</v>
      </c>
      <c r="L166" s="1">
        <v>0.51103287614377402</v>
      </c>
      <c r="M166" s="2"/>
      <c r="N166" s="2"/>
      <c r="Q166" s="1">
        <f t="shared" si="9"/>
        <v>57.79749999999995</v>
      </c>
      <c r="R166">
        <f t="shared" si="8"/>
        <v>51.588499999999954</v>
      </c>
      <c r="S166" s="1">
        <f t="shared" si="10"/>
        <v>44.537340291262083</v>
      </c>
      <c r="T166" s="1">
        <f t="shared" si="11"/>
        <v>32.77815970873781</v>
      </c>
    </row>
    <row r="167" spans="1:20" x14ac:dyDescent="0.3">
      <c r="A167" t="s">
        <v>57</v>
      </c>
      <c r="B167" t="s">
        <v>129</v>
      </c>
      <c r="C167" t="s">
        <v>580</v>
      </c>
      <c r="D167" t="s">
        <v>581</v>
      </c>
      <c r="E167" s="2">
        <v>295.49200000000002</v>
      </c>
      <c r="F167" s="2">
        <v>0</v>
      </c>
      <c r="G167" s="2">
        <v>256.779</v>
      </c>
      <c r="H167" s="2">
        <v>-230.67500000000001</v>
      </c>
      <c r="I167" s="1">
        <v>0.93449399645337194</v>
      </c>
      <c r="J167" s="1">
        <v>0.89032359590107302</v>
      </c>
      <c r="K167" s="1">
        <v>0.70844925225799604</v>
      </c>
      <c r="L167" s="1">
        <v>0.61636834009644903</v>
      </c>
      <c r="M167" s="2"/>
      <c r="N167" s="2"/>
      <c r="Q167" s="1">
        <f t="shared" si="9"/>
        <v>276.13549999999981</v>
      </c>
      <c r="R167">
        <f t="shared" si="8"/>
        <v>263.0834999999999</v>
      </c>
      <c r="S167" s="1">
        <f t="shared" si="10"/>
        <v>209.34108644821978</v>
      </c>
      <c r="T167" s="1">
        <f t="shared" si="11"/>
        <v>182.13191355177992</v>
      </c>
    </row>
    <row r="168" spans="1:20" x14ac:dyDescent="0.3">
      <c r="A168" t="s">
        <v>57</v>
      </c>
      <c r="B168" t="s">
        <v>637</v>
      </c>
      <c r="C168" t="s">
        <v>34</v>
      </c>
      <c r="D168" t="s">
        <v>35</v>
      </c>
      <c r="E168" s="2">
        <v>599.23800000000006</v>
      </c>
      <c r="F168" s="2">
        <v>0</v>
      </c>
      <c r="G168" s="2">
        <v>500.60899999999998</v>
      </c>
      <c r="H168" s="2">
        <v>-397.67</v>
      </c>
      <c r="I168" s="1">
        <v>0.91770465157416503</v>
      </c>
      <c r="J168" s="1">
        <v>0.83181306926463205</v>
      </c>
      <c r="K168" s="1">
        <v>0.80000002457216601</v>
      </c>
      <c r="L168" s="1">
        <v>0.44951769626663102</v>
      </c>
      <c r="M168" s="2"/>
      <c r="N168" s="2"/>
      <c r="Q168" s="1">
        <f t="shared" si="9"/>
        <v>549.92349999999954</v>
      </c>
      <c r="R168">
        <f t="shared" si="8"/>
        <v>498.45399999999961</v>
      </c>
      <c r="S168" s="1">
        <f t="shared" si="10"/>
        <v>479.39041472457563</v>
      </c>
      <c r="T168" s="1">
        <f t="shared" si="11"/>
        <v>269.36808527542348</v>
      </c>
    </row>
    <row r="169" spans="1:20" x14ac:dyDescent="0.3">
      <c r="A169" t="s">
        <v>57</v>
      </c>
      <c r="B169" t="s">
        <v>638</v>
      </c>
      <c r="C169" t="s">
        <v>580</v>
      </c>
      <c r="D169" t="s">
        <v>581</v>
      </c>
      <c r="E169" s="2">
        <v>0</v>
      </c>
      <c r="F169" s="2">
        <v>0</v>
      </c>
      <c r="G169" s="2">
        <v>0</v>
      </c>
      <c r="H169" s="2">
        <v>0</v>
      </c>
      <c r="I169" s="1">
        <v>0</v>
      </c>
      <c r="J169" s="1">
        <v>0</v>
      </c>
      <c r="K169" s="1">
        <v>0</v>
      </c>
      <c r="L169" s="1">
        <v>0</v>
      </c>
      <c r="M169" s="2"/>
      <c r="N169" s="2"/>
      <c r="Q169" s="1">
        <f t="shared" si="9"/>
        <v>0</v>
      </c>
      <c r="R169">
        <f t="shared" si="8"/>
        <v>0</v>
      </c>
      <c r="S169" s="1">
        <f t="shared" si="10"/>
        <v>0</v>
      </c>
      <c r="T169" s="1">
        <f t="shared" si="11"/>
        <v>0</v>
      </c>
    </row>
    <row r="170" spans="1:20" x14ac:dyDescent="0.3">
      <c r="A170" t="s">
        <v>57</v>
      </c>
      <c r="B170" t="s">
        <v>130</v>
      </c>
      <c r="C170" t="s">
        <v>34</v>
      </c>
      <c r="D170" t="s">
        <v>35</v>
      </c>
      <c r="E170" s="2">
        <v>81.097999999999999</v>
      </c>
      <c r="F170" s="2">
        <v>0</v>
      </c>
      <c r="G170" s="2">
        <v>76.192999999999998</v>
      </c>
      <c r="H170" s="2">
        <v>-77</v>
      </c>
      <c r="I170" s="1">
        <v>0.96975881032824396</v>
      </c>
      <c r="J170" s="1">
        <v>0.97473427211521801</v>
      </c>
      <c r="K170" s="1">
        <v>0.85862016567354105</v>
      </c>
      <c r="L170" s="1">
        <v>0.58587291676992104</v>
      </c>
      <c r="M170" s="2"/>
      <c r="N170" s="2"/>
      <c r="Q170" s="1">
        <f t="shared" si="9"/>
        <v>78.645499999999927</v>
      </c>
      <c r="R170">
        <f t="shared" si="8"/>
        <v>79.04899999999995</v>
      </c>
      <c r="S170" s="1">
        <f t="shared" si="10"/>
        <v>69.632378195792825</v>
      </c>
      <c r="T170" s="1">
        <f t="shared" si="11"/>
        <v>47.513121804207053</v>
      </c>
    </row>
    <row r="171" spans="1:20" x14ac:dyDescent="0.3">
      <c r="A171" t="s">
        <v>57</v>
      </c>
      <c r="B171" t="s">
        <v>639</v>
      </c>
      <c r="C171" t="s">
        <v>580</v>
      </c>
      <c r="D171" t="s">
        <v>581</v>
      </c>
      <c r="E171" s="2">
        <v>126.643</v>
      </c>
      <c r="F171" s="2">
        <v>0</v>
      </c>
      <c r="G171" s="2">
        <v>113.640999999999</v>
      </c>
      <c r="H171" s="2">
        <v>-91.77</v>
      </c>
      <c r="I171" s="1">
        <v>0.94866672457222201</v>
      </c>
      <c r="J171" s="1">
        <v>0.86231769620113197</v>
      </c>
      <c r="K171" s="1">
        <v>0.81692010089928102</v>
      </c>
      <c r="L171" s="1">
        <v>0.49406431987407301</v>
      </c>
      <c r="M171" s="2"/>
      <c r="N171" s="2"/>
      <c r="Q171" s="1">
        <f t="shared" si="9"/>
        <v>120.14199999999991</v>
      </c>
      <c r="R171">
        <f t="shared" si="8"/>
        <v>109.20649999999996</v>
      </c>
      <c r="S171" s="1">
        <f t="shared" si="10"/>
        <v>103.45721233818765</v>
      </c>
      <c r="T171" s="1">
        <f t="shared" si="11"/>
        <v>62.569787661812228</v>
      </c>
    </row>
    <row r="172" spans="1:20" x14ac:dyDescent="0.3">
      <c r="A172" t="s">
        <v>57</v>
      </c>
      <c r="B172" t="s">
        <v>640</v>
      </c>
      <c r="C172" t="s">
        <v>580</v>
      </c>
      <c r="D172" t="s">
        <v>581</v>
      </c>
      <c r="E172" s="2">
        <v>297.04300000000001</v>
      </c>
      <c r="F172" s="2">
        <v>0</v>
      </c>
      <c r="G172" s="2">
        <v>227.02499999999901</v>
      </c>
      <c r="H172" s="2">
        <v>-271.51</v>
      </c>
      <c r="I172" s="1">
        <v>0.88214164279245699</v>
      </c>
      <c r="J172" s="1">
        <v>0.95702137400982301</v>
      </c>
      <c r="K172" s="1">
        <v>0.680451090831248</v>
      </c>
      <c r="L172" s="1">
        <v>0.65871192597103301</v>
      </c>
      <c r="M172" s="2"/>
      <c r="N172" s="2"/>
      <c r="Q172" s="1">
        <f t="shared" si="9"/>
        <v>262.03399999999982</v>
      </c>
      <c r="R172">
        <f t="shared" si="8"/>
        <v>284.27649999999988</v>
      </c>
      <c r="S172" s="1">
        <f t="shared" si="10"/>
        <v>202.12323337378641</v>
      </c>
      <c r="T172" s="1">
        <f t="shared" si="11"/>
        <v>195.66576662621355</v>
      </c>
    </row>
    <row r="173" spans="1:20" x14ac:dyDescent="0.3">
      <c r="A173" t="s">
        <v>57</v>
      </c>
      <c r="B173" t="s">
        <v>641</v>
      </c>
      <c r="C173" t="s">
        <v>580</v>
      </c>
      <c r="D173" t="s">
        <v>581</v>
      </c>
      <c r="E173" s="2">
        <v>175.06200000000001</v>
      </c>
      <c r="F173" s="2">
        <v>0</v>
      </c>
      <c r="G173" s="2">
        <v>141.05199999999999</v>
      </c>
      <c r="H173" s="2">
        <v>-137.161</v>
      </c>
      <c r="I173" s="1">
        <v>0.90286298568507095</v>
      </c>
      <c r="J173" s="1">
        <v>0.89174978007791506</v>
      </c>
      <c r="K173" s="1">
        <v>0.74086184728290205</v>
      </c>
      <c r="L173" s="1">
        <v>0.55375091848008395</v>
      </c>
      <c r="M173" s="2"/>
      <c r="N173" s="2"/>
      <c r="Q173" s="1">
        <f t="shared" si="9"/>
        <v>158.0569999999999</v>
      </c>
      <c r="R173">
        <f t="shared" si="8"/>
        <v>156.11149999999998</v>
      </c>
      <c r="S173" s="1">
        <f t="shared" si="10"/>
        <v>129.69675670903942</v>
      </c>
      <c r="T173" s="1">
        <f t="shared" si="11"/>
        <v>96.940743290960469</v>
      </c>
    </row>
    <row r="174" spans="1:20" x14ac:dyDescent="0.3">
      <c r="A174" t="s">
        <v>57</v>
      </c>
      <c r="B174" t="s">
        <v>131</v>
      </c>
      <c r="C174" t="s">
        <v>580</v>
      </c>
      <c r="D174" t="s">
        <v>581</v>
      </c>
      <c r="E174" s="2">
        <v>189.50200000000001</v>
      </c>
      <c r="F174" s="2">
        <v>0</v>
      </c>
      <c r="G174" s="2">
        <v>164.649</v>
      </c>
      <c r="H174" s="2">
        <v>-140.46700000000001</v>
      </c>
      <c r="I174" s="1">
        <v>0.93442549419003496</v>
      </c>
      <c r="J174" s="1">
        <v>0.87062141824360695</v>
      </c>
      <c r="K174" s="1">
        <v>0.7830251046526</v>
      </c>
      <c r="L174" s="1">
        <v>0.52202180778104101</v>
      </c>
      <c r="M174" s="2"/>
      <c r="N174" s="2"/>
      <c r="Q174" s="1">
        <f t="shared" si="9"/>
        <v>177.07550000000001</v>
      </c>
      <c r="R174">
        <f t="shared" si="8"/>
        <v>164.98450000000003</v>
      </c>
      <c r="S174" s="1">
        <f t="shared" si="10"/>
        <v>148.38482338187703</v>
      </c>
      <c r="T174" s="1">
        <f t="shared" si="11"/>
        <v>98.924176618122843</v>
      </c>
    </row>
    <row r="175" spans="1:20" x14ac:dyDescent="0.3">
      <c r="A175" t="s">
        <v>57</v>
      </c>
      <c r="B175" t="s">
        <v>132</v>
      </c>
      <c r="C175" t="s">
        <v>34</v>
      </c>
      <c r="D175" t="s">
        <v>35</v>
      </c>
      <c r="E175" s="2">
        <v>218.75299999999999</v>
      </c>
      <c r="F175" s="2">
        <v>0</v>
      </c>
      <c r="G175" s="2">
        <v>178.06299999999999</v>
      </c>
      <c r="H175" s="2">
        <v>-217.47799999999901</v>
      </c>
      <c r="I175" s="1">
        <v>0.90699556120373204</v>
      </c>
      <c r="J175" s="1">
        <v>0.997085754252513</v>
      </c>
      <c r="K175" s="1">
        <v>0.80607304440555205</v>
      </c>
      <c r="L175" s="1">
        <v>0.59800827105069199</v>
      </c>
      <c r="M175" s="2"/>
      <c r="N175" s="2"/>
      <c r="Q175" s="1">
        <f t="shared" si="9"/>
        <v>198.40799999999999</v>
      </c>
      <c r="R175">
        <f t="shared" si="8"/>
        <v>218.11549999999997</v>
      </c>
      <c r="S175" s="1">
        <f t="shared" si="10"/>
        <v>176.33089668284771</v>
      </c>
      <c r="T175" s="1">
        <f t="shared" si="11"/>
        <v>130.81610331715203</v>
      </c>
    </row>
    <row r="176" spans="1:20" x14ac:dyDescent="0.3">
      <c r="A176" t="s">
        <v>57</v>
      </c>
      <c r="B176" t="s">
        <v>133</v>
      </c>
      <c r="C176" t="s">
        <v>580</v>
      </c>
      <c r="D176" t="s">
        <v>581</v>
      </c>
      <c r="E176" s="2">
        <v>122.13</v>
      </c>
      <c r="F176" s="2">
        <v>0</v>
      </c>
      <c r="G176" s="2">
        <v>107.91</v>
      </c>
      <c r="H176" s="2">
        <v>-89.408000000000001</v>
      </c>
      <c r="I176" s="1">
        <v>0.94178334561532795</v>
      </c>
      <c r="J176" s="1">
        <v>0.86603619094407602</v>
      </c>
      <c r="K176" s="1">
        <v>0.80077827270108703</v>
      </c>
      <c r="L176" s="1">
        <v>0.50704126385831605</v>
      </c>
      <c r="M176" s="2"/>
      <c r="N176" s="2"/>
      <c r="Q176" s="1">
        <f t="shared" si="9"/>
        <v>115.02</v>
      </c>
      <c r="R176">
        <f t="shared" si="8"/>
        <v>105.76900000000001</v>
      </c>
      <c r="S176" s="1">
        <f t="shared" si="10"/>
        <v>97.799050444983763</v>
      </c>
      <c r="T176" s="1">
        <f t="shared" si="11"/>
        <v>61.924949555016134</v>
      </c>
    </row>
    <row r="177" spans="1:20" x14ac:dyDescent="0.3">
      <c r="A177" t="s">
        <v>57</v>
      </c>
      <c r="B177" t="s">
        <v>642</v>
      </c>
      <c r="C177" t="s">
        <v>580</v>
      </c>
      <c r="D177" t="s">
        <v>581</v>
      </c>
      <c r="E177" s="2">
        <v>80.447999999999993</v>
      </c>
      <c r="F177" s="2">
        <v>0</v>
      </c>
      <c r="G177" s="2">
        <v>53.394999999999897</v>
      </c>
      <c r="H177" s="2">
        <v>-42.274000000000001</v>
      </c>
      <c r="I177" s="1">
        <v>0.83186033214001498</v>
      </c>
      <c r="J177" s="1">
        <v>0.76274114956244998</v>
      </c>
      <c r="K177" s="1">
        <v>0.62610302311103105</v>
      </c>
      <c r="L177" s="1">
        <v>0.46849845859143402</v>
      </c>
      <c r="M177" s="2"/>
      <c r="N177" s="2"/>
      <c r="Q177" s="1">
        <f t="shared" si="9"/>
        <v>66.921499999999924</v>
      </c>
      <c r="R177">
        <f t="shared" si="8"/>
        <v>61.360999999999969</v>
      </c>
      <c r="S177" s="1">
        <f t="shared" si="10"/>
        <v>50.368736003236222</v>
      </c>
      <c r="T177" s="1">
        <f t="shared" si="11"/>
        <v>37.689763996763681</v>
      </c>
    </row>
    <row r="178" spans="1:20" x14ac:dyDescent="0.3">
      <c r="A178" t="s">
        <v>57</v>
      </c>
      <c r="B178" t="s">
        <v>643</v>
      </c>
      <c r="C178" t="s">
        <v>580</v>
      </c>
      <c r="D178" t="s">
        <v>581</v>
      </c>
      <c r="E178" s="2">
        <v>60.494999999999997</v>
      </c>
      <c r="F178" s="2">
        <v>0</v>
      </c>
      <c r="G178" s="2">
        <v>40.401000000000003</v>
      </c>
      <c r="H178" s="2">
        <v>-40.927</v>
      </c>
      <c r="I178" s="1">
        <v>0.83392015869080005</v>
      </c>
      <c r="J178" s="1">
        <v>0.83826762542358801</v>
      </c>
      <c r="K178" s="1">
        <v>0.63891257562006598</v>
      </c>
      <c r="L178" s="1">
        <v>0.53327520849432297</v>
      </c>
      <c r="M178" s="2"/>
      <c r="N178" s="2"/>
      <c r="Q178" s="1">
        <f t="shared" si="9"/>
        <v>50.447999999999944</v>
      </c>
      <c r="R178">
        <f t="shared" si="8"/>
        <v>50.710999999999956</v>
      </c>
      <c r="S178" s="1">
        <f t="shared" si="10"/>
        <v>38.65101626213589</v>
      </c>
      <c r="T178" s="1">
        <f t="shared" si="11"/>
        <v>32.260483737864064</v>
      </c>
    </row>
    <row r="179" spans="1:20" x14ac:dyDescent="0.3">
      <c r="A179" t="s">
        <v>57</v>
      </c>
      <c r="B179" t="s">
        <v>644</v>
      </c>
      <c r="C179" t="s">
        <v>580</v>
      </c>
      <c r="D179" t="s">
        <v>581</v>
      </c>
      <c r="E179" s="2">
        <v>252.46199999999999</v>
      </c>
      <c r="F179" s="2">
        <v>0</v>
      </c>
      <c r="G179" s="2">
        <v>144.36600000000001</v>
      </c>
      <c r="H179" s="2">
        <v>-194.82999999999899</v>
      </c>
      <c r="I179" s="1">
        <v>0.78591629631390003</v>
      </c>
      <c r="J179" s="1">
        <v>0.88586005022537995</v>
      </c>
      <c r="K179" s="1">
        <v>0.58826037124905195</v>
      </c>
      <c r="L179" s="1">
        <v>0.58351597529022803</v>
      </c>
      <c r="M179" s="2"/>
      <c r="N179" s="2"/>
      <c r="Q179" s="1">
        <f t="shared" si="9"/>
        <v>198.41399999999982</v>
      </c>
      <c r="R179">
        <f t="shared" si="8"/>
        <v>223.64599999999987</v>
      </c>
      <c r="S179" s="1">
        <f t="shared" si="10"/>
        <v>148.51338984627816</v>
      </c>
      <c r="T179" s="1">
        <f t="shared" si="11"/>
        <v>147.31561015372154</v>
      </c>
    </row>
    <row r="180" spans="1:20" x14ac:dyDescent="0.3">
      <c r="A180" t="s">
        <v>57</v>
      </c>
      <c r="B180" t="s">
        <v>134</v>
      </c>
      <c r="C180" t="s">
        <v>34</v>
      </c>
      <c r="D180" t="s">
        <v>35</v>
      </c>
      <c r="E180" s="2">
        <v>200</v>
      </c>
      <c r="F180" s="2">
        <v>0</v>
      </c>
      <c r="G180" s="2">
        <v>114.27800000000001</v>
      </c>
      <c r="H180" s="2">
        <v>-124.111</v>
      </c>
      <c r="I180" s="1">
        <v>0.78569500000000003</v>
      </c>
      <c r="J180" s="1">
        <v>0.81027749999999998</v>
      </c>
      <c r="K180" s="1">
        <v>0.72163077791262098</v>
      </c>
      <c r="L180" s="1">
        <v>0.37434172208737798</v>
      </c>
      <c r="M180" s="2"/>
      <c r="N180" s="2"/>
      <c r="Q180" s="1">
        <f t="shared" si="9"/>
        <v>157.13900000000001</v>
      </c>
      <c r="R180">
        <f t="shared" si="8"/>
        <v>162.05549999999999</v>
      </c>
      <c r="S180" s="1">
        <f t="shared" si="10"/>
        <v>144.32615558252419</v>
      </c>
      <c r="T180" s="1">
        <f t="shared" si="11"/>
        <v>74.868344417475598</v>
      </c>
    </row>
    <row r="181" spans="1:20" x14ac:dyDescent="0.3">
      <c r="A181" t="s">
        <v>57</v>
      </c>
      <c r="B181" t="s">
        <v>135</v>
      </c>
      <c r="C181" t="s">
        <v>34</v>
      </c>
      <c r="D181" t="s">
        <v>35</v>
      </c>
      <c r="E181" s="2">
        <v>154.08000000000001</v>
      </c>
      <c r="F181" s="2">
        <v>0</v>
      </c>
      <c r="G181" s="2">
        <v>136.07499999999999</v>
      </c>
      <c r="H181" s="2">
        <v>-128.107</v>
      </c>
      <c r="I181" s="1">
        <v>0.94157255970924103</v>
      </c>
      <c r="J181" s="1">
        <v>0.91571586188992704</v>
      </c>
      <c r="K181" s="1">
        <v>0.81816640480337099</v>
      </c>
      <c r="L181" s="1">
        <v>0.53912201679579697</v>
      </c>
      <c r="M181" s="2"/>
      <c r="N181" s="2"/>
      <c r="Q181" s="1">
        <f t="shared" si="9"/>
        <v>145.07749999999987</v>
      </c>
      <c r="R181">
        <f t="shared" si="8"/>
        <v>141.09349999999998</v>
      </c>
      <c r="S181" s="1">
        <f t="shared" si="10"/>
        <v>126.06307965210341</v>
      </c>
      <c r="T181" s="1">
        <f t="shared" si="11"/>
        <v>83.067920347896404</v>
      </c>
    </row>
    <row r="182" spans="1:20" x14ac:dyDescent="0.3">
      <c r="A182" t="s">
        <v>57</v>
      </c>
      <c r="B182" t="s">
        <v>136</v>
      </c>
      <c r="C182" t="s">
        <v>580</v>
      </c>
      <c r="D182" t="s">
        <v>581</v>
      </c>
      <c r="E182" s="2">
        <v>97.884</v>
      </c>
      <c r="F182" s="2">
        <v>0</v>
      </c>
      <c r="G182" s="2">
        <v>70.822999999999993</v>
      </c>
      <c r="H182" s="2">
        <v>-60.717999999999897</v>
      </c>
      <c r="I182" s="1">
        <v>0.86177005435004606</v>
      </c>
      <c r="J182" s="1">
        <v>0.81015283396673599</v>
      </c>
      <c r="K182" s="1">
        <v>0.70894091612705601</v>
      </c>
      <c r="L182" s="1">
        <v>0.46298197218972598</v>
      </c>
      <c r="M182" s="2"/>
      <c r="N182" s="2"/>
      <c r="Q182" s="1">
        <f t="shared" si="9"/>
        <v>84.353499999999912</v>
      </c>
      <c r="R182">
        <f t="shared" si="8"/>
        <v>79.300999999999988</v>
      </c>
      <c r="S182" s="1">
        <f t="shared" si="10"/>
        <v>69.393972634180756</v>
      </c>
      <c r="T182" s="1">
        <f t="shared" si="11"/>
        <v>45.318527365819136</v>
      </c>
    </row>
    <row r="183" spans="1:20" x14ac:dyDescent="0.3">
      <c r="A183" t="s">
        <v>57</v>
      </c>
      <c r="B183" t="s">
        <v>137</v>
      </c>
      <c r="C183" t="s">
        <v>580</v>
      </c>
      <c r="D183" t="s">
        <v>581</v>
      </c>
      <c r="E183" s="2">
        <v>270.80700000000002</v>
      </c>
      <c r="F183" s="2">
        <v>0</v>
      </c>
      <c r="G183" s="2">
        <v>229.23699999999999</v>
      </c>
      <c r="H183" s="2">
        <v>-244.512</v>
      </c>
      <c r="I183" s="1">
        <v>0.92324792195179495</v>
      </c>
      <c r="J183" s="1">
        <v>0.95145066412611101</v>
      </c>
      <c r="K183" s="1">
        <v>0.70554242422511804</v>
      </c>
      <c r="L183" s="1">
        <v>0.66915616185278803</v>
      </c>
      <c r="M183" s="2"/>
      <c r="N183" s="2"/>
      <c r="Q183" s="1">
        <f t="shared" si="9"/>
        <v>250.02199999999974</v>
      </c>
      <c r="R183">
        <f t="shared" si="8"/>
        <v>257.65949999999975</v>
      </c>
      <c r="S183" s="1">
        <f t="shared" si="10"/>
        <v>191.06582727713155</v>
      </c>
      <c r="T183" s="1">
        <f t="shared" si="11"/>
        <v>181.21217272286799</v>
      </c>
    </row>
    <row r="184" spans="1:20" x14ac:dyDescent="0.3">
      <c r="A184" t="s">
        <v>57</v>
      </c>
      <c r="B184" t="s">
        <v>138</v>
      </c>
      <c r="C184" t="s">
        <v>580</v>
      </c>
      <c r="D184" t="s">
        <v>581</v>
      </c>
      <c r="E184" s="2">
        <v>685.65800000000002</v>
      </c>
      <c r="F184" s="2">
        <v>0</v>
      </c>
      <c r="G184" s="2">
        <v>640.09799999999996</v>
      </c>
      <c r="H184" s="2">
        <v>-593.15300000000002</v>
      </c>
      <c r="I184" s="1">
        <v>0.96677643956608095</v>
      </c>
      <c r="J184" s="1">
        <v>0.93254290039640697</v>
      </c>
      <c r="K184" s="1">
        <v>0.73103831433091704</v>
      </c>
      <c r="L184" s="1">
        <v>0.66828102563157099</v>
      </c>
      <c r="M184" s="2"/>
      <c r="N184" s="2"/>
      <c r="Q184" s="1">
        <f t="shared" si="9"/>
        <v>662.87799999999993</v>
      </c>
      <c r="R184">
        <f t="shared" si="8"/>
        <v>639.40549999999962</v>
      </c>
      <c r="S184" s="1">
        <f t="shared" si="10"/>
        <v>501.24226852750792</v>
      </c>
      <c r="T184" s="1">
        <f t="shared" si="11"/>
        <v>458.21223147249174</v>
      </c>
    </row>
    <row r="185" spans="1:20" x14ac:dyDescent="0.3">
      <c r="A185" t="s">
        <v>57</v>
      </c>
      <c r="B185" t="s">
        <v>139</v>
      </c>
      <c r="C185" t="s">
        <v>580</v>
      </c>
      <c r="D185" t="s">
        <v>581</v>
      </c>
      <c r="E185" s="2">
        <v>0</v>
      </c>
      <c r="F185" s="2">
        <v>0</v>
      </c>
      <c r="G185" s="2">
        <v>0</v>
      </c>
      <c r="H185" s="2">
        <v>0</v>
      </c>
      <c r="I185" s="1">
        <v>0</v>
      </c>
      <c r="J185" s="1">
        <v>0</v>
      </c>
      <c r="K185" s="1">
        <v>0</v>
      </c>
      <c r="L185" s="1">
        <v>0</v>
      </c>
      <c r="M185" s="2"/>
      <c r="N185" s="2"/>
      <c r="Q185" s="1">
        <f t="shared" si="9"/>
        <v>0</v>
      </c>
      <c r="R185">
        <f t="shared" si="8"/>
        <v>0</v>
      </c>
      <c r="S185" s="1">
        <f t="shared" si="10"/>
        <v>0</v>
      </c>
      <c r="T185" s="1">
        <f t="shared" si="11"/>
        <v>0</v>
      </c>
    </row>
    <row r="186" spans="1:20" x14ac:dyDescent="0.3">
      <c r="A186" t="s">
        <v>57</v>
      </c>
      <c r="B186" t="s">
        <v>140</v>
      </c>
      <c r="C186" t="s">
        <v>580</v>
      </c>
      <c r="D186" t="s">
        <v>581</v>
      </c>
      <c r="E186" s="2">
        <v>0</v>
      </c>
      <c r="F186" s="2">
        <v>0</v>
      </c>
      <c r="G186" s="2">
        <v>0</v>
      </c>
      <c r="H186" s="2">
        <v>0</v>
      </c>
      <c r="I186" s="1">
        <v>0</v>
      </c>
      <c r="J186" s="1">
        <v>0</v>
      </c>
      <c r="K186" s="1">
        <v>0</v>
      </c>
      <c r="L186" s="1">
        <v>0</v>
      </c>
      <c r="M186" s="2"/>
      <c r="N186" s="2"/>
      <c r="Q186" s="1">
        <f t="shared" si="9"/>
        <v>0</v>
      </c>
      <c r="R186">
        <f t="shared" si="8"/>
        <v>0</v>
      </c>
      <c r="S186" s="1">
        <f t="shared" si="10"/>
        <v>0</v>
      </c>
      <c r="T186" s="1">
        <f t="shared" si="11"/>
        <v>0</v>
      </c>
    </row>
    <row r="187" spans="1:20" x14ac:dyDescent="0.3">
      <c r="A187" t="s">
        <v>57</v>
      </c>
      <c r="B187" t="s">
        <v>141</v>
      </c>
      <c r="C187" t="s">
        <v>34</v>
      </c>
      <c r="D187" t="s">
        <v>35</v>
      </c>
      <c r="E187" s="2">
        <v>65</v>
      </c>
      <c r="F187" s="2">
        <v>0</v>
      </c>
      <c r="G187" s="2">
        <v>58.46</v>
      </c>
      <c r="H187" s="2">
        <v>-50.512999999999998</v>
      </c>
      <c r="I187" s="1">
        <v>0.94969230769230695</v>
      </c>
      <c r="J187" s="1">
        <v>0.88856153846153796</v>
      </c>
      <c r="K187" s="1">
        <v>0.85825006534727399</v>
      </c>
      <c r="L187" s="1">
        <v>0.48000378080657202</v>
      </c>
      <c r="M187" s="2"/>
      <c r="N187" s="2"/>
      <c r="Q187" s="1">
        <f t="shared" si="9"/>
        <v>61.729999999999954</v>
      </c>
      <c r="R187">
        <f t="shared" si="8"/>
        <v>57.756499999999967</v>
      </c>
      <c r="S187" s="1">
        <f t="shared" si="10"/>
        <v>55.786254247572806</v>
      </c>
      <c r="T187" s="1">
        <f t="shared" si="11"/>
        <v>31.200245752427183</v>
      </c>
    </row>
    <row r="188" spans="1:20" x14ac:dyDescent="0.3">
      <c r="A188" t="s">
        <v>57</v>
      </c>
      <c r="B188" t="s">
        <v>142</v>
      </c>
      <c r="C188" t="s">
        <v>580</v>
      </c>
      <c r="D188" t="s">
        <v>581</v>
      </c>
      <c r="E188" s="2">
        <v>495.87400000000002</v>
      </c>
      <c r="F188" s="2">
        <v>0</v>
      </c>
      <c r="G188" s="2">
        <v>459.01299999999998</v>
      </c>
      <c r="H188" s="2">
        <v>-410.87799999999999</v>
      </c>
      <c r="I188" s="1">
        <v>0.96283229207419596</v>
      </c>
      <c r="J188" s="1">
        <v>0.91429677700383505</v>
      </c>
      <c r="K188" s="1">
        <v>0.73505380909739604</v>
      </c>
      <c r="L188" s="1">
        <v>0.64207525998063497</v>
      </c>
      <c r="M188" s="2"/>
      <c r="N188" s="2"/>
      <c r="Q188" s="1">
        <f t="shared" si="9"/>
        <v>477.44349999999986</v>
      </c>
      <c r="R188">
        <f t="shared" si="8"/>
        <v>453.37599999999975</v>
      </c>
      <c r="S188" s="1">
        <f t="shared" si="10"/>
        <v>364.49407253236217</v>
      </c>
      <c r="T188" s="1">
        <f t="shared" si="11"/>
        <v>318.38842746763743</v>
      </c>
    </row>
    <row r="189" spans="1:20" x14ac:dyDescent="0.3">
      <c r="A189" t="s">
        <v>57</v>
      </c>
      <c r="B189" t="s">
        <v>143</v>
      </c>
      <c r="C189" t="s">
        <v>34</v>
      </c>
      <c r="D189" t="s">
        <v>35</v>
      </c>
      <c r="E189" s="2">
        <v>192.09399999999999</v>
      </c>
      <c r="F189" s="2">
        <v>0</v>
      </c>
      <c r="G189" s="2">
        <v>177.97</v>
      </c>
      <c r="H189" s="2">
        <v>-142.36699999999999</v>
      </c>
      <c r="I189" s="1">
        <v>0.96323674867512699</v>
      </c>
      <c r="J189" s="1">
        <v>0.87056597290909599</v>
      </c>
      <c r="K189" s="1">
        <v>0.85921152667368195</v>
      </c>
      <c r="L189" s="1">
        <v>0.47459119491054103</v>
      </c>
      <c r="M189" s="2"/>
      <c r="N189" s="2"/>
      <c r="Q189" s="1">
        <f t="shared" si="9"/>
        <v>185.03199999999984</v>
      </c>
      <c r="R189">
        <f t="shared" si="8"/>
        <v>167.23049999999989</v>
      </c>
      <c r="S189" s="1">
        <f t="shared" si="10"/>
        <v>165.04937900485425</v>
      </c>
      <c r="T189" s="1">
        <f t="shared" si="11"/>
        <v>91.166120995145462</v>
      </c>
    </row>
    <row r="190" spans="1:20" x14ac:dyDescent="0.3">
      <c r="A190" t="s">
        <v>57</v>
      </c>
      <c r="B190" t="s">
        <v>645</v>
      </c>
      <c r="C190" t="s">
        <v>580</v>
      </c>
      <c r="D190" t="s">
        <v>581</v>
      </c>
      <c r="E190" s="2">
        <v>0</v>
      </c>
      <c r="F190" s="2">
        <v>0</v>
      </c>
      <c r="G190" s="2">
        <v>0</v>
      </c>
      <c r="H190" s="2">
        <v>0</v>
      </c>
      <c r="I190" s="1">
        <v>0</v>
      </c>
      <c r="J190" s="1">
        <v>0</v>
      </c>
      <c r="K190" s="1">
        <v>0</v>
      </c>
      <c r="L190" s="1">
        <v>0</v>
      </c>
      <c r="M190" s="2"/>
      <c r="N190" s="2"/>
      <c r="Q190" s="1">
        <f t="shared" si="9"/>
        <v>0</v>
      </c>
      <c r="R190">
        <f t="shared" si="8"/>
        <v>0</v>
      </c>
      <c r="S190" s="1">
        <f t="shared" si="10"/>
        <v>0</v>
      </c>
      <c r="T190" s="1">
        <f t="shared" si="11"/>
        <v>0</v>
      </c>
    </row>
    <row r="191" spans="1:20" x14ac:dyDescent="0.3">
      <c r="A191" t="s">
        <v>57</v>
      </c>
      <c r="B191" t="s">
        <v>144</v>
      </c>
      <c r="C191" t="s">
        <v>34</v>
      </c>
      <c r="D191" t="s">
        <v>35</v>
      </c>
      <c r="E191" s="2">
        <v>0</v>
      </c>
      <c r="F191" s="2">
        <v>0</v>
      </c>
      <c r="G191" s="2">
        <v>0</v>
      </c>
      <c r="H191" s="2">
        <v>0</v>
      </c>
      <c r="I191" s="1">
        <v>0</v>
      </c>
      <c r="J191" s="1">
        <v>0</v>
      </c>
      <c r="K191" s="1">
        <v>0</v>
      </c>
      <c r="L191" s="1">
        <v>0</v>
      </c>
      <c r="M191" s="2"/>
      <c r="N191" s="2"/>
      <c r="Q191" s="1">
        <f t="shared" si="9"/>
        <v>0</v>
      </c>
      <c r="R191">
        <f t="shared" si="8"/>
        <v>0</v>
      </c>
      <c r="S191" s="1">
        <f t="shared" si="10"/>
        <v>0</v>
      </c>
      <c r="T191" s="1">
        <f t="shared" si="11"/>
        <v>0</v>
      </c>
    </row>
    <row r="192" spans="1:20" x14ac:dyDescent="0.3">
      <c r="A192" t="s">
        <v>57</v>
      </c>
      <c r="B192" t="s">
        <v>145</v>
      </c>
      <c r="C192" t="s">
        <v>34</v>
      </c>
      <c r="D192" t="s">
        <v>35</v>
      </c>
      <c r="E192" s="2">
        <v>111.72499999999999</v>
      </c>
      <c r="F192" s="2">
        <v>0</v>
      </c>
      <c r="G192" s="2">
        <v>94.567999999999998</v>
      </c>
      <c r="H192" s="2">
        <v>-86.406999999999996</v>
      </c>
      <c r="I192" s="1">
        <v>0.92321772208547703</v>
      </c>
      <c r="J192" s="1">
        <v>0.88669501006936602</v>
      </c>
      <c r="K192" s="1">
        <v>0.80290535193541102</v>
      </c>
      <c r="L192" s="1">
        <v>0.50700738021943303</v>
      </c>
      <c r="M192" s="2"/>
      <c r="N192" s="2"/>
      <c r="Q192" s="1">
        <f t="shared" si="9"/>
        <v>103.14649999999992</v>
      </c>
      <c r="R192">
        <f t="shared" si="8"/>
        <v>99.065999999999917</v>
      </c>
      <c r="S192" s="1">
        <f t="shared" si="10"/>
        <v>89.704600444983797</v>
      </c>
      <c r="T192" s="1">
        <f t="shared" si="11"/>
        <v>56.645399555016155</v>
      </c>
    </row>
    <row r="193" spans="1:20" x14ac:dyDescent="0.3">
      <c r="A193" t="s">
        <v>57</v>
      </c>
      <c r="B193" t="s">
        <v>146</v>
      </c>
      <c r="C193" t="s">
        <v>580</v>
      </c>
      <c r="D193" t="s">
        <v>581</v>
      </c>
      <c r="E193" s="2">
        <v>76.466999999999999</v>
      </c>
      <c r="F193" s="2">
        <v>0</v>
      </c>
      <c r="G193" s="2">
        <v>44.030999999999999</v>
      </c>
      <c r="H193" s="2">
        <v>-45.016999999999904</v>
      </c>
      <c r="I193" s="1">
        <v>0.78790850955313996</v>
      </c>
      <c r="J193" s="1">
        <v>0.79435573515372604</v>
      </c>
      <c r="K193" s="1">
        <v>0.62304801417604905</v>
      </c>
      <c r="L193" s="1">
        <v>0.459216230530817</v>
      </c>
      <c r="M193" s="2"/>
      <c r="N193" s="2"/>
      <c r="Q193" s="1">
        <f t="shared" si="9"/>
        <v>60.248999999999953</v>
      </c>
      <c r="R193">
        <f t="shared" si="8"/>
        <v>60.741999999999969</v>
      </c>
      <c r="S193" s="1">
        <f t="shared" si="10"/>
        <v>47.642612499999942</v>
      </c>
      <c r="T193" s="1">
        <f t="shared" si="11"/>
        <v>35.11488749999998</v>
      </c>
    </row>
    <row r="194" spans="1:20" x14ac:dyDescent="0.3">
      <c r="A194" t="s">
        <v>57</v>
      </c>
      <c r="B194" t="s">
        <v>147</v>
      </c>
      <c r="C194" t="s">
        <v>580</v>
      </c>
      <c r="D194" t="s">
        <v>581</v>
      </c>
      <c r="E194" s="2">
        <v>99.554000000000002</v>
      </c>
      <c r="F194" s="2">
        <v>0</v>
      </c>
      <c r="G194" s="2">
        <v>77.058999999999997</v>
      </c>
      <c r="H194" s="2">
        <v>-71.638999999999996</v>
      </c>
      <c r="I194" s="1">
        <v>0.88702111416919405</v>
      </c>
      <c r="J194" s="1">
        <v>0.85979970669184502</v>
      </c>
      <c r="K194" s="1">
        <v>0.76764618621381397</v>
      </c>
      <c r="L194" s="1">
        <v>0.47917463464722498</v>
      </c>
      <c r="M194" s="2"/>
      <c r="N194" s="2"/>
      <c r="Q194" s="1">
        <f t="shared" si="9"/>
        <v>88.306499999999943</v>
      </c>
      <c r="R194">
        <f t="shared" ref="R194:R257" si="12">J194*E194</f>
        <v>85.596499999999935</v>
      </c>
      <c r="S194" s="1">
        <f t="shared" si="10"/>
        <v>76.422248422330043</v>
      </c>
      <c r="T194" s="1">
        <f t="shared" si="11"/>
        <v>47.703751577669834</v>
      </c>
    </row>
    <row r="195" spans="1:20" x14ac:dyDescent="0.3">
      <c r="A195" t="s">
        <v>57</v>
      </c>
      <c r="B195" t="s">
        <v>148</v>
      </c>
      <c r="C195" t="s">
        <v>34</v>
      </c>
      <c r="D195" t="s">
        <v>35</v>
      </c>
      <c r="E195" s="2">
        <v>354.84899999999999</v>
      </c>
      <c r="F195" s="2">
        <v>0</v>
      </c>
      <c r="G195" s="2">
        <v>301.67899999999997</v>
      </c>
      <c r="H195" s="2">
        <v>-275.16800000000001</v>
      </c>
      <c r="I195" s="1">
        <v>0.92508080902017398</v>
      </c>
      <c r="J195" s="1">
        <v>0.88772548323371303</v>
      </c>
      <c r="K195" s="1">
        <v>0.81603230363271295</v>
      </c>
      <c r="L195" s="1">
        <v>0.496773988621174</v>
      </c>
      <c r="M195" s="2"/>
      <c r="N195" s="2"/>
      <c r="Q195" s="1">
        <f t="shared" ref="Q195:Q258" si="13">I195*E195</f>
        <v>328.26399999999973</v>
      </c>
      <c r="R195">
        <f t="shared" si="12"/>
        <v>315.0084999999998</v>
      </c>
      <c r="S195" s="1">
        <f t="shared" ref="S195:S258" si="14">K195*E195</f>
        <v>289.56824691176456</v>
      </c>
      <c r="T195" s="1">
        <f t="shared" ref="T195:T258" si="15">L195*E195</f>
        <v>176.27975308823497</v>
      </c>
    </row>
    <row r="196" spans="1:20" x14ac:dyDescent="0.3">
      <c r="A196" t="s">
        <v>57</v>
      </c>
      <c r="B196" t="s">
        <v>149</v>
      </c>
      <c r="C196" t="s">
        <v>34</v>
      </c>
      <c r="D196" t="s">
        <v>35</v>
      </c>
      <c r="E196" s="2">
        <v>315.59699999999998</v>
      </c>
      <c r="F196" s="2">
        <v>0</v>
      </c>
      <c r="G196" s="2">
        <v>231.02099999999999</v>
      </c>
      <c r="H196" s="2">
        <v>-201.02799999999999</v>
      </c>
      <c r="I196" s="1">
        <v>0.86600633085865797</v>
      </c>
      <c r="J196" s="1">
        <v>0.81848845204485399</v>
      </c>
      <c r="K196" s="1">
        <v>0.76314574901905896</v>
      </c>
      <c r="L196" s="1">
        <v>0.42134903388445299</v>
      </c>
      <c r="M196" s="2"/>
      <c r="N196" s="2"/>
      <c r="Q196" s="1">
        <f t="shared" si="13"/>
        <v>273.30899999999986</v>
      </c>
      <c r="R196">
        <f t="shared" si="12"/>
        <v>258.31249999999977</v>
      </c>
      <c r="S196" s="1">
        <f t="shared" si="14"/>
        <v>240.84650895316793</v>
      </c>
      <c r="T196" s="1">
        <f t="shared" si="15"/>
        <v>132.97649104683171</v>
      </c>
    </row>
    <row r="197" spans="1:20" x14ac:dyDescent="0.3">
      <c r="A197" t="s">
        <v>57</v>
      </c>
      <c r="B197" t="s">
        <v>150</v>
      </c>
      <c r="C197" t="s">
        <v>580</v>
      </c>
      <c r="D197" t="s">
        <v>581</v>
      </c>
      <c r="E197" s="2">
        <v>54.831000000000003</v>
      </c>
      <c r="F197" s="2">
        <v>0</v>
      </c>
      <c r="G197" s="2">
        <v>35.588000000000001</v>
      </c>
      <c r="H197" s="2">
        <v>-31.701000000000001</v>
      </c>
      <c r="I197" s="1">
        <v>0.82452444784884404</v>
      </c>
      <c r="J197" s="1">
        <v>0.78907917054221099</v>
      </c>
      <c r="K197" s="1">
        <v>0.64877888169939502</v>
      </c>
      <c r="L197" s="1">
        <v>0.46482473669166002</v>
      </c>
      <c r="M197" s="2"/>
      <c r="N197" s="2"/>
      <c r="Q197" s="1">
        <f t="shared" si="13"/>
        <v>45.20949999999997</v>
      </c>
      <c r="R197">
        <f t="shared" si="12"/>
        <v>43.265999999999977</v>
      </c>
      <c r="S197" s="1">
        <f t="shared" si="14"/>
        <v>35.57319486245953</v>
      </c>
      <c r="T197" s="1">
        <f t="shared" si="15"/>
        <v>25.486805137540411</v>
      </c>
    </row>
    <row r="198" spans="1:20" x14ac:dyDescent="0.3">
      <c r="A198" t="s">
        <v>57</v>
      </c>
      <c r="B198" t="s">
        <v>151</v>
      </c>
      <c r="C198" t="s">
        <v>580</v>
      </c>
      <c r="D198" t="s">
        <v>581</v>
      </c>
      <c r="E198" s="2">
        <v>442.113</v>
      </c>
      <c r="F198" s="2">
        <v>0</v>
      </c>
      <c r="G198" s="2">
        <v>276.85700000000003</v>
      </c>
      <c r="H198" s="2">
        <v>-333.08800000000002</v>
      </c>
      <c r="I198" s="1">
        <v>0.81310660396776302</v>
      </c>
      <c r="J198" s="1">
        <v>0.87670007441536402</v>
      </c>
      <c r="K198" s="1">
        <v>0.59934999210213702</v>
      </c>
      <c r="L198" s="1">
        <v>0.59045668628099002</v>
      </c>
      <c r="M198" s="2"/>
      <c r="N198" s="2"/>
      <c r="Q198" s="1">
        <f t="shared" si="13"/>
        <v>359.48499999999962</v>
      </c>
      <c r="R198">
        <f t="shared" si="12"/>
        <v>387.60049999999984</v>
      </c>
      <c r="S198" s="1">
        <f t="shared" si="14"/>
        <v>264.98042305825209</v>
      </c>
      <c r="T198" s="1">
        <f t="shared" si="15"/>
        <v>261.04857694174734</v>
      </c>
    </row>
    <row r="199" spans="1:20" x14ac:dyDescent="0.3">
      <c r="A199" t="s">
        <v>57</v>
      </c>
      <c r="B199" t="s">
        <v>152</v>
      </c>
      <c r="C199" t="s">
        <v>34</v>
      </c>
      <c r="D199" t="s">
        <v>35</v>
      </c>
      <c r="E199" s="2">
        <v>211.74</v>
      </c>
      <c r="F199" s="2">
        <v>0</v>
      </c>
      <c r="G199" s="2">
        <v>156.881</v>
      </c>
      <c r="H199" s="2">
        <v>-153.74799999999999</v>
      </c>
      <c r="I199" s="1">
        <v>0.87045669216964106</v>
      </c>
      <c r="J199" s="1">
        <v>0.86305846793236896</v>
      </c>
      <c r="K199" s="1">
        <v>0.77637693010015896</v>
      </c>
      <c r="L199" s="1">
        <v>0.457138230001852</v>
      </c>
      <c r="M199" s="2"/>
      <c r="N199" s="2"/>
      <c r="Q199" s="1">
        <f t="shared" si="13"/>
        <v>184.31049999999979</v>
      </c>
      <c r="R199">
        <f t="shared" si="12"/>
        <v>182.7439999999998</v>
      </c>
      <c r="S199" s="1">
        <f t="shared" si="14"/>
        <v>164.39005117940766</v>
      </c>
      <c r="T199" s="1">
        <f t="shared" si="15"/>
        <v>96.794448820592152</v>
      </c>
    </row>
    <row r="200" spans="1:20" x14ac:dyDescent="0.3">
      <c r="A200" t="s">
        <v>57</v>
      </c>
      <c r="B200" t="s">
        <v>153</v>
      </c>
      <c r="C200" t="s">
        <v>580</v>
      </c>
      <c r="D200" t="s">
        <v>581</v>
      </c>
      <c r="E200" s="2">
        <v>214.62</v>
      </c>
      <c r="F200" s="2">
        <v>0</v>
      </c>
      <c r="G200" s="2">
        <v>102.22</v>
      </c>
      <c r="H200" s="2">
        <v>-128.79900000000001</v>
      </c>
      <c r="I200" s="1">
        <v>0.73814183207529505</v>
      </c>
      <c r="J200" s="1">
        <v>0.80006290187307705</v>
      </c>
      <c r="K200" s="1">
        <v>0.578104553875458</v>
      </c>
      <c r="L200" s="1">
        <v>0.46010018007291498</v>
      </c>
      <c r="M200" s="2"/>
      <c r="N200" s="2"/>
      <c r="Q200" s="1">
        <f t="shared" si="13"/>
        <v>158.41999999999982</v>
      </c>
      <c r="R200">
        <f t="shared" si="12"/>
        <v>171.70949999999979</v>
      </c>
      <c r="S200" s="1">
        <f t="shared" si="14"/>
        <v>124.07279935275081</v>
      </c>
      <c r="T200" s="1">
        <f t="shared" si="15"/>
        <v>98.746700647249014</v>
      </c>
    </row>
    <row r="201" spans="1:20" x14ac:dyDescent="0.3">
      <c r="A201" t="s">
        <v>57</v>
      </c>
      <c r="B201" t="s">
        <v>646</v>
      </c>
      <c r="C201" t="s">
        <v>580</v>
      </c>
      <c r="D201" t="s">
        <v>581</v>
      </c>
      <c r="E201" s="2">
        <v>170.654</v>
      </c>
      <c r="F201" s="2">
        <v>0</v>
      </c>
      <c r="G201" s="2">
        <v>130.52099999999999</v>
      </c>
      <c r="H201" s="2">
        <v>-148.298</v>
      </c>
      <c r="I201" s="1">
        <v>0.88241412448580103</v>
      </c>
      <c r="J201" s="1">
        <v>0.93449904485098501</v>
      </c>
      <c r="K201" s="1">
        <v>0.59920021915120103</v>
      </c>
      <c r="L201" s="1">
        <v>0.71771295018558501</v>
      </c>
      <c r="M201" s="2"/>
      <c r="N201" s="2"/>
      <c r="Q201" s="1">
        <f t="shared" si="13"/>
        <v>150.58749999999989</v>
      </c>
      <c r="R201">
        <f t="shared" si="12"/>
        <v>159.476</v>
      </c>
      <c r="S201" s="1">
        <f t="shared" si="14"/>
        <v>102.25591419902906</v>
      </c>
      <c r="T201" s="1">
        <f t="shared" si="15"/>
        <v>122.48058580097081</v>
      </c>
    </row>
    <row r="202" spans="1:20" x14ac:dyDescent="0.3">
      <c r="A202" t="s">
        <v>57</v>
      </c>
      <c r="B202" t="s">
        <v>647</v>
      </c>
      <c r="C202" t="s">
        <v>580</v>
      </c>
      <c r="D202" t="s">
        <v>581</v>
      </c>
      <c r="E202" s="2">
        <v>345.053</v>
      </c>
      <c r="F202" s="2">
        <v>0</v>
      </c>
      <c r="G202" s="2">
        <v>213.577</v>
      </c>
      <c r="H202" s="2">
        <v>-243.47200000000001</v>
      </c>
      <c r="I202" s="1">
        <v>0.80948434008688497</v>
      </c>
      <c r="J202" s="1">
        <v>0.85280377217412995</v>
      </c>
      <c r="K202" s="1">
        <v>0.60324054821107698</v>
      </c>
      <c r="L202" s="1">
        <v>0.55904756404993705</v>
      </c>
      <c r="M202" s="2"/>
      <c r="N202" s="2"/>
      <c r="Q202" s="1">
        <f t="shared" si="13"/>
        <v>279.31499999999994</v>
      </c>
      <c r="R202">
        <f t="shared" si="12"/>
        <v>294.26250000000005</v>
      </c>
      <c r="S202" s="1">
        <f t="shared" si="14"/>
        <v>208.14996088187675</v>
      </c>
      <c r="T202" s="1">
        <f t="shared" si="15"/>
        <v>192.90103911812292</v>
      </c>
    </row>
    <row r="203" spans="1:20" x14ac:dyDescent="0.3">
      <c r="A203" t="s">
        <v>57</v>
      </c>
      <c r="B203" t="s">
        <v>154</v>
      </c>
      <c r="C203" t="s">
        <v>580</v>
      </c>
      <c r="D203" t="s">
        <v>581</v>
      </c>
      <c r="E203" s="2">
        <v>158.02199999999999</v>
      </c>
      <c r="F203" s="2">
        <v>0</v>
      </c>
      <c r="G203" s="2">
        <v>75.957999999999998</v>
      </c>
      <c r="H203" s="2">
        <v>-86.027000000000001</v>
      </c>
      <c r="I203" s="1">
        <v>0.740339952664818</v>
      </c>
      <c r="J203" s="1">
        <v>0.77219944058422196</v>
      </c>
      <c r="K203" s="1">
        <v>0.59582544121810999</v>
      </c>
      <c r="L203" s="1">
        <v>0.41671395203092998</v>
      </c>
      <c r="M203" s="2"/>
      <c r="N203" s="2"/>
      <c r="Q203" s="1">
        <f t="shared" si="13"/>
        <v>116.98999999999987</v>
      </c>
      <c r="R203">
        <f t="shared" si="12"/>
        <v>122.02449999999992</v>
      </c>
      <c r="S203" s="1">
        <f t="shared" si="14"/>
        <v>94.153527872168169</v>
      </c>
      <c r="T203" s="1">
        <f t="shared" si="15"/>
        <v>65.84997212783162</v>
      </c>
    </row>
    <row r="204" spans="1:20" x14ac:dyDescent="0.3">
      <c r="A204" t="s">
        <v>57</v>
      </c>
      <c r="B204" t="s">
        <v>155</v>
      </c>
      <c r="C204" t="s">
        <v>580</v>
      </c>
      <c r="D204" t="s">
        <v>581</v>
      </c>
      <c r="E204" s="2">
        <v>84.757999999999996</v>
      </c>
      <c r="F204" s="2">
        <v>0</v>
      </c>
      <c r="G204" s="2">
        <v>43.338999999999999</v>
      </c>
      <c r="H204" s="2">
        <v>-43.716999999999999</v>
      </c>
      <c r="I204" s="1">
        <v>0.75566318223648499</v>
      </c>
      <c r="J204" s="1">
        <v>0.75789306024210101</v>
      </c>
      <c r="K204" s="1">
        <v>0.59448691719757096</v>
      </c>
      <c r="L204" s="1">
        <v>0.41906932528101498</v>
      </c>
      <c r="M204" s="2"/>
      <c r="N204" s="2"/>
      <c r="Q204" s="1">
        <f t="shared" si="13"/>
        <v>64.04849999999999</v>
      </c>
      <c r="R204">
        <f t="shared" si="12"/>
        <v>64.237499999999997</v>
      </c>
      <c r="S204" s="1">
        <f t="shared" si="14"/>
        <v>50.387522127831716</v>
      </c>
      <c r="T204" s="1">
        <f t="shared" si="15"/>
        <v>35.519477872168267</v>
      </c>
    </row>
    <row r="205" spans="1:20" x14ac:dyDescent="0.3">
      <c r="A205" t="s">
        <v>57</v>
      </c>
      <c r="B205" t="s">
        <v>648</v>
      </c>
      <c r="C205" t="s">
        <v>580</v>
      </c>
      <c r="D205" t="s">
        <v>581</v>
      </c>
      <c r="E205" s="2">
        <v>113.274</v>
      </c>
      <c r="F205" s="2">
        <v>0</v>
      </c>
      <c r="G205" s="2">
        <v>93.284000000000006</v>
      </c>
      <c r="H205" s="2">
        <v>-104.681</v>
      </c>
      <c r="I205" s="1">
        <v>0.911762628670303</v>
      </c>
      <c r="J205" s="1">
        <v>0.96206984833236198</v>
      </c>
      <c r="K205" s="1">
        <v>0.74814713462496296</v>
      </c>
      <c r="L205" s="1">
        <v>0.62568534237770201</v>
      </c>
      <c r="M205" s="2"/>
      <c r="N205" s="2"/>
      <c r="Q205" s="1">
        <f t="shared" si="13"/>
        <v>103.2789999999999</v>
      </c>
      <c r="R205">
        <f t="shared" si="12"/>
        <v>108.97749999999998</v>
      </c>
      <c r="S205" s="1">
        <f t="shared" si="14"/>
        <v>84.745618527508057</v>
      </c>
      <c r="T205" s="1">
        <f t="shared" si="15"/>
        <v>70.873881472491817</v>
      </c>
    </row>
    <row r="206" spans="1:20" x14ac:dyDescent="0.3">
      <c r="A206" t="s">
        <v>57</v>
      </c>
      <c r="B206" t="s">
        <v>649</v>
      </c>
      <c r="C206" t="s">
        <v>580</v>
      </c>
      <c r="D206" t="s">
        <v>581</v>
      </c>
      <c r="E206" s="2">
        <v>362.435</v>
      </c>
      <c r="F206" s="2">
        <v>8.7999999999999995E-2</v>
      </c>
      <c r="G206" s="2">
        <v>233.06299999999999</v>
      </c>
      <c r="H206" s="2">
        <v>-219.387</v>
      </c>
      <c r="I206" s="1">
        <v>0.821402458371845</v>
      </c>
      <c r="J206" s="1">
        <v>0.802535627077958</v>
      </c>
      <c r="K206" s="1">
        <v>0.64306317121425705</v>
      </c>
      <c r="L206" s="1">
        <v>0.48099631531436099</v>
      </c>
      <c r="M206" s="2"/>
      <c r="N206" s="2"/>
      <c r="Q206" s="1">
        <f t="shared" si="13"/>
        <v>297.70499999999964</v>
      </c>
      <c r="R206">
        <f t="shared" si="12"/>
        <v>290.86699999999973</v>
      </c>
      <c r="S206" s="1">
        <f t="shared" si="14"/>
        <v>233.06860045903926</v>
      </c>
      <c r="T206" s="1">
        <f t="shared" si="15"/>
        <v>174.32989954096044</v>
      </c>
    </row>
    <row r="207" spans="1:20" x14ac:dyDescent="0.3">
      <c r="A207" t="s">
        <v>57</v>
      </c>
      <c r="B207" t="s">
        <v>156</v>
      </c>
      <c r="C207" t="s">
        <v>580</v>
      </c>
      <c r="D207" t="s">
        <v>581</v>
      </c>
      <c r="E207" s="2">
        <v>98.14</v>
      </c>
      <c r="F207" s="2">
        <v>0</v>
      </c>
      <c r="G207" s="2">
        <v>52.251999999999903</v>
      </c>
      <c r="H207" s="2">
        <v>-50.738</v>
      </c>
      <c r="I207" s="1">
        <v>0.76621153454249002</v>
      </c>
      <c r="J207" s="1">
        <v>0.75849806399021802</v>
      </c>
      <c r="K207" s="1">
        <v>0.53589503931705695</v>
      </c>
      <c r="L207" s="1">
        <v>0.48881455921564998</v>
      </c>
      <c r="M207" s="2"/>
      <c r="N207" s="2"/>
      <c r="Q207" s="1">
        <f t="shared" si="13"/>
        <v>75.19599999999997</v>
      </c>
      <c r="R207">
        <f t="shared" si="12"/>
        <v>74.438999999999993</v>
      </c>
      <c r="S207" s="1">
        <f t="shared" si="14"/>
        <v>52.592739158575966</v>
      </c>
      <c r="T207" s="1">
        <f t="shared" si="15"/>
        <v>47.972260841423889</v>
      </c>
    </row>
    <row r="208" spans="1:20" x14ac:dyDescent="0.3">
      <c r="A208" t="s">
        <v>57</v>
      </c>
      <c r="B208" t="s">
        <v>650</v>
      </c>
      <c r="C208" t="s">
        <v>580</v>
      </c>
      <c r="D208" t="s">
        <v>581</v>
      </c>
      <c r="E208" s="2">
        <v>0</v>
      </c>
      <c r="F208" s="2">
        <v>0</v>
      </c>
      <c r="G208" s="2">
        <v>0</v>
      </c>
      <c r="H208" s="2">
        <v>0</v>
      </c>
      <c r="I208" s="1">
        <v>0</v>
      </c>
      <c r="J208" s="1">
        <v>0</v>
      </c>
      <c r="K208" s="1">
        <v>0</v>
      </c>
      <c r="L208" s="1">
        <v>0</v>
      </c>
      <c r="M208" s="2"/>
      <c r="N208" s="2"/>
      <c r="Q208" s="1">
        <f t="shared" si="13"/>
        <v>0</v>
      </c>
      <c r="R208">
        <f t="shared" si="12"/>
        <v>0</v>
      </c>
      <c r="S208" s="1">
        <f t="shared" si="14"/>
        <v>0</v>
      </c>
      <c r="T208" s="1">
        <f t="shared" si="15"/>
        <v>0</v>
      </c>
    </row>
    <row r="209" spans="1:20" x14ac:dyDescent="0.3">
      <c r="A209" t="s">
        <v>57</v>
      </c>
      <c r="B209" t="s">
        <v>157</v>
      </c>
      <c r="C209" t="s">
        <v>34</v>
      </c>
      <c r="D209" t="s">
        <v>35</v>
      </c>
      <c r="E209" s="2">
        <v>208.697</v>
      </c>
      <c r="F209" s="2">
        <v>0</v>
      </c>
      <c r="G209" s="2">
        <v>169.26900000000001</v>
      </c>
      <c r="H209" s="2">
        <v>-186.33199999999999</v>
      </c>
      <c r="I209" s="1">
        <v>0.90553769340239598</v>
      </c>
      <c r="J209" s="1">
        <v>0.94641753355342895</v>
      </c>
      <c r="K209" s="1">
        <v>0.77882394996149096</v>
      </c>
      <c r="L209" s="1">
        <v>0.57313127699433497</v>
      </c>
      <c r="M209" s="2"/>
      <c r="N209" s="2"/>
      <c r="Q209" s="1">
        <f t="shared" si="13"/>
        <v>188.98299999999983</v>
      </c>
      <c r="R209">
        <f t="shared" si="12"/>
        <v>197.51449999999997</v>
      </c>
      <c r="S209" s="1">
        <f t="shared" si="14"/>
        <v>162.53822188511327</v>
      </c>
      <c r="T209" s="1">
        <f t="shared" si="15"/>
        <v>119.61077811488673</v>
      </c>
    </row>
    <row r="210" spans="1:20" x14ac:dyDescent="0.3">
      <c r="A210" t="s">
        <v>57</v>
      </c>
      <c r="B210" t="s">
        <v>158</v>
      </c>
      <c r="C210" t="s">
        <v>580</v>
      </c>
      <c r="D210" t="s">
        <v>581</v>
      </c>
      <c r="E210" s="2">
        <v>401.07400000000001</v>
      </c>
      <c r="F210" s="2">
        <v>0</v>
      </c>
      <c r="G210" s="2">
        <v>360.96</v>
      </c>
      <c r="H210" s="2">
        <v>-365.40300000000002</v>
      </c>
      <c r="I210" s="1">
        <v>0.94999177209193297</v>
      </c>
      <c r="J210" s="1">
        <v>0.95553065020420103</v>
      </c>
      <c r="K210" s="1">
        <v>0.79120738678702696</v>
      </c>
      <c r="L210" s="1">
        <v>0.61431503550910704</v>
      </c>
      <c r="M210" s="2"/>
      <c r="N210" s="2"/>
      <c r="Q210" s="1">
        <f t="shared" si="13"/>
        <v>381.01699999999994</v>
      </c>
      <c r="R210">
        <f t="shared" si="12"/>
        <v>383.23849999999976</v>
      </c>
      <c r="S210" s="1">
        <f t="shared" si="14"/>
        <v>317.33271144822004</v>
      </c>
      <c r="T210" s="1">
        <f t="shared" si="15"/>
        <v>246.3857885517796</v>
      </c>
    </row>
    <row r="211" spans="1:20" x14ac:dyDescent="0.3">
      <c r="A211" t="s">
        <v>57</v>
      </c>
      <c r="B211" t="s">
        <v>159</v>
      </c>
      <c r="C211" t="s">
        <v>580</v>
      </c>
      <c r="D211" t="s">
        <v>581</v>
      </c>
      <c r="E211" s="2">
        <v>240.53100000000001</v>
      </c>
      <c r="F211" s="2">
        <v>0</v>
      </c>
      <c r="G211" s="2">
        <v>128.768</v>
      </c>
      <c r="H211" s="2">
        <v>-193.453</v>
      </c>
      <c r="I211" s="1">
        <v>0.76767443697485904</v>
      </c>
      <c r="J211" s="1">
        <v>0.902137354436642</v>
      </c>
      <c r="K211" s="1">
        <v>0.49799428096605503</v>
      </c>
      <c r="L211" s="1">
        <v>0.67181751044544702</v>
      </c>
      <c r="M211" s="2"/>
      <c r="N211" s="2"/>
      <c r="Q211" s="1">
        <f t="shared" si="13"/>
        <v>184.64949999999982</v>
      </c>
      <c r="R211">
        <f t="shared" si="12"/>
        <v>216.99199999999993</v>
      </c>
      <c r="S211" s="1">
        <f t="shared" si="14"/>
        <v>119.78306239504619</v>
      </c>
      <c r="T211" s="1">
        <f t="shared" si="15"/>
        <v>161.59293760495382</v>
      </c>
    </row>
    <row r="212" spans="1:20" x14ac:dyDescent="0.3">
      <c r="A212" t="s">
        <v>57</v>
      </c>
      <c r="B212" t="s">
        <v>651</v>
      </c>
      <c r="C212" t="s">
        <v>580</v>
      </c>
      <c r="D212" t="s">
        <v>581</v>
      </c>
      <c r="E212" s="2">
        <v>230.49199999999999</v>
      </c>
      <c r="F212" s="2">
        <v>0</v>
      </c>
      <c r="G212" s="2">
        <v>129.43700000000001</v>
      </c>
      <c r="H212" s="2">
        <v>-174.661</v>
      </c>
      <c r="I212" s="1">
        <v>0.78078414869062696</v>
      </c>
      <c r="J212" s="1">
        <v>0.87888733665376595</v>
      </c>
      <c r="K212" s="1">
        <v>0.501547638950126</v>
      </c>
      <c r="L212" s="1">
        <v>0.65812384639426602</v>
      </c>
      <c r="M212" s="2"/>
      <c r="N212" s="2"/>
      <c r="Q212" s="1">
        <f t="shared" si="13"/>
        <v>179.96449999999999</v>
      </c>
      <c r="R212">
        <f t="shared" si="12"/>
        <v>202.57649999999981</v>
      </c>
      <c r="S212" s="1">
        <f t="shared" si="14"/>
        <v>115.60271839689244</v>
      </c>
      <c r="T212" s="1">
        <f t="shared" si="15"/>
        <v>151.69228160310715</v>
      </c>
    </row>
    <row r="213" spans="1:20" x14ac:dyDescent="0.3">
      <c r="A213" t="s">
        <v>57</v>
      </c>
      <c r="B213" t="s">
        <v>160</v>
      </c>
      <c r="C213" t="s">
        <v>580</v>
      </c>
      <c r="D213" t="s">
        <v>581</v>
      </c>
      <c r="E213" s="2">
        <v>536.93200000000002</v>
      </c>
      <c r="F213" s="2">
        <v>0</v>
      </c>
      <c r="G213" s="2">
        <v>438.46199999999999</v>
      </c>
      <c r="H213" s="2">
        <v>-427.43799999999999</v>
      </c>
      <c r="I213" s="1">
        <v>0.90830309983387003</v>
      </c>
      <c r="J213" s="1">
        <v>0.89803736786036203</v>
      </c>
      <c r="K213" s="1">
        <v>0.71080563471700398</v>
      </c>
      <c r="L213" s="1">
        <v>0.59553483297722798</v>
      </c>
      <c r="M213" s="2"/>
      <c r="N213" s="2"/>
      <c r="Q213" s="1">
        <f t="shared" si="13"/>
        <v>487.69699999999949</v>
      </c>
      <c r="R213">
        <f t="shared" si="12"/>
        <v>482.18499999999995</v>
      </c>
      <c r="S213" s="1">
        <f t="shared" si="14"/>
        <v>381.65429105987039</v>
      </c>
      <c r="T213" s="1">
        <f t="shared" si="15"/>
        <v>319.76170894012898</v>
      </c>
    </row>
    <row r="214" spans="1:20" x14ac:dyDescent="0.3">
      <c r="A214" t="s">
        <v>57</v>
      </c>
      <c r="B214" t="s">
        <v>652</v>
      </c>
      <c r="C214" t="s">
        <v>580</v>
      </c>
      <c r="D214" t="s">
        <v>581</v>
      </c>
      <c r="E214" s="2">
        <v>90.959000000000003</v>
      </c>
      <c r="F214" s="2">
        <v>0</v>
      </c>
      <c r="G214" s="2">
        <v>72.546000000000006</v>
      </c>
      <c r="H214" s="2">
        <v>-66.555999999999997</v>
      </c>
      <c r="I214" s="1">
        <v>0.89878406754691598</v>
      </c>
      <c r="J214" s="1">
        <v>0.865857144427709</v>
      </c>
      <c r="K214" s="1">
        <v>0.74819972589093797</v>
      </c>
      <c r="L214" s="1">
        <v>0.51644148608368701</v>
      </c>
      <c r="M214" s="2"/>
      <c r="N214" s="2"/>
      <c r="Q214" s="1">
        <f t="shared" si="13"/>
        <v>81.752499999999927</v>
      </c>
      <c r="R214">
        <f t="shared" si="12"/>
        <v>78.757499999999979</v>
      </c>
      <c r="S214" s="1">
        <f t="shared" si="14"/>
        <v>68.05549886731383</v>
      </c>
      <c r="T214" s="1">
        <f t="shared" si="15"/>
        <v>46.975001132686089</v>
      </c>
    </row>
    <row r="215" spans="1:20" x14ac:dyDescent="0.3">
      <c r="A215" t="s">
        <v>57</v>
      </c>
      <c r="B215" t="s">
        <v>653</v>
      </c>
      <c r="C215" t="s">
        <v>580</v>
      </c>
      <c r="D215" t="s">
        <v>581</v>
      </c>
      <c r="E215" s="2">
        <v>510.298</v>
      </c>
      <c r="F215" s="2">
        <v>0</v>
      </c>
      <c r="G215" s="2">
        <v>332.34699999999998</v>
      </c>
      <c r="H215" s="2">
        <v>-338.22</v>
      </c>
      <c r="I215" s="1">
        <v>0.82564011616741495</v>
      </c>
      <c r="J215" s="1">
        <v>0.83139459688260497</v>
      </c>
      <c r="K215" s="1">
        <v>0.571729283036855</v>
      </c>
      <c r="L215" s="1">
        <v>0.58530543001316604</v>
      </c>
      <c r="M215" s="2"/>
      <c r="N215" s="2"/>
      <c r="Q215" s="1">
        <f t="shared" si="13"/>
        <v>421.32249999999954</v>
      </c>
      <c r="R215">
        <f t="shared" si="12"/>
        <v>424.25899999999956</v>
      </c>
      <c r="S215" s="1">
        <f t="shared" si="14"/>
        <v>291.75230967514102</v>
      </c>
      <c r="T215" s="1">
        <f t="shared" si="15"/>
        <v>298.68019032485859</v>
      </c>
    </row>
    <row r="216" spans="1:20" x14ac:dyDescent="0.3">
      <c r="A216" t="s">
        <v>57</v>
      </c>
      <c r="B216" t="s">
        <v>161</v>
      </c>
      <c r="C216" t="s">
        <v>580</v>
      </c>
      <c r="D216" t="s">
        <v>581</v>
      </c>
      <c r="E216" s="2">
        <v>82.251000000000005</v>
      </c>
      <c r="F216" s="2">
        <v>0</v>
      </c>
      <c r="G216" s="2">
        <v>68.396000000000001</v>
      </c>
      <c r="H216" s="2">
        <v>-55.317999999999998</v>
      </c>
      <c r="I216" s="1">
        <v>0.91577609998662601</v>
      </c>
      <c r="J216" s="1">
        <v>0.836275546801862</v>
      </c>
      <c r="K216" s="1">
        <v>0.801407138536673</v>
      </c>
      <c r="L216" s="1">
        <v>0.45064450825181501</v>
      </c>
      <c r="M216" s="2"/>
      <c r="N216" s="2"/>
      <c r="Q216" s="1">
        <f t="shared" si="13"/>
        <v>75.323499999999981</v>
      </c>
      <c r="R216">
        <f t="shared" si="12"/>
        <v>68.784499999999952</v>
      </c>
      <c r="S216" s="1">
        <f t="shared" si="14"/>
        <v>65.916538551779894</v>
      </c>
      <c r="T216" s="1">
        <f t="shared" si="15"/>
        <v>37.065961448220037</v>
      </c>
    </row>
    <row r="217" spans="1:20" x14ac:dyDescent="0.3">
      <c r="A217" t="s">
        <v>57</v>
      </c>
      <c r="B217" t="s">
        <v>162</v>
      </c>
      <c r="C217" t="s">
        <v>580</v>
      </c>
      <c r="D217" t="s">
        <v>581</v>
      </c>
      <c r="E217" s="2">
        <v>241.01400000000001</v>
      </c>
      <c r="F217" s="2">
        <v>0</v>
      </c>
      <c r="G217" s="2">
        <v>144.87200000000001</v>
      </c>
      <c r="H217" s="2">
        <v>-192.47800000000001</v>
      </c>
      <c r="I217" s="1">
        <v>0.80054685619922406</v>
      </c>
      <c r="J217" s="1">
        <v>0.89930875384832398</v>
      </c>
      <c r="K217" s="1">
        <v>0.60372033656050195</v>
      </c>
      <c r="L217" s="1">
        <v>0.59613527348704698</v>
      </c>
      <c r="M217" s="2"/>
      <c r="N217" s="2"/>
      <c r="Q217" s="1">
        <f t="shared" si="13"/>
        <v>192.94299999999978</v>
      </c>
      <c r="R217">
        <f t="shared" si="12"/>
        <v>216.74599999999995</v>
      </c>
      <c r="S217" s="1">
        <f t="shared" si="14"/>
        <v>145.50505319579281</v>
      </c>
      <c r="T217" s="1">
        <f t="shared" si="15"/>
        <v>143.67694680420715</v>
      </c>
    </row>
    <row r="218" spans="1:20" x14ac:dyDescent="0.3">
      <c r="A218" t="s">
        <v>57</v>
      </c>
      <c r="B218" t="s">
        <v>163</v>
      </c>
      <c r="C218" t="s">
        <v>580</v>
      </c>
      <c r="D218" t="s">
        <v>581</v>
      </c>
      <c r="E218" s="2">
        <v>224.31100000000001</v>
      </c>
      <c r="F218" s="2">
        <v>0</v>
      </c>
      <c r="G218" s="2">
        <v>118.393</v>
      </c>
      <c r="H218" s="2">
        <v>-165.22200000000001</v>
      </c>
      <c r="I218" s="1">
        <v>0.76390368729130498</v>
      </c>
      <c r="J218" s="1">
        <v>0.868287779021091</v>
      </c>
      <c r="K218" s="1">
        <v>0.58405062116211404</v>
      </c>
      <c r="L218" s="1">
        <v>0.54814084515028105</v>
      </c>
      <c r="M218" s="2"/>
      <c r="N218" s="2"/>
      <c r="Q218" s="1">
        <f t="shared" si="13"/>
        <v>171.35199999999992</v>
      </c>
      <c r="R218">
        <f t="shared" si="12"/>
        <v>194.76649999999995</v>
      </c>
      <c r="S218" s="1">
        <f t="shared" si="14"/>
        <v>131.00897888349496</v>
      </c>
      <c r="T218" s="1">
        <f t="shared" si="15"/>
        <v>122.95402111650469</v>
      </c>
    </row>
    <row r="219" spans="1:20" x14ac:dyDescent="0.3">
      <c r="A219" t="s">
        <v>57</v>
      </c>
      <c r="B219" t="s">
        <v>164</v>
      </c>
      <c r="C219" t="s">
        <v>580</v>
      </c>
      <c r="D219" t="s">
        <v>581</v>
      </c>
      <c r="E219" s="2">
        <v>67.177000000000007</v>
      </c>
      <c r="F219" s="2">
        <v>0</v>
      </c>
      <c r="G219" s="2">
        <v>41.481000000000002</v>
      </c>
      <c r="H219" s="2">
        <v>-42.57</v>
      </c>
      <c r="I219" s="1">
        <v>0.80874406418863598</v>
      </c>
      <c r="J219" s="1">
        <v>0.81684951694776398</v>
      </c>
      <c r="K219" s="1">
        <v>0.69187751680786402</v>
      </c>
      <c r="L219" s="1">
        <v>0.43371606432853499</v>
      </c>
      <c r="M219" s="2"/>
      <c r="N219" s="2"/>
      <c r="Q219" s="1">
        <f t="shared" si="13"/>
        <v>54.329000000000008</v>
      </c>
      <c r="R219">
        <f t="shared" si="12"/>
        <v>54.873499999999943</v>
      </c>
      <c r="S219" s="1">
        <f t="shared" si="14"/>
        <v>46.478255946601884</v>
      </c>
      <c r="T219" s="1">
        <f t="shared" si="15"/>
        <v>29.135744053397996</v>
      </c>
    </row>
    <row r="220" spans="1:20" x14ac:dyDescent="0.3">
      <c r="A220" t="s">
        <v>57</v>
      </c>
      <c r="B220" t="s">
        <v>165</v>
      </c>
      <c r="C220" t="s">
        <v>580</v>
      </c>
      <c r="D220" t="s">
        <v>581</v>
      </c>
      <c r="E220" s="2">
        <v>103.54300000000001</v>
      </c>
      <c r="F220" s="2">
        <v>0</v>
      </c>
      <c r="G220" s="2">
        <v>67.887</v>
      </c>
      <c r="H220" s="2">
        <v>-78.983999999999995</v>
      </c>
      <c r="I220" s="1">
        <v>0.82782032585495802</v>
      </c>
      <c r="J220" s="1">
        <v>0.88140675854475903</v>
      </c>
      <c r="K220" s="1">
        <v>0.73264769663883</v>
      </c>
      <c r="L220" s="1">
        <v>0.47657938776088699</v>
      </c>
      <c r="M220" s="2"/>
      <c r="N220" s="2"/>
      <c r="Q220" s="1">
        <f t="shared" si="13"/>
        <v>85.714999999999918</v>
      </c>
      <c r="R220">
        <f t="shared" si="12"/>
        <v>91.263499999999993</v>
      </c>
      <c r="S220" s="1">
        <f t="shared" si="14"/>
        <v>75.860540453074378</v>
      </c>
      <c r="T220" s="1">
        <f t="shared" si="15"/>
        <v>49.346459546925523</v>
      </c>
    </row>
    <row r="221" spans="1:20" x14ac:dyDescent="0.3">
      <c r="A221" t="s">
        <v>57</v>
      </c>
      <c r="B221" t="s">
        <v>166</v>
      </c>
      <c r="C221" t="s">
        <v>580</v>
      </c>
      <c r="D221" t="s">
        <v>581</v>
      </c>
      <c r="E221" s="2">
        <v>0</v>
      </c>
      <c r="F221" s="2">
        <v>0</v>
      </c>
      <c r="G221" s="2">
        <v>0</v>
      </c>
      <c r="H221" s="2">
        <v>0</v>
      </c>
      <c r="I221" s="1">
        <v>0</v>
      </c>
      <c r="J221" s="1">
        <v>0</v>
      </c>
      <c r="K221" s="1">
        <v>0</v>
      </c>
      <c r="L221" s="1">
        <v>0</v>
      </c>
      <c r="M221" s="2"/>
      <c r="N221" s="2"/>
      <c r="Q221" s="1">
        <f t="shared" si="13"/>
        <v>0</v>
      </c>
      <c r="R221">
        <f t="shared" si="12"/>
        <v>0</v>
      </c>
      <c r="S221" s="1">
        <f t="shared" si="14"/>
        <v>0</v>
      </c>
      <c r="T221" s="1">
        <f t="shared" si="15"/>
        <v>0</v>
      </c>
    </row>
    <row r="222" spans="1:20" x14ac:dyDescent="0.3">
      <c r="A222" t="s">
        <v>57</v>
      </c>
      <c r="B222" t="s">
        <v>654</v>
      </c>
      <c r="C222" t="s">
        <v>580</v>
      </c>
      <c r="D222" t="s">
        <v>581</v>
      </c>
      <c r="E222" s="2">
        <v>103.39700000000001</v>
      </c>
      <c r="F222" s="2">
        <v>0</v>
      </c>
      <c r="G222" s="2">
        <v>84.04</v>
      </c>
      <c r="H222" s="2">
        <v>-83.712999999999994</v>
      </c>
      <c r="I222" s="1">
        <v>0.90639476967416799</v>
      </c>
      <c r="J222" s="1">
        <v>0.90481348588450305</v>
      </c>
      <c r="K222" s="1">
        <v>0.71297692013870695</v>
      </c>
      <c r="L222" s="1">
        <v>0.59823133541996398</v>
      </c>
      <c r="M222" s="2"/>
      <c r="N222" s="2"/>
      <c r="Q222" s="1">
        <f t="shared" si="13"/>
        <v>93.718499999999949</v>
      </c>
      <c r="R222">
        <f t="shared" si="12"/>
        <v>93.554999999999964</v>
      </c>
      <c r="S222" s="1">
        <f t="shared" si="14"/>
        <v>73.71967461158188</v>
      </c>
      <c r="T222" s="1">
        <f t="shared" si="15"/>
        <v>61.855325388418017</v>
      </c>
    </row>
    <row r="223" spans="1:20" x14ac:dyDescent="0.3">
      <c r="A223" t="s">
        <v>57</v>
      </c>
      <c r="B223" t="s">
        <v>167</v>
      </c>
      <c r="C223" t="s">
        <v>580</v>
      </c>
      <c r="D223" t="s">
        <v>581</v>
      </c>
      <c r="E223" s="2">
        <v>96.573999999999998</v>
      </c>
      <c r="F223" s="2">
        <v>0</v>
      </c>
      <c r="G223" s="2">
        <v>76.289000000000001</v>
      </c>
      <c r="H223" s="2">
        <v>-70.821999999999903</v>
      </c>
      <c r="I223" s="1">
        <v>0.89497690889887505</v>
      </c>
      <c r="J223" s="1">
        <v>0.86667218920206202</v>
      </c>
      <c r="K223" s="1">
        <v>0.73540523287372295</v>
      </c>
      <c r="L223" s="1">
        <v>0.526243865227215</v>
      </c>
      <c r="M223" s="2"/>
      <c r="N223" s="2"/>
      <c r="Q223" s="1">
        <f t="shared" si="13"/>
        <v>86.431499999999957</v>
      </c>
      <c r="R223">
        <f t="shared" si="12"/>
        <v>83.697999999999936</v>
      </c>
      <c r="S223" s="1">
        <f t="shared" si="14"/>
        <v>71.021024959546921</v>
      </c>
      <c r="T223" s="1">
        <f t="shared" si="15"/>
        <v>50.821475040453059</v>
      </c>
    </row>
    <row r="224" spans="1:20" x14ac:dyDescent="0.3">
      <c r="A224" t="s">
        <v>57</v>
      </c>
      <c r="B224" t="s">
        <v>168</v>
      </c>
      <c r="C224" t="s">
        <v>580</v>
      </c>
      <c r="D224" t="s">
        <v>581</v>
      </c>
      <c r="E224" s="2">
        <v>0</v>
      </c>
      <c r="F224" s="2">
        <v>0</v>
      </c>
      <c r="G224" s="2">
        <v>0</v>
      </c>
      <c r="H224" s="2">
        <v>0</v>
      </c>
      <c r="I224" s="1">
        <v>0</v>
      </c>
      <c r="J224" s="1">
        <v>0</v>
      </c>
      <c r="K224" s="1">
        <v>0</v>
      </c>
      <c r="L224" s="1">
        <v>0</v>
      </c>
      <c r="M224" s="2"/>
      <c r="N224" s="2"/>
      <c r="Q224" s="1">
        <f t="shared" si="13"/>
        <v>0</v>
      </c>
      <c r="R224">
        <f t="shared" si="12"/>
        <v>0</v>
      </c>
      <c r="S224" s="1">
        <f t="shared" si="14"/>
        <v>0</v>
      </c>
      <c r="T224" s="1">
        <f t="shared" si="15"/>
        <v>0</v>
      </c>
    </row>
    <row r="225" spans="1:20" x14ac:dyDescent="0.3">
      <c r="A225" t="s">
        <v>57</v>
      </c>
      <c r="B225" t="s">
        <v>169</v>
      </c>
      <c r="C225" t="s">
        <v>580</v>
      </c>
      <c r="D225" t="s">
        <v>581</v>
      </c>
      <c r="E225" s="2">
        <v>88.206000000000003</v>
      </c>
      <c r="F225" s="2">
        <v>0</v>
      </c>
      <c r="G225" s="2">
        <v>67.179999999999893</v>
      </c>
      <c r="H225" s="2">
        <v>-76.238999999999905</v>
      </c>
      <c r="I225" s="1">
        <v>0.88081309661474205</v>
      </c>
      <c r="J225" s="1">
        <v>0.932164478606897</v>
      </c>
      <c r="K225" s="1">
        <v>0.71782455505125298</v>
      </c>
      <c r="L225" s="1">
        <v>0.59515302017038596</v>
      </c>
      <c r="M225" s="2"/>
      <c r="N225" s="2"/>
      <c r="Q225" s="1">
        <f t="shared" si="13"/>
        <v>77.692999999999941</v>
      </c>
      <c r="R225">
        <f t="shared" si="12"/>
        <v>82.222499999999954</v>
      </c>
      <c r="S225" s="1">
        <f t="shared" si="14"/>
        <v>63.316432702850825</v>
      </c>
      <c r="T225" s="1">
        <f t="shared" si="15"/>
        <v>52.496067297149068</v>
      </c>
    </row>
    <row r="226" spans="1:20" x14ac:dyDescent="0.3">
      <c r="A226" t="s">
        <v>57</v>
      </c>
      <c r="B226" t="s">
        <v>655</v>
      </c>
      <c r="C226" t="s">
        <v>580</v>
      </c>
      <c r="D226" t="s">
        <v>581</v>
      </c>
      <c r="E226" s="2">
        <v>141.893</v>
      </c>
      <c r="F226" s="2">
        <v>0</v>
      </c>
      <c r="G226" s="2">
        <v>84.411000000000001</v>
      </c>
      <c r="H226" s="2">
        <v>-104.23399999999999</v>
      </c>
      <c r="I226" s="1">
        <v>0.79744596280295699</v>
      </c>
      <c r="J226" s="1">
        <v>0.86729789348311703</v>
      </c>
      <c r="K226" s="1">
        <v>0.62768727949135805</v>
      </c>
      <c r="L226" s="1">
        <v>0.53705657679471597</v>
      </c>
      <c r="M226" s="2"/>
      <c r="N226" s="2"/>
      <c r="Q226" s="1">
        <f t="shared" si="13"/>
        <v>113.15199999999997</v>
      </c>
      <c r="R226">
        <f t="shared" si="12"/>
        <v>123.06349999999992</v>
      </c>
      <c r="S226" s="1">
        <f t="shared" si="14"/>
        <v>89.064431148867271</v>
      </c>
      <c r="T226" s="1">
        <f t="shared" si="15"/>
        <v>76.204568851132635</v>
      </c>
    </row>
    <row r="227" spans="1:20" x14ac:dyDescent="0.3">
      <c r="A227" t="s">
        <v>57</v>
      </c>
      <c r="B227" t="s">
        <v>656</v>
      </c>
      <c r="C227" t="s">
        <v>580</v>
      </c>
      <c r="D227" t="s">
        <v>581</v>
      </c>
      <c r="E227" s="2">
        <v>62.942</v>
      </c>
      <c r="F227" s="2">
        <v>0</v>
      </c>
      <c r="G227" s="2">
        <v>32.93</v>
      </c>
      <c r="H227" s="2">
        <v>-34.177999999999997</v>
      </c>
      <c r="I227" s="1">
        <v>0.76159003527056601</v>
      </c>
      <c r="J227" s="1">
        <v>0.77150392424771996</v>
      </c>
      <c r="K227" s="1">
        <v>0.58860439682539101</v>
      </c>
      <c r="L227" s="1">
        <v>0.44448956269289402</v>
      </c>
      <c r="M227" s="2"/>
      <c r="N227" s="2"/>
      <c r="Q227" s="1">
        <f t="shared" si="13"/>
        <v>47.935999999999964</v>
      </c>
      <c r="R227">
        <f t="shared" si="12"/>
        <v>48.559999999999988</v>
      </c>
      <c r="S227" s="1">
        <f t="shared" si="14"/>
        <v>37.047937944983758</v>
      </c>
      <c r="T227" s="1">
        <f t="shared" si="15"/>
        <v>27.977062055016138</v>
      </c>
    </row>
    <row r="228" spans="1:20" x14ac:dyDescent="0.3">
      <c r="A228" t="s">
        <v>57</v>
      </c>
      <c r="B228" t="s">
        <v>657</v>
      </c>
      <c r="C228" t="s">
        <v>580</v>
      </c>
      <c r="D228" t="s">
        <v>581</v>
      </c>
      <c r="E228" s="2">
        <v>121.328</v>
      </c>
      <c r="F228" s="2">
        <v>0</v>
      </c>
      <c r="G228" s="2">
        <v>74.257000000000005</v>
      </c>
      <c r="H228" s="2">
        <v>-74.162000000000006</v>
      </c>
      <c r="I228" s="1">
        <v>0.80601757220097503</v>
      </c>
      <c r="J228" s="1">
        <v>0.805626071475669</v>
      </c>
      <c r="K228" s="1">
        <v>0.65739201415073401</v>
      </c>
      <c r="L228" s="1">
        <v>0.45425162952591103</v>
      </c>
      <c r="M228" s="2"/>
      <c r="N228" s="2"/>
      <c r="Q228" s="1">
        <f t="shared" si="13"/>
        <v>97.792499999999905</v>
      </c>
      <c r="R228">
        <f t="shared" si="12"/>
        <v>97.744999999999976</v>
      </c>
      <c r="S228" s="1">
        <f t="shared" si="14"/>
        <v>79.76005829288026</v>
      </c>
      <c r="T228" s="1">
        <f t="shared" si="15"/>
        <v>55.113441707119733</v>
      </c>
    </row>
    <row r="229" spans="1:20" x14ac:dyDescent="0.3">
      <c r="A229" t="s">
        <v>57</v>
      </c>
      <c r="B229" t="s">
        <v>658</v>
      </c>
      <c r="C229" t="s">
        <v>34</v>
      </c>
      <c r="D229" t="s">
        <v>35</v>
      </c>
      <c r="E229" s="2">
        <v>220.27</v>
      </c>
      <c r="F229" s="2">
        <v>0</v>
      </c>
      <c r="G229" s="2">
        <v>196.18699999999899</v>
      </c>
      <c r="H229" s="2">
        <v>-170.482</v>
      </c>
      <c r="I229" s="1">
        <v>0.94533300040858903</v>
      </c>
      <c r="J229" s="1">
        <v>0.88698415580877998</v>
      </c>
      <c r="K229" s="1">
        <v>0.85076860728855896</v>
      </c>
      <c r="L229" s="1">
        <v>0.48154854892880999</v>
      </c>
      <c r="M229" s="2"/>
      <c r="N229" s="2"/>
      <c r="Q229" s="1">
        <f t="shared" si="13"/>
        <v>208.22849999999991</v>
      </c>
      <c r="R229">
        <f t="shared" si="12"/>
        <v>195.37599999999998</v>
      </c>
      <c r="S229" s="1">
        <f t="shared" si="14"/>
        <v>187.39880112745089</v>
      </c>
      <c r="T229" s="1">
        <f t="shared" si="15"/>
        <v>106.07069887254899</v>
      </c>
    </row>
    <row r="230" spans="1:20" x14ac:dyDescent="0.3">
      <c r="A230" t="s">
        <v>57</v>
      </c>
      <c r="B230" t="s">
        <v>170</v>
      </c>
      <c r="C230" t="s">
        <v>34</v>
      </c>
      <c r="D230" t="s">
        <v>35</v>
      </c>
      <c r="E230" s="2">
        <v>262.267</v>
      </c>
      <c r="F230" s="2">
        <v>0</v>
      </c>
      <c r="G230" s="2">
        <v>149.291</v>
      </c>
      <c r="H230" s="2">
        <v>-137.572</v>
      </c>
      <c r="I230" s="1">
        <v>0.78461644049765999</v>
      </c>
      <c r="J230" s="1">
        <v>0.76227470478558101</v>
      </c>
      <c r="K230" s="1">
        <v>0.68448047854540095</v>
      </c>
      <c r="L230" s="1">
        <v>0.36241066673784</v>
      </c>
      <c r="M230" s="2"/>
      <c r="N230" s="2"/>
      <c r="Q230" s="1">
        <f t="shared" si="13"/>
        <v>205.7789999999998</v>
      </c>
      <c r="R230">
        <f t="shared" si="12"/>
        <v>199.91949999999997</v>
      </c>
      <c r="S230" s="1">
        <f t="shared" si="14"/>
        <v>179.51664166666666</v>
      </c>
      <c r="T230" s="1">
        <f t="shared" si="15"/>
        <v>95.048358333333084</v>
      </c>
    </row>
    <row r="231" spans="1:20" x14ac:dyDescent="0.3">
      <c r="A231" t="s">
        <v>57</v>
      </c>
      <c r="B231" t="s">
        <v>171</v>
      </c>
      <c r="C231" t="s">
        <v>580</v>
      </c>
      <c r="D231" t="s">
        <v>581</v>
      </c>
      <c r="E231" s="2">
        <v>492.46</v>
      </c>
      <c r="F231" s="2">
        <v>0</v>
      </c>
      <c r="G231" s="2">
        <v>362.31099999999998</v>
      </c>
      <c r="H231" s="2">
        <v>-305.22899999999998</v>
      </c>
      <c r="I231" s="1">
        <v>0.86785830321244295</v>
      </c>
      <c r="J231" s="1">
        <v>0.80990232709255505</v>
      </c>
      <c r="K231" s="1">
        <v>0.62371775747199798</v>
      </c>
      <c r="L231" s="1">
        <v>0.55404287283300102</v>
      </c>
      <c r="M231" s="2"/>
      <c r="N231" s="2"/>
      <c r="Q231" s="1">
        <f t="shared" si="13"/>
        <v>427.38549999999964</v>
      </c>
      <c r="R231">
        <f t="shared" si="12"/>
        <v>398.84449999999964</v>
      </c>
      <c r="S231" s="1">
        <f t="shared" si="14"/>
        <v>307.15604684466012</v>
      </c>
      <c r="T231" s="1">
        <f t="shared" si="15"/>
        <v>272.84395315533965</v>
      </c>
    </row>
    <row r="232" spans="1:20" x14ac:dyDescent="0.3">
      <c r="A232" t="s">
        <v>57</v>
      </c>
      <c r="B232" t="s">
        <v>659</v>
      </c>
      <c r="C232" t="s">
        <v>580</v>
      </c>
      <c r="D232" t="s">
        <v>581</v>
      </c>
      <c r="E232" s="2">
        <v>518.95600000000002</v>
      </c>
      <c r="F232" s="2">
        <v>0</v>
      </c>
      <c r="G232" s="2">
        <v>208.91200000000001</v>
      </c>
      <c r="H232" s="2">
        <v>-201.52799999999999</v>
      </c>
      <c r="I232" s="1">
        <v>0.701281033459484</v>
      </c>
      <c r="J232" s="1">
        <v>0.69416675016764395</v>
      </c>
      <c r="K232" s="1">
        <v>0.46190667067670899</v>
      </c>
      <c r="L232" s="1">
        <v>0.43354111295041903</v>
      </c>
      <c r="M232" s="2"/>
      <c r="N232" s="2"/>
      <c r="Q232" s="1">
        <f t="shared" si="13"/>
        <v>363.93399999999997</v>
      </c>
      <c r="R232">
        <f t="shared" si="12"/>
        <v>360.24199999999985</v>
      </c>
      <c r="S232" s="1">
        <f t="shared" si="14"/>
        <v>239.7092381877022</v>
      </c>
      <c r="T232" s="1">
        <f t="shared" si="15"/>
        <v>224.98876181229767</v>
      </c>
    </row>
    <row r="233" spans="1:20" x14ac:dyDescent="0.3">
      <c r="A233" t="s">
        <v>57</v>
      </c>
      <c r="B233" t="s">
        <v>172</v>
      </c>
      <c r="C233" t="s">
        <v>580</v>
      </c>
      <c r="D233" t="s">
        <v>581</v>
      </c>
      <c r="E233" s="2">
        <v>170.59299999999999</v>
      </c>
      <c r="F233" s="2">
        <v>0</v>
      </c>
      <c r="G233" s="2">
        <v>93.013000000000005</v>
      </c>
      <c r="H233" s="2">
        <v>-77.884999999999906</v>
      </c>
      <c r="I233" s="1">
        <v>0.77261669587849402</v>
      </c>
      <c r="J233" s="1">
        <v>0.72827724467006205</v>
      </c>
      <c r="K233" s="1">
        <v>0.65751082669235394</v>
      </c>
      <c r="L233" s="1">
        <v>0.34338311385620202</v>
      </c>
      <c r="M233" s="2"/>
      <c r="N233" s="2"/>
      <c r="Q233" s="1">
        <f t="shared" si="13"/>
        <v>131.80299999999991</v>
      </c>
      <c r="R233">
        <f t="shared" si="12"/>
        <v>124.23899999999989</v>
      </c>
      <c r="S233" s="1">
        <f t="shared" si="14"/>
        <v>112.16674445792873</v>
      </c>
      <c r="T233" s="1">
        <f t="shared" si="15"/>
        <v>58.578755542071065</v>
      </c>
    </row>
    <row r="234" spans="1:20" x14ac:dyDescent="0.3">
      <c r="A234" t="s">
        <v>57</v>
      </c>
      <c r="B234" t="s">
        <v>660</v>
      </c>
      <c r="C234" t="s">
        <v>580</v>
      </c>
      <c r="D234" t="s">
        <v>581</v>
      </c>
      <c r="E234" s="2">
        <v>486.43</v>
      </c>
      <c r="F234" s="2">
        <v>0</v>
      </c>
      <c r="G234" s="2">
        <v>372.57600000000002</v>
      </c>
      <c r="H234" s="2">
        <v>-356.75900000000001</v>
      </c>
      <c r="I234" s="1">
        <v>0.88296980038237705</v>
      </c>
      <c r="J234" s="1">
        <v>0.866711551507925</v>
      </c>
      <c r="K234" s="1">
        <v>0.71487734035377004</v>
      </c>
      <c r="L234" s="1">
        <v>0.53480401153653101</v>
      </c>
      <c r="M234" s="2"/>
      <c r="N234" s="2"/>
      <c r="Q234" s="1">
        <f t="shared" si="13"/>
        <v>429.50299999999964</v>
      </c>
      <c r="R234">
        <f t="shared" si="12"/>
        <v>421.59449999999998</v>
      </c>
      <c r="S234" s="1">
        <f t="shared" si="14"/>
        <v>347.73778466828435</v>
      </c>
      <c r="T234" s="1">
        <f t="shared" si="15"/>
        <v>260.14471533171479</v>
      </c>
    </row>
    <row r="235" spans="1:20" x14ac:dyDescent="0.3">
      <c r="A235" t="s">
        <v>57</v>
      </c>
      <c r="B235" t="s">
        <v>173</v>
      </c>
      <c r="C235" t="s">
        <v>34</v>
      </c>
      <c r="D235" t="s">
        <v>35</v>
      </c>
      <c r="E235" s="2">
        <v>236.86199999999999</v>
      </c>
      <c r="F235" s="2">
        <v>0</v>
      </c>
      <c r="G235" s="2">
        <v>150.46600000000001</v>
      </c>
      <c r="H235" s="2">
        <v>-157.58099999999999</v>
      </c>
      <c r="I235" s="1">
        <v>0.81762376404826398</v>
      </c>
      <c r="J235" s="1">
        <v>0.83264305798312899</v>
      </c>
      <c r="K235" s="1">
        <v>0.69987396070500296</v>
      </c>
      <c r="L235" s="1">
        <v>0.45039286132639</v>
      </c>
      <c r="M235" s="2"/>
      <c r="N235" s="2"/>
      <c r="Q235" s="1">
        <f t="shared" si="13"/>
        <v>193.6639999999999</v>
      </c>
      <c r="R235">
        <f t="shared" si="12"/>
        <v>197.22149999999991</v>
      </c>
      <c r="S235" s="1">
        <f t="shared" si="14"/>
        <v>165.7735460805084</v>
      </c>
      <c r="T235" s="1">
        <f t="shared" si="15"/>
        <v>106.68095391949139</v>
      </c>
    </row>
    <row r="236" spans="1:20" x14ac:dyDescent="0.3">
      <c r="A236" t="s">
        <v>57</v>
      </c>
      <c r="B236" t="s">
        <v>174</v>
      </c>
      <c r="C236" t="s">
        <v>580</v>
      </c>
      <c r="D236" t="s">
        <v>581</v>
      </c>
      <c r="E236" s="2">
        <v>151.864</v>
      </c>
      <c r="F236" s="2">
        <v>0</v>
      </c>
      <c r="G236" s="2">
        <v>113.324</v>
      </c>
      <c r="H236" s="2">
        <v>-113.89899999999901</v>
      </c>
      <c r="I236" s="1">
        <v>0.87311015118790403</v>
      </c>
      <c r="J236" s="1">
        <v>0.87500329241953301</v>
      </c>
      <c r="K236" s="1">
        <v>0.62481029616730799</v>
      </c>
      <c r="L236" s="1">
        <v>0.62330314744012905</v>
      </c>
      <c r="M236" s="2"/>
      <c r="N236" s="2"/>
      <c r="Q236" s="1">
        <f t="shared" si="13"/>
        <v>132.59399999999985</v>
      </c>
      <c r="R236">
        <f t="shared" si="12"/>
        <v>132.88149999999996</v>
      </c>
      <c r="S236" s="1">
        <f t="shared" si="14"/>
        <v>94.88619081715207</v>
      </c>
      <c r="T236" s="1">
        <f t="shared" si="15"/>
        <v>94.657309182847754</v>
      </c>
    </row>
    <row r="237" spans="1:20" x14ac:dyDescent="0.3">
      <c r="A237" t="s">
        <v>57</v>
      </c>
      <c r="B237" t="s">
        <v>661</v>
      </c>
      <c r="C237" t="s">
        <v>580</v>
      </c>
      <c r="D237" t="s">
        <v>581</v>
      </c>
      <c r="E237" s="2">
        <v>138.91800000000001</v>
      </c>
      <c r="F237" s="2">
        <v>0</v>
      </c>
      <c r="G237" s="2">
        <v>108.262999999999</v>
      </c>
      <c r="H237" s="2">
        <v>-118.804999999999</v>
      </c>
      <c r="I237" s="1">
        <v>0.88966512618954996</v>
      </c>
      <c r="J237" s="1">
        <v>0.92760837328495904</v>
      </c>
      <c r="K237" s="1">
        <v>0.67102489065864601</v>
      </c>
      <c r="L237" s="1">
        <v>0.64624860881586399</v>
      </c>
      <c r="M237" s="2"/>
      <c r="N237" s="2"/>
      <c r="Q237" s="1">
        <f t="shared" si="13"/>
        <v>123.59049999999991</v>
      </c>
      <c r="R237">
        <f t="shared" si="12"/>
        <v>128.86149999999995</v>
      </c>
      <c r="S237" s="1">
        <f t="shared" si="14"/>
        <v>93.217435760517787</v>
      </c>
      <c r="T237" s="1">
        <f t="shared" si="15"/>
        <v>89.775564239482193</v>
      </c>
    </row>
    <row r="238" spans="1:20" x14ac:dyDescent="0.3">
      <c r="A238" t="s">
        <v>57</v>
      </c>
      <c r="B238" t="s">
        <v>175</v>
      </c>
      <c r="C238" t="s">
        <v>580</v>
      </c>
      <c r="D238" t="s">
        <v>581</v>
      </c>
      <c r="E238" s="2">
        <v>337.05200000000002</v>
      </c>
      <c r="F238" s="2">
        <v>0</v>
      </c>
      <c r="G238" s="2">
        <v>230.09399999999999</v>
      </c>
      <c r="H238" s="2">
        <v>-234.19899999999899</v>
      </c>
      <c r="I238" s="1">
        <v>0.84133308806949603</v>
      </c>
      <c r="J238" s="1">
        <v>0.84742265288442098</v>
      </c>
      <c r="K238" s="1">
        <v>0.67482136794061298</v>
      </c>
      <c r="L238" s="1">
        <v>0.51393437301330402</v>
      </c>
      <c r="M238" s="2"/>
      <c r="N238" s="2"/>
      <c r="Q238" s="1">
        <f t="shared" si="13"/>
        <v>283.57299999999981</v>
      </c>
      <c r="R238">
        <f t="shared" si="12"/>
        <v>285.62549999999987</v>
      </c>
      <c r="S238" s="1">
        <f t="shared" si="14"/>
        <v>227.44989170711949</v>
      </c>
      <c r="T238" s="1">
        <f t="shared" si="15"/>
        <v>173.22260829288015</v>
      </c>
    </row>
    <row r="239" spans="1:20" x14ac:dyDescent="0.3">
      <c r="A239" t="s">
        <v>57</v>
      </c>
      <c r="B239" t="s">
        <v>662</v>
      </c>
      <c r="C239" t="s">
        <v>580</v>
      </c>
      <c r="D239" t="s">
        <v>581</v>
      </c>
      <c r="E239" s="2">
        <v>166.38</v>
      </c>
      <c r="F239" s="2">
        <v>0</v>
      </c>
      <c r="G239" s="2">
        <v>159.58099999999999</v>
      </c>
      <c r="H239" s="2">
        <v>-162.755</v>
      </c>
      <c r="I239" s="1">
        <v>0.97956785671354696</v>
      </c>
      <c r="J239" s="1">
        <v>0.989106262771967</v>
      </c>
      <c r="K239" s="1">
        <v>0.80512450395262303</v>
      </c>
      <c r="L239" s="1">
        <v>0.66354961553289105</v>
      </c>
      <c r="M239" s="2"/>
      <c r="N239" s="2"/>
      <c r="Q239" s="1">
        <f t="shared" si="13"/>
        <v>162.98049999999995</v>
      </c>
      <c r="R239">
        <f t="shared" si="12"/>
        <v>164.56749999999985</v>
      </c>
      <c r="S239" s="1">
        <f t="shared" si="14"/>
        <v>133.95661496763742</v>
      </c>
      <c r="T239" s="1">
        <f t="shared" si="15"/>
        <v>110.40138503236241</v>
      </c>
    </row>
    <row r="240" spans="1:20" x14ac:dyDescent="0.3">
      <c r="A240" t="s">
        <v>57</v>
      </c>
      <c r="B240" t="s">
        <v>176</v>
      </c>
      <c r="C240" t="s">
        <v>580</v>
      </c>
      <c r="D240" t="s">
        <v>581</v>
      </c>
      <c r="E240" s="2">
        <v>113.23</v>
      </c>
      <c r="F240" s="2">
        <v>0</v>
      </c>
      <c r="G240" s="2">
        <v>72.462000000000003</v>
      </c>
      <c r="H240" s="2">
        <v>-91.710999999999999</v>
      </c>
      <c r="I240" s="1">
        <v>0.81997703788748499</v>
      </c>
      <c r="J240" s="1">
        <v>0.904976596308398</v>
      </c>
      <c r="K240" s="1">
        <v>0.593520569296906</v>
      </c>
      <c r="L240" s="1">
        <v>0.63143306489897799</v>
      </c>
      <c r="M240" s="2"/>
      <c r="N240" s="2"/>
      <c r="Q240" s="1">
        <f t="shared" si="13"/>
        <v>92.845999999999933</v>
      </c>
      <c r="R240">
        <f t="shared" si="12"/>
        <v>102.4704999999999</v>
      </c>
      <c r="S240" s="1">
        <f t="shared" si="14"/>
        <v>67.204334061488666</v>
      </c>
      <c r="T240" s="1">
        <f t="shared" si="15"/>
        <v>71.497165938511287</v>
      </c>
    </row>
    <row r="241" spans="1:20" x14ac:dyDescent="0.3">
      <c r="A241" t="s">
        <v>57</v>
      </c>
      <c r="B241" t="s">
        <v>663</v>
      </c>
      <c r="C241" t="s">
        <v>580</v>
      </c>
      <c r="D241" t="s">
        <v>581</v>
      </c>
      <c r="E241" s="2">
        <v>361.27100000000002</v>
      </c>
      <c r="F241" s="2">
        <v>0</v>
      </c>
      <c r="G241" s="2">
        <v>236.48999999999899</v>
      </c>
      <c r="H241" s="2">
        <v>-284.47899999999998</v>
      </c>
      <c r="I241" s="1">
        <v>0.82730277271079</v>
      </c>
      <c r="J241" s="1">
        <v>0.89371967304322697</v>
      </c>
      <c r="K241" s="1">
        <v>0.63579783760837405</v>
      </c>
      <c r="L241" s="1">
        <v>0.58522460814564403</v>
      </c>
      <c r="M241" s="2"/>
      <c r="N241" s="2"/>
      <c r="Q241" s="1">
        <f t="shared" si="13"/>
        <v>298.88049999999981</v>
      </c>
      <c r="R241">
        <f t="shared" si="12"/>
        <v>322.87499999999966</v>
      </c>
      <c r="S241" s="1">
        <f t="shared" si="14"/>
        <v>229.6953205906149</v>
      </c>
      <c r="T241" s="1">
        <f t="shared" si="15"/>
        <v>211.42467940938496</v>
      </c>
    </row>
    <row r="242" spans="1:20" x14ac:dyDescent="0.3">
      <c r="A242" t="s">
        <v>57</v>
      </c>
      <c r="B242" t="s">
        <v>177</v>
      </c>
      <c r="C242" t="s">
        <v>580</v>
      </c>
      <c r="D242" t="s">
        <v>581</v>
      </c>
      <c r="E242" s="2">
        <v>88.072999999999993</v>
      </c>
      <c r="F242" s="2">
        <v>0</v>
      </c>
      <c r="G242" s="2">
        <v>55.586999999999897</v>
      </c>
      <c r="H242" s="2">
        <v>-67.159000000000006</v>
      </c>
      <c r="I242" s="1">
        <v>0.81557344475605398</v>
      </c>
      <c r="J242" s="1">
        <v>0.88126894735049299</v>
      </c>
      <c r="K242" s="1">
        <v>0.60214184406896598</v>
      </c>
      <c r="L242" s="1">
        <v>0.59470054803758099</v>
      </c>
      <c r="M242" s="2"/>
      <c r="N242" s="2"/>
      <c r="Q242" s="1">
        <f t="shared" si="13"/>
        <v>71.829999999999941</v>
      </c>
      <c r="R242">
        <f t="shared" si="12"/>
        <v>77.615999999999957</v>
      </c>
      <c r="S242" s="1">
        <f t="shared" si="14"/>
        <v>53.032438632686038</v>
      </c>
      <c r="T242" s="1">
        <f t="shared" si="15"/>
        <v>52.377061367313864</v>
      </c>
    </row>
    <row r="243" spans="1:20" x14ac:dyDescent="0.3">
      <c r="A243" t="s">
        <v>57</v>
      </c>
      <c r="B243" t="s">
        <v>178</v>
      </c>
      <c r="C243" t="s">
        <v>580</v>
      </c>
      <c r="D243" t="s">
        <v>581</v>
      </c>
      <c r="E243" s="2">
        <v>101.38200000000001</v>
      </c>
      <c r="F243" s="2">
        <v>0</v>
      </c>
      <c r="G243" s="2">
        <v>63.174999999999997</v>
      </c>
      <c r="H243" s="2">
        <v>-66.72</v>
      </c>
      <c r="I243" s="1">
        <v>0.81156911483300698</v>
      </c>
      <c r="J243" s="1">
        <v>0.82905249452565499</v>
      </c>
      <c r="K243" s="1">
        <v>0.581536028478019</v>
      </c>
      <c r="L243" s="1">
        <v>0.55908558088064297</v>
      </c>
      <c r="M243" s="2"/>
      <c r="N243" s="2"/>
      <c r="Q243" s="1">
        <f t="shared" si="13"/>
        <v>82.278499999999923</v>
      </c>
      <c r="R243">
        <f t="shared" si="12"/>
        <v>84.050999999999959</v>
      </c>
      <c r="S243" s="1">
        <f t="shared" si="14"/>
        <v>58.957285639158528</v>
      </c>
      <c r="T243" s="1">
        <f t="shared" si="15"/>
        <v>56.681214360841352</v>
      </c>
    </row>
    <row r="244" spans="1:20" x14ac:dyDescent="0.3">
      <c r="A244" t="s">
        <v>57</v>
      </c>
      <c r="B244" t="s">
        <v>664</v>
      </c>
      <c r="C244" t="s">
        <v>580</v>
      </c>
      <c r="D244" t="s">
        <v>581</v>
      </c>
      <c r="E244" s="2">
        <v>747.36099999999999</v>
      </c>
      <c r="F244" s="2">
        <v>0</v>
      </c>
      <c r="G244" s="2">
        <v>529.80499999999995</v>
      </c>
      <c r="H244" s="2">
        <v>-517.92200000000003</v>
      </c>
      <c r="I244" s="1">
        <v>0.85445052658621401</v>
      </c>
      <c r="J244" s="1">
        <v>0.84650055328014095</v>
      </c>
      <c r="K244" s="1">
        <v>0.67117346526663901</v>
      </c>
      <c r="L244" s="1">
        <v>0.52977761459971595</v>
      </c>
      <c r="M244" s="2"/>
      <c r="N244" s="2"/>
      <c r="Q244" s="1">
        <f t="shared" si="13"/>
        <v>638.58299999999952</v>
      </c>
      <c r="R244">
        <f t="shared" si="12"/>
        <v>632.64149999999938</v>
      </c>
      <c r="S244" s="1">
        <f t="shared" si="14"/>
        <v>501.60887217514062</v>
      </c>
      <c r="T244" s="1">
        <f t="shared" si="15"/>
        <v>395.93512782485828</v>
      </c>
    </row>
    <row r="245" spans="1:20" x14ac:dyDescent="0.3">
      <c r="A245" t="s">
        <v>57</v>
      </c>
      <c r="B245" t="s">
        <v>179</v>
      </c>
      <c r="C245" t="s">
        <v>580</v>
      </c>
      <c r="D245" t="s">
        <v>581</v>
      </c>
      <c r="E245" s="2">
        <v>115.074</v>
      </c>
      <c r="F245" s="2">
        <v>0</v>
      </c>
      <c r="G245" s="2">
        <v>114.07899999999999</v>
      </c>
      <c r="H245" s="2">
        <v>-109.691</v>
      </c>
      <c r="I245" s="1">
        <v>0.99567669499626299</v>
      </c>
      <c r="J245" s="1">
        <v>0.97661070267827599</v>
      </c>
      <c r="K245" s="1">
        <v>0.87575076777667105</v>
      </c>
      <c r="L245" s="1">
        <v>0.59653662989786804</v>
      </c>
      <c r="M245" s="2"/>
      <c r="N245" s="2"/>
      <c r="Q245" s="1">
        <f t="shared" si="13"/>
        <v>114.57649999999997</v>
      </c>
      <c r="R245">
        <f t="shared" si="12"/>
        <v>112.38249999999992</v>
      </c>
      <c r="S245" s="1">
        <f t="shared" si="14"/>
        <v>100.77614385113264</v>
      </c>
      <c r="T245" s="1">
        <f t="shared" si="15"/>
        <v>68.645856148867267</v>
      </c>
    </row>
    <row r="246" spans="1:20" x14ac:dyDescent="0.3">
      <c r="A246" t="s">
        <v>57</v>
      </c>
      <c r="B246" t="s">
        <v>180</v>
      </c>
      <c r="C246" t="s">
        <v>580</v>
      </c>
      <c r="D246" t="s">
        <v>581</v>
      </c>
      <c r="E246" s="2">
        <v>327.334</v>
      </c>
      <c r="F246" s="2">
        <v>0</v>
      </c>
      <c r="G246" s="2">
        <v>212.083</v>
      </c>
      <c r="H246" s="2">
        <v>-184.14499999999899</v>
      </c>
      <c r="I246" s="1">
        <v>0.82395504286141896</v>
      </c>
      <c r="J246" s="1">
        <v>0.78127997702652296</v>
      </c>
      <c r="K246" s="1">
        <v>0.67257317157798202</v>
      </c>
      <c r="L246" s="1">
        <v>0.43266184830996002</v>
      </c>
      <c r="M246" s="2"/>
      <c r="N246" s="2"/>
      <c r="Q246" s="1">
        <f t="shared" si="13"/>
        <v>269.70849999999973</v>
      </c>
      <c r="R246">
        <f t="shared" si="12"/>
        <v>255.73949999999988</v>
      </c>
      <c r="S246" s="1">
        <f t="shared" si="14"/>
        <v>220.15606654530717</v>
      </c>
      <c r="T246" s="1">
        <f t="shared" si="15"/>
        <v>141.62493345469247</v>
      </c>
    </row>
    <row r="247" spans="1:20" x14ac:dyDescent="0.3">
      <c r="A247" t="s">
        <v>57</v>
      </c>
      <c r="B247" t="s">
        <v>181</v>
      </c>
      <c r="C247" t="s">
        <v>580</v>
      </c>
      <c r="D247" t="s">
        <v>581</v>
      </c>
      <c r="E247" s="2">
        <v>265.05799999999999</v>
      </c>
      <c r="F247" s="2">
        <v>0</v>
      </c>
      <c r="G247" s="2">
        <v>225.97399999999999</v>
      </c>
      <c r="H247" s="2">
        <v>-178.375</v>
      </c>
      <c r="I247" s="1">
        <v>0.92627274030589501</v>
      </c>
      <c r="J247" s="1">
        <v>0.83648295844682996</v>
      </c>
      <c r="K247" s="1">
        <v>0.75014331188940897</v>
      </c>
      <c r="L247" s="1">
        <v>0.51261238686331601</v>
      </c>
      <c r="M247" s="2"/>
      <c r="N247" s="2"/>
      <c r="Q247" s="1">
        <f t="shared" si="13"/>
        <v>245.51599999999991</v>
      </c>
      <c r="R247">
        <f t="shared" si="12"/>
        <v>221.71649999999985</v>
      </c>
      <c r="S247" s="1">
        <f t="shared" si="14"/>
        <v>198.83148596278295</v>
      </c>
      <c r="T247" s="1">
        <f t="shared" si="15"/>
        <v>135.87201403721681</v>
      </c>
    </row>
    <row r="248" spans="1:20" x14ac:dyDescent="0.3">
      <c r="A248" t="s">
        <v>57</v>
      </c>
      <c r="B248" t="s">
        <v>182</v>
      </c>
      <c r="C248" t="s">
        <v>34</v>
      </c>
      <c r="D248" t="s">
        <v>35</v>
      </c>
      <c r="E248" s="2">
        <v>428.94900000000001</v>
      </c>
      <c r="F248" s="2">
        <v>0</v>
      </c>
      <c r="G248" s="2">
        <v>359.207999999999</v>
      </c>
      <c r="H248" s="2">
        <v>-336.19400000000002</v>
      </c>
      <c r="I248" s="1">
        <v>0.91870711902813595</v>
      </c>
      <c r="J248" s="1">
        <v>0.89188108609648198</v>
      </c>
      <c r="K248" s="1">
        <v>0.78785840432399901</v>
      </c>
      <c r="L248" s="1">
        <v>0.52272980080061804</v>
      </c>
      <c r="M248" s="2"/>
      <c r="N248" s="2"/>
      <c r="Q248" s="1">
        <f t="shared" si="13"/>
        <v>394.07849999999991</v>
      </c>
      <c r="R248">
        <f t="shared" si="12"/>
        <v>382.57149999999984</v>
      </c>
      <c r="S248" s="1">
        <f t="shared" si="14"/>
        <v>337.95107467637507</v>
      </c>
      <c r="T248" s="1">
        <f t="shared" si="15"/>
        <v>224.2244253236243</v>
      </c>
    </row>
    <row r="249" spans="1:20" x14ac:dyDescent="0.3">
      <c r="A249" t="s">
        <v>57</v>
      </c>
      <c r="B249" t="s">
        <v>183</v>
      </c>
      <c r="C249" t="s">
        <v>580</v>
      </c>
      <c r="D249" t="s">
        <v>581</v>
      </c>
      <c r="E249" s="2">
        <v>208.72399999999999</v>
      </c>
      <c r="F249" s="2">
        <v>0</v>
      </c>
      <c r="G249" s="2">
        <v>142.119</v>
      </c>
      <c r="H249" s="2">
        <v>-136.37599999999901</v>
      </c>
      <c r="I249" s="1">
        <v>0.84044719342289298</v>
      </c>
      <c r="J249" s="1">
        <v>0.82668979130334797</v>
      </c>
      <c r="K249" s="1">
        <v>0.68446839128043802</v>
      </c>
      <c r="L249" s="1">
        <v>0.48266859344580298</v>
      </c>
      <c r="M249" s="2"/>
      <c r="N249" s="2"/>
      <c r="Q249" s="1">
        <f t="shared" si="13"/>
        <v>175.4214999999999</v>
      </c>
      <c r="R249">
        <f t="shared" si="12"/>
        <v>172.54999999999998</v>
      </c>
      <c r="S249" s="1">
        <f t="shared" si="14"/>
        <v>142.86498050161813</v>
      </c>
      <c r="T249" s="1">
        <f t="shared" si="15"/>
        <v>100.74451949838178</v>
      </c>
    </row>
    <row r="250" spans="1:20" x14ac:dyDescent="0.3">
      <c r="A250" t="s">
        <v>57</v>
      </c>
      <c r="B250" t="s">
        <v>184</v>
      </c>
      <c r="C250" t="s">
        <v>580</v>
      </c>
      <c r="D250" t="s">
        <v>581</v>
      </c>
      <c r="E250" s="2">
        <v>202.363</v>
      </c>
      <c r="F250" s="2">
        <v>0</v>
      </c>
      <c r="G250" s="2">
        <v>174.40299999999999</v>
      </c>
      <c r="H250" s="2">
        <v>-162.09800000000001</v>
      </c>
      <c r="I250" s="1">
        <v>0.93091622480394098</v>
      </c>
      <c r="J250" s="1">
        <v>0.90051293961840795</v>
      </c>
      <c r="K250" s="1">
        <v>0.75849498830700302</v>
      </c>
      <c r="L250" s="1">
        <v>0.57293417611534603</v>
      </c>
      <c r="M250" s="2"/>
      <c r="N250" s="2"/>
      <c r="Q250" s="1">
        <f t="shared" si="13"/>
        <v>188.3829999999999</v>
      </c>
      <c r="R250">
        <f t="shared" si="12"/>
        <v>182.23049999999989</v>
      </c>
      <c r="S250" s="1">
        <f t="shared" si="14"/>
        <v>153.49132131877005</v>
      </c>
      <c r="T250" s="1">
        <f t="shared" si="15"/>
        <v>115.94067868122977</v>
      </c>
    </row>
    <row r="251" spans="1:20" x14ac:dyDescent="0.3">
      <c r="A251" t="s">
        <v>57</v>
      </c>
      <c r="B251" t="s">
        <v>665</v>
      </c>
      <c r="C251" t="s">
        <v>580</v>
      </c>
      <c r="D251" t="s">
        <v>581</v>
      </c>
      <c r="E251" s="2">
        <v>458.762</v>
      </c>
      <c r="F251" s="2">
        <v>0</v>
      </c>
      <c r="G251" s="2">
        <v>366.77599999999899</v>
      </c>
      <c r="H251" s="2">
        <v>-333.18599999999998</v>
      </c>
      <c r="I251" s="1">
        <v>0.89974540175515805</v>
      </c>
      <c r="J251" s="1">
        <v>0.86313600516171696</v>
      </c>
      <c r="K251" s="1">
        <v>0.69123234357447305</v>
      </c>
      <c r="L251" s="1">
        <v>0.57164906334240195</v>
      </c>
      <c r="M251" s="2"/>
      <c r="N251" s="2"/>
      <c r="Q251" s="1">
        <f t="shared" si="13"/>
        <v>412.76899999999983</v>
      </c>
      <c r="R251">
        <f t="shared" si="12"/>
        <v>395.97399999999959</v>
      </c>
      <c r="S251" s="1">
        <f t="shared" si="14"/>
        <v>317.1111324029124</v>
      </c>
      <c r="T251" s="1">
        <f t="shared" si="15"/>
        <v>262.25086759708699</v>
      </c>
    </row>
    <row r="252" spans="1:20" x14ac:dyDescent="0.3">
      <c r="A252" t="s">
        <v>57</v>
      </c>
      <c r="B252" t="s">
        <v>185</v>
      </c>
      <c r="C252" t="s">
        <v>580</v>
      </c>
      <c r="D252" t="s">
        <v>581</v>
      </c>
      <c r="E252" s="2">
        <v>0</v>
      </c>
      <c r="F252" s="2">
        <v>0</v>
      </c>
      <c r="G252" s="2">
        <v>0</v>
      </c>
      <c r="H252" s="2">
        <v>0</v>
      </c>
      <c r="I252" s="1">
        <v>0</v>
      </c>
      <c r="J252" s="1">
        <v>0</v>
      </c>
      <c r="K252" s="1">
        <v>0</v>
      </c>
      <c r="L252" s="1">
        <v>0</v>
      </c>
      <c r="M252" s="2"/>
      <c r="N252" s="2"/>
      <c r="Q252" s="1">
        <f t="shared" si="13"/>
        <v>0</v>
      </c>
      <c r="R252">
        <f t="shared" si="12"/>
        <v>0</v>
      </c>
      <c r="S252" s="1">
        <f t="shared" si="14"/>
        <v>0</v>
      </c>
      <c r="T252" s="1">
        <f t="shared" si="15"/>
        <v>0</v>
      </c>
    </row>
    <row r="253" spans="1:20" x14ac:dyDescent="0.3">
      <c r="A253" t="s">
        <v>57</v>
      </c>
      <c r="B253" t="s">
        <v>186</v>
      </c>
      <c r="C253" t="s">
        <v>580</v>
      </c>
      <c r="D253" t="s">
        <v>581</v>
      </c>
      <c r="E253" s="2">
        <v>192.79599999999999</v>
      </c>
      <c r="F253" s="2">
        <v>0</v>
      </c>
      <c r="G253" s="2">
        <v>156.005</v>
      </c>
      <c r="H253" s="2">
        <v>-127.933999999999</v>
      </c>
      <c r="I253" s="1">
        <v>0.90458567605136997</v>
      </c>
      <c r="J253" s="1">
        <v>0.83178592916865401</v>
      </c>
      <c r="K253" s="1">
        <v>0.75969686417878701</v>
      </c>
      <c r="L253" s="1">
        <v>0.47667474104123703</v>
      </c>
      <c r="M253" s="2"/>
      <c r="N253" s="2"/>
      <c r="Q253" s="1">
        <f t="shared" si="13"/>
        <v>174.40049999999991</v>
      </c>
      <c r="R253">
        <f t="shared" si="12"/>
        <v>160.36499999999981</v>
      </c>
      <c r="S253" s="1">
        <f t="shared" si="14"/>
        <v>146.46651662621341</v>
      </c>
      <c r="T253" s="1">
        <f t="shared" si="15"/>
        <v>91.900983373786332</v>
      </c>
    </row>
    <row r="254" spans="1:20" x14ac:dyDescent="0.3">
      <c r="A254" t="s">
        <v>57</v>
      </c>
      <c r="B254" t="s">
        <v>666</v>
      </c>
      <c r="C254" t="s">
        <v>34</v>
      </c>
      <c r="D254" t="s">
        <v>35</v>
      </c>
      <c r="E254" s="2">
        <v>92.438000000000002</v>
      </c>
      <c r="F254" s="2">
        <v>0</v>
      </c>
      <c r="G254" s="2">
        <v>79.805000000000007</v>
      </c>
      <c r="H254" s="2">
        <v>-70.123999999999995</v>
      </c>
      <c r="I254" s="1">
        <v>0.93166771241264401</v>
      </c>
      <c r="J254" s="1">
        <v>0.87930288409528501</v>
      </c>
      <c r="K254" s="1">
        <v>0.82649484564866305</v>
      </c>
      <c r="L254" s="1">
        <v>0.48447575085926498</v>
      </c>
      <c r="M254" s="2"/>
      <c r="N254" s="2"/>
      <c r="Q254" s="1">
        <f t="shared" si="13"/>
        <v>86.121499999999983</v>
      </c>
      <c r="R254">
        <f t="shared" si="12"/>
        <v>81.280999999999963</v>
      </c>
      <c r="S254" s="1">
        <f t="shared" si="14"/>
        <v>76.399530542071119</v>
      </c>
      <c r="T254" s="1">
        <f t="shared" si="15"/>
        <v>44.783969457928734</v>
      </c>
    </row>
    <row r="255" spans="1:20" x14ac:dyDescent="0.3">
      <c r="A255" t="s">
        <v>57</v>
      </c>
      <c r="B255" t="s">
        <v>187</v>
      </c>
      <c r="C255" t="s">
        <v>34</v>
      </c>
      <c r="D255" t="s">
        <v>35</v>
      </c>
      <c r="E255" s="2">
        <v>120.995</v>
      </c>
      <c r="F255" s="2">
        <v>0</v>
      </c>
      <c r="G255" s="2">
        <v>66.893000000000001</v>
      </c>
      <c r="H255" s="2">
        <v>-75.619</v>
      </c>
      <c r="I255" s="1">
        <v>0.77642877804867905</v>
      </c>
      <c r="J255" s="1">
        <v>0.81248811934377396</v>
      </c>
      <c r="K255" s="1">
        <v>0.66886626612716604</v>
      </c>
      <c r="L255" s="1">
        <v>0.42005063126528702</v>
      </c>
      <c r="M255" s="2"/>
      <c r="N255" s="2"/>
      <c r="Q255" s="1">
        <f t="shared" si="13"/>
        <v>93.943999999999932</v>
      </c>
      <c r="R255">
        <f t="shared" si="12"/>
        <v>98.306999999999931</v>
      </c>
      <c r="S255" s="1">
        <f t="shared" si="14"/>
        <v>80.929473870056455</v>
      </c>
      <c r="T255" s="1">
        <f t="shared" si="15"/>
        <v>50.824026129943405</v>
      </c>
    </row>
    <row r="256" spans="1:20" x14ac:dyDescent="0.3">
      <c r="A256" t="s">
        <v>57</v>
      </c>
      <c r="B256" t="s">
        <v>188</v>
      </c>
      <c r="C256" t="s">
        <v>34</v>
      </c>
      <c r="D256" t="s">
        <v>35</v>
      </c>
      <c r="E256" s="2">
        <v>69.325999999999993</v>
      </c>
      <c r="F256" s="2">
        <v>0</v>
      </c>
      <c r="G256" s="2">
        <v>52.045999999999999</v>
      </c>
      <c r="H256" s="2">
        <v>-57.725000000000001</v>
      </c>
      <c r="I256" s="1">
        <v>0.87537143351700597</v>
      </c>
      <c r="J256" s="1">
        <v>0.916330092605948</v>
      </c>
      <c r="K256" s="1">
        <v>0.76720592740064797</v>
      </c>
      <c r="L256" s="1">
        <v>0.524495598722307</v>
      </c>
      <c r="M256" s="2"/>
      <c r="N256" s="2"/>
      <c r="Q256" s="1">
        <f t="shared" si="13"/>
        <v>60.68599999999995</v>
      </c>
      <c r="R256">
        <f t="shared" si="12"/>
        <v>63.525499999999944</v>
      </c>
      <c r="S256" s="1">
        <f t="shared" si="14"/>
        <v>53.187318122977317</v>
      </c>
      <c r="T256" s="1">
        <f t="shared" si="15"/>
        <v>36.361181877022652</v>
      </c>
    </row>
    <row r="257" spans="1:20" x14ac:dyDescent="0.3">
      <c r="A257" t="s">
        <v>57</v>
      </c>
      <c r="B257" t="s">
        <v>667</v>
      </c>
      <c r="C257" t="s">
        <v>34</v>
      </c>
      <c r="D257" t="s">
        <v>35</v>
      </c>
      <c r="E257" s="2">
        <v>406.47500000000002</v>
      </c>
      <c r="F257" s="2">
        <v>0</v>
      </c>
      <c r="G257" s="2">
        <v>349.26400000000001</v>
      </c>
      <c r="H257" s="2">
        <v>-334.22500000000002</v>
      </c>
      <c r="I257" s="1">
        <v>0.92962543821883203</v>
      </c>
      <c r="J257" s="1">
        <v>0.91112614551940396</v>
      </c>
      <c r="K257" s="1">
        <v>0.81239508424609597</v>
      </c>
      <c r="L257" s="1">
        <v>0.52835649949214003</v>
      </c>
      <c r="M257" s="2"/>
      <c r="N257" s="2"/>
      <c r="Q257" s="1">
        <f t="shared" si="13"/>
        <v>377.86949999999979</v>
      </c>
      <c r="R257">
        <f t="shared" si="12"/>
        <v>370.34999999999974</v>
      </c>
      <c r="S257" s="1">
        <f t="shared" si="14"/>
        <v>330.21829186893189</v>
      </c>
      <c r="T257" s="1">
        <f t="shared" si="15"/>
        <v>214.76370813106763</v>
      </c>
    </row>
    <row r="258" spans="1:20" x14ac:dyDescent="0.3">
      <c r="A258" t="s">
        <v>57</v>
      </c>
      <c r="B258" t="s">
        <v>668</v>
      </c>
      <c r="C258" t="s">
        <v>580</v>
      </c>
      <c r="D258" t="s">
        <v>581</v>
      </c>
      <c r="E258" s="2">
        <v>178.10599999999999</v>
      </c>
      <c r="F258" s="2">
        <v>0</v>
      </c>
      <c r="G258" s="2">
        <v>110.214</v>
      </c>
      <c r="H258" s="2">
        <v>-136.57300000000001</v>
      </c>
      <c r="I258" s="1">
        <v>0.80940563484666395</v>
      </c>
      <c r="J258" s="1">
        <v>0.88340370341257402</v>
      </c>
      <c r="K258" s="1">
        <v>0.59114708271431504</v>
      </c>
      <c r="L258" s="1">
        <v>0.60166225554492303</v>
      </c>
      <c r="M258" s="2"/>
      <c r="N258" s="2"/>
      <c r="Q258" s="1">
        <f t="shared" si="13"/>
        <v>144.15999999999991</v>
      </c>
      <c r="R258">
        <f t="shared" ref="R258:R321" si="16">J258*E258</f>
        <v>157.3394999999999</v>
      </c>
      <c r="S258" s="1">
        <f t="shared" si="14"/>
        <v>105.2868423139158</v>
      </c>
      <c r="T258" s="1">
        <f t="shared" si="15"/>
        <v>107.15965768608406</v>
      </c>
    </row>
    <row r="259" spans="1:20" x14ac:dyDescent="0.3">
      <c r="A259" t="s">
        <v>57</v>
      </c>
      <c r="B259" t="s">
        <v>669</v>
      </c>
      <c r="C259" t="s">
        <v>34</v>
      </c>
      <c r="D259" t="s">
        <v>35</v>
      </c>
      <c r="E259" s="2">
        <v>201.982</v>
      </c>
      <c r="F259" s="2">
        <v>0</v>
      </c>
      <c r="G259" s="2">
        <v>146.25399999999999</v>
      </c>
      <c r="H259" s="2">
        <v>-127.68799999999899</v>
      </c>
      <c r="I259" s="1">
        <v>0.86204711310908799</v>
      </c>
      <c r="J259" s="1">
        <v>0.81608757215989502</v>
      </c>
      <c r="K259" s="1">
        <v>0.74032675025449202</v>
      </c>
      <c r="L259" s="1">
        <v>0.437807935014491</v>
      </c>
      <c r="M259" s="2"/>
      <c r="N259" s="2"/>
      <c r="Q259" s="1">
        <f t="shared" ref="Q259:Q322" si="17">I259*E259</f>
        <v>174.11799999999982</v>
      </c>
      <c r="R259">
        <f t="shared" si="16"/>
        <v>164.83499999999992</v>
      </c>
      <c r="S259" s="1">
        <f t="shared" ref="S259:S322" si="18">K259*E259</f>
        <v>149.5326776699028</v>
      </c>
      <c r="T259" s="1">
        <f t="shared" ref="T259:T322" si="19">L259*E259</f>
        <v>88.429322330096923</v>
      </c>
    </row>
    <row r="260" spans="1:20" x14ac:dyDescent="0.3">
      <c r="A260" t="s">
        <v>57</v>
      </c>
      <c r="B260" t="s">
        <v>670</v>
      </c>
      <c r="C260" t="s">
        <v>580</v>
      </c>
      <c r="D260" t="s">
        <v>581</v>
      </c>
      <c r="E260" s="2">
        <v>224.316</v>
      </c>
      <c r="F260" s="2">
        <v>0</v>
      </c>
      <c r="G260" s="2">
        <v>164.45400000000001</v>
      </c>
      <c r="H260" s="2">
        <v>-177.95599999999999</v>
      </c>
      <c r="I260" s="1">
        <v>0.86656769913871501</v>
      </c>
      <c r="J260" s="1">
        <v>0.89666363522887305</v>
      </c>
      <c r="K260" s="1">
        <v>0.65243139070858802</v>
      </c>
      <c r="L260" s="1">
        <v>0.61079994365900003</v>
      </c>
      <c r="M260" s="2"/>
      <c r="N260" s="2"/>
      <c r="Q260" s="1">
        <f t="shared" si="17"/>
        <v>194.38499999999999</v>
      </c>
      <c r="R260">
        <f t="shared" si="16"/>
        <v>201.13599999999988</v>
      </c>
      <c r="S260" s="1">
        <f t="shared" si="18"/>
        <v>146.35079983818764</v>
      </c>
      <c r="T260" s="1">
        <f t="shared" si="19"/>
        <v>137.01220016181225</v>
      </c>
    </row>
    <row r="261" spans="1:20" x14ac:dyDescent="0.3">
      <c r="A261" t="s">
        <v>57</v>
      </c>
      <c r="B261" t="s">
        <v>671</v>
      </c>
      <c r="C261" t="s">
        <v>34</v>
      </c>
      <c r="D261" t="s">
        <v>35</v>
      </c>
      <c r="E261" s="2">
        <v>447.43400000000003</v>
      </c>
      <c r="F261" s="2">
        <v>0</v>
      </c>
      <c r="G261" s="2">
        <v>312.11900000000003</v>
      </c>
      <c r="H261" s="2">
        <v>-288.462999999999</v>
      </c>
      <c r="I261" s="1">
        <v>0.84878775417156505</v>
      </c>
      <c r="J261" s="1">
        <v>0.82235257043496901</v>
      </c>
      <c r="K261" s="1">
        <v>0.74054033891031901</v>
      </c>
      <c r="L261" s="1">
        <v>0.43059998569621399</v>
      </c>
      <c r="M261" s="2"/>
      <c r="N261" s="2"/>
      <c r="Q261" s="1">
        <f t="shared" si="17"/>
        <v>379.77650000000006</v>
      </c>
      <c r="R261">
        <f t="shared" si="16"/>
        <v>367.94849999999997</v>
      </c>
      <c r="S261" s="1">
        <f t="shared" si="18"/>
        <v>331.34292599999969</v>
      </c>
      <c r="T261" s="1">
        <f t="shared" si="19"/>
        <v>192.66507399999983</v>
      </c>
    </row>
    <row r="262" spans="1:20" x14ac:dyDescent="0.3">
      <c r="A262" t="s">
        <v>57</v>
      </c>
      <c r="B262" t="s">
        <v>672</v>
      </c>
      <c r="C262" t="s">
        <v>34</v>
      </c>
      <c r="D262" t="s">
        <v>35</v>
      </c>
      <c r="E262" s="2">
        <v>162.64500000000001</v>
      </c>
      <c r="F262" s="2">
        <v>0</v>
      </c>
      <c r="G262" s="2">
        <v>122.98099999999999</v>
      </c>
      <c r="H262" s="2">
        <v>-100.869</v>
      </c>
      <c r="I262" s="1">
        <v>0.87806572596759802</v>
      </c>
      <c r="J262" s="1">
        <v>0.81008945863690796</v>
      </c>
      <c r="K262" s="1">
        <v>0.86707682990562296</v>
      </c>
      <c r="L262" s="1">
        <v>0.32107835469888402</v>
      </c>
      <c r="M262" s="2"/>
      <c r="N262" s="2"/>
      <c r="Q262" s="1">
        <f t="shared" si="17"/>
        <v>142.81299999999999</v>
      </c>
      <c r="R262">
        <f t="shared" si="16"/>
        <v>131.75699999999989</v>
      </c>
      <c r="S262" s="1">
        <f t="shared" si="18"/>
        <v>141.02571100000006</v>
      </c>
      <c r="T262" s="1">
        <f t="shared" si="19"/>
        <v>52.221788999999994</v>
      </c>
    </row>
    <row r="263" spans="1:20" x14ac:dyDescent="0.3">
      <c r="A263" t="s">
        <v>57</v>
      </c>
      <c r="B263" t="s">
        <v>673</v>
      </c>
      <c r="C263" t="s">
        <v>580</v>
      </c>
      <c r="D263" t="s">
        <v>581</v>
      </c>
      <c r="E263" s="2">
        <v>57.652999999999999</v>
      </c>
      <c r="F263" s="2">
        <v>0</v>
      </c>
      <c r="G263" s="2">
        <v>30.411999999999999</v>
      </c>
      <c r="H263" s="2">
        <v>-33.640999999999998</v>
      </c>
      <c r="I263" s="1">
        <v>0.76375036858446199</v>
      </c>
      <c r="J263" s="1">
        <v>0.79175411513711302</v>
      </c>
      <c r="K263" s="1">
        <v>0.56272526243241705</v>
      </c>
      <c r="L263" s="1">
        <v>0.49277922128915702</v>
      </c>
      <c r="M263" s="2"/>
      <c r="N263" s="2"/>
      <c r="Q263" s="1">
        <f t="shared" si="17"/>
        <v>44.032499999999985</v>
      </c>
      <c r="R263">
        <f t="shared" si="16"/>
        <v>45.646999999999977</v>
      </c>
      <c r="S263" s="1">
        <f t="shared" si="18"/>
        <v>32.442799555016137</v>
      </c>
      <c r="T263" s="1">
        <f t="shared" si="19"/>
        <v>28.410200444983769</v>
      </c>
    </row>
    <row r="264" spans="1:20" x14ac:dyDescent="0.3">
      <c r="A264" t="s">
        <v>57</v>
      </c>
      <c r="B264" t="s">
        <v>674</v>
      </c>
      <c r="C264" t="s">
        <v>34</v>
      </c>
      <c r="D264" t="s">
        <v>35</v>
      </c>
      <c r="E264" s="2">
        <v>52.744</v>
      </c>
      <c r="F264" s="2">
        <v>0</v>
      </c>
      <c r="G264" s="2">
        <v>41.051000000000002</v>
      </c>
      <c r="H264" s="2">
        <v>-40.82</v>
      </c>
      <c r="I264" s="1">
        <v>0.88915326861823096</v>
      </c>
      <c r="J264" s="1">
        <v>0.88696344607917399</v>
      </c>
      <c r="K264" s="1">
        <v>0.79064135026999804</v>
      </c>
      <c r="L264" s="1">
        <v>0.48547536442740802</v>
      </c>
      <c r="M264" s="2"/>
      <c r="N264" s="2"/>
      <c r="Q264" s="1">
        <f t="shared" si="17"/>
        <v>46.897499999999972</v>
      </c>
      <c r="R264">
        <f t="shared" si="16"/>
        <v>46.781999999999954</v>
      </c>
      <c r="S264" s="1">
        <f t="shared" si="18"/>
        <v>41.701587378640774</v>
      </c>
      <c r="T264" s="1">
        <f t="shared" si="19"/>
        <v>25.605912621359209</v>
      </c>
    </row>
    <row r="265" spans="1:20" x14ac:dyDescent="0.3">
      <c r="A265" t="s">
        <v>57</v>
      </c>
      <c r="B265" t="s">
        <v>675</v>
      </c>
      <c r="C265" t="s">
        <v>580</v>
      </c>
      <c r="D265" t="s">
        <v>581</v>
      </c>
      <c r="E265" s="2">
        <v>744.97699999999998</v>
      </c>
      <c r="F265" s="2">
        <v>0</v>
      </c>
      <c r="G265" s="2">
        <v>609.38</v>
      </c>
      <c r="H265" s="2">
        <v>-611.21399999999903</v>
      </c>
      <c r="I265" s="1">
        <v>0.90899249238567004</v>
      </c>
      <c r="J265" s="1">
        <v>0.91022340287015502</v>
      </c>
      <c r="K265" s="1">
        <v>0.70991423187135805</v>
      </c>
      <c r="L265" s="1">
        <v>0.60930166338446801</v>
      </c>
      <c r="M265" s="2"/>
      <c r="N265" s="2"/>
      <c r="Q265" s="1">
        <f t="shared" si="17"/>
        <v>677.1784999999993</v>
      </c>
      <c r="R265">
        <f t="shared" si="16"/>
        <v>678.09549999999945</v>
      </c>
      <c r="S265" s="1">
        <f t="shared" si="18"/>
        <v>528.86977471682872</v>
      </c>
      <c r="T265" s="1">
        <f t="shared" si="19"/>
        <v>453.91572528317079</v>
      </c>
    </row>
    <row r="266" spans="1:20" x14ac:dyDescent="0.3">
      <c r="A266" t="s">
        <v>57</v>
      </c>
      <c r="B266" t="s">
        <v>189</v>
      </c>
      <c r="C266" t="s">
        <v>580</v>
      </c>
      <c r="D266" t="s">
        <v>581</v>
      </c>
      <c r="E266" s="2">
        <v>0</v>
      </c>
      <c r="F266" s="2">
        <v>0</v>
      </c>
      <c r="G266" s="2">
        <v>0</v>
      </c>
      <c r="H266" s="2">
        <v>0</v>
      </c>
      <c r="I266" s="1">
        <v>0</v>
      </c>
      <c r="J266" s="1">
        <v>0</v>
      </c>
      <c r="K266" s="1">
        <v>0</v>
      </c>
      <c r="L266" s="1">
        <v>0</v>
      </c>
      <c r="M266" s="2"/>
      <c r="N266" s="2"/>
      <c r="Q266" s="1">
        <f t="shared" si="17"/>
        <v>0</v>
      </c>
      <c r="R266">
        <f t="shared" si="16"/>
        <v>0</v>
      </c>
      <c r="S266" s="1">
        <f t="shared" si="18"/>
        <v>0</v>
      </c>
      <c r="T266" s="1">
        <f t="shared" si="19"/>
        <v>0</v>
      </c>
    </row>
    <row r="267" spans="1:20" x14ac:dyDescent="0.3">
      <c r="A267" t="s">
        <v>57</v>
      </c>
      <c r="B267" t="s">
        <v>676</v>
      </c>
      <c r="C267" t="s">
        <v>580</v>
      </c>
      <c r="D267" t="s">
        <v>581</v>
      </c>
      <c r="E267" s="2">
        <v>75.55</v>
      </c>
      <c r="F267" s="2">
        <v>0</v>
      </c>
      <c r="G267" s="2">
        <v>55.887999999999998</v>
      </c>
      <c r="H267" s="2">
        <v>-66.369999999999905</v>
      </c>
      <c r="I267" s="1">
        <v>0.86987425545996</v>
      </c>
      <c r="J267" s="1">
        <v>0.93924553275976097</v>
      </c>
      <c r="K267" s="1">
        <v>0.64041334100094405</v>
      </c>
      <c r="L267" s="1">
        <v>0.66870644721877703</v>
      </c>
      <c r="M267" s="2"/>
      <c r="N267" s="2"/>
      <c r="Q267" s="1">
        <f t="shared" si="17"/>
        <v>65.71899999999998</v>
      </c>
      <c r="R267">
        <f t="shared" si="16"/>
        <v>70.959999999999937</v>
      </c>
      <c r="S267" s="1">
        <f t="shared" si="18"/>
        <v>48.383227912621322</v>
      </c>
      <c r="T267" s="1">
        <f t="shared" si="19"/>
        <v>50.520772087378603</v>
      </c>
    </row>
    <row r="268" spans="1:20" x14ac:dyDescent="0.3">
      <c r="A268" t="s">
        <v>57</v>
      </c>
      <c r="B268" t="s">
        <v>190</v>
      </c>
      <c r="C268" t="s">
        <v>34</v>
      </c>
      <c r="D268" t="s">
        <v>35</v>
      </c>
      <c r="E268" s="2">
        <v>8.4489999999999998</v>
      </c>
      <c r="F268" s="2">
        <v>0</v>
      </c>
      <c r="G268" s="2">
        <v>6.7669999999999897</v>
      </c>
      <c r="H268" s="2">
        <v>-5.62</v>
      </c>
      <c r="I268" s="1">
        <v>0.90046159308793905</v>
      </c>
      <c r="J268" s="1">
        <v>0.83258373772044003</v>
      </c>
      <c r="K268" s="1">
        <v>0.82808923788303701</v>
      </c>
      <c r="L268" s="1">
        <v>0.40495609292534102</v>
      </c>
      <c r="M268" s="2"/>
      <c r="N268" s="2"/>
      <c r="Q268" s="1">
        <f t="shared" si="17"/>
        <v>7.607999999999997</v>
      </c>
      <c r="R268">
        <f t="shared" si="16"/>
        <v>7.0344999999999978</v>
      </c>
      <c r="S268" s="1">
        <f t="shared" si="18"/>
        <v>6.9965259708737797</v>
      </c>
      <c r="T268" s="1">
        <f t="shared" si="19"/>
        <v>3.4214740291262062</v>
      </c>
    </row>
    <row r="269" spans="1:20" x14ac:dyDescent="0.3">
      <c r="A269" t="s">
        <v>57</v>
      </c>
      <c r="B269" t="s">
        <v>191</v>
      </c>
      <c r="C269" t="s">
        <v>580</v>
      </c>
      <c r="D269" t="s">
        <v>581</v>
      </c>
      <c r="E269" s="2">
        <v>92.025999999999996</v>
      </c>
      <c r="F269" s="2">
        <v>0</v>
      </c>
      <c r="G269" s="2">
        <v>59.12</v>
      </c>
      <c r="H269" s="2">
        <v>-69.090999999999994</v>
      </c>
      <c r="I269" s="1">
        <v>0.82121357007802098</v>
      </c>
      <c r="J269" s="1">
        <v>0.87538847716949497</v>
      </c>
      <c r="K269" s="1">
        <v>0.65191065278301397</v>
      </c>
      <c r="L269" s="1">
        <v>0.54469139446450199</v>
      </c>
      <c r="M269" s="2"/>
      <c r="N269" s="2"/>
      <c r="Q269" s="1">
        <f t="shared" si="17"/>
        <v>75.572999999999951</v>
      </c>
      <c r="R269">
        <f t="shared" si="16"/>
        <v>80.558499999999938</v>
      </c>
      <c r="S269" s="1">
        <f t="shared" si="18"/>
        <v>59.992729733009639</v>
      </c>
      <c r="T269" s="1">
        <f t="shared" si="19"/>
        <v>50.125770266990259</v>
      </c>
    </row>
    <row r="270" spans="1:20" x14ac:dyDescent="0.3">
      <c r="A270" t="s">
        <v>57</v>
      </c>
      <c r="B270" t="s">
        <v>192</v>
      </c>
      <c r="C270" t="s">
        <v>580</v>
      </c>
      <c r="D270" t="s">
        <v>581</v>
      </c>
      <c r="E270" s="2">
        <v>44.215000000000003</v>
      </c>
      <c r="F270" s="2">
        <v>0</v>
      </c>
      <c r="G270" s="2">
        <v>31.491999999999901</v>
      </c>
      <c r="H270" s="2">
        <v>-32.256999999999998</v>
      </c>
      <c r="I270" s="1">
        <v>0.85612348750424005</v>
      </c>
      <c r="J270" s="1">
        <v>0.86477439782879095</v>
      </c>
      <c r="K270" s="1">
        <v>0.72526726896187099</v>
      </c>
      <c r="L270" s="1">
        <v>0.49563061637116002</v>
      </c>
      <c r="M270" s="2"/>
      <c r="N270" s="2"/>
      <c r="Q270" s="1">
        <f t="shared" si="17"/>
        <v>37.853499999999976</v>
      </c>
      <c r="R270">
        <f t="shared" si="16"/>
        <v>38.235999999999997</v>
      </c>
      <c r="S270" s="1">
        <f t="shared" si="18"/>
        <v>32.067692297149129</v>
      </c>
      <c r="T270" s="1">
        <f t="shared" si="19"/>
        <v>21.914307702850842</v>
      </c>
    </row>
    <row r="271" spans="1:20" x14ac:dyDescent="0.3">
      <c r="A271" t="s">
        <v>57</v>
      </c>
      <c r="B271" t="s">
        <v>193</v>
      </c>
      <c r="C271" t="s">
        <v>580</v>
      </c>
      <c r="D271" t="s">
        <v>581</v>
      </c>
      <c r="E271" s="2">
        <v>54.32</v>
      </c>
      <c r="F271" s="2">
        <v>0</v>
      </c>
      <c r="G271" s="2">
        <v>41.745999999999903</v>
      </c>
      <c r="H271" s="2">
        <v>-43.656999999999996</v>
      </c>
      <c r="I271" s="1">
        <v>0.88425994108983796</v>
      </c>
      <c r="J271" s="1">
        <v>0.90185014727540502</v>
      </c>
      <c r="K271" s="1">
        <v>0.73211180985505997</v>
      </c>
      <c r="L271" s="1">
        <v>0.55399827851018202</v>
      </c>
      <c r="M271" s="2"/>
      <c r="N271" s="2"/>
      <c r="Q271" s="1">
        <f t="shared" si="17"/>
        <v>48.033000000000001</v>
      </c>
      <c r="R271">
        <f t="shared" si="16"/>
        <v>48.988500000000002</v>
      </c>
      <c r="S271" s="1">
        <f t="shared" si="18"/>
        <v>39.768313511326859</v>
      </c>
      <c r="T271" s="1">
        <f t="shared" si="19"/>
        <v>30.093186488673087</v>
      </c>
    </row>
    <row r="272" spans="1:20" x14ac:dyDescent="0.3">
      <c r="A272" t="s">
        <v>57</v>
      </c>
      <c r="B272" t="s">
        <v>194</v>
      </c>
      <c r="C272" t="s">
        <v>580</v>
      </c>
      <c r="D272" t="s">
        <v>581</v>
      </c>
      <c r="E272" s="2">
        <v>176.02</v>
      </c>
      <c r="F272" s="2">
        <v>0</v>
      </c>
      <c r="G272" s="2">
        <v>133.024</v>
      </c>
      <c r="H272" s="2">
        <v>-155.96699999999899</v>
      </c>
      <c r="I272" s="1">
        <v>0.87786615157368397</v>
      </c>
      <c r="J272" s="1">
        <v>0.94303772298602395</v>
      </c>
      <c r="K272" s="1">
        <v>0.713342619016888</v>
      </c>
      <c r="L272" s="1">
        <v>0.60756125554282003</v>
      </c>
      <c r="M272" s="2"/>
      <c r="N272" s="2"/>
      <c r="Q272" s="1">
        <f t="shared" si="17"/>
        <v>154.52199999999985</v>
      </c>
      <c r="R272">
        <f t="shared" si="16"/>
        <v>165.99349999999995</v>
      </c>
      <c r="S272" s="1">
        <f t="shared" si="18"/>
        <v>125.56256779935264</v>
      </c>
      <c r="T272" s="1">
        <f t="shared" si="19"/>
        <v>106.94293220064719</v>
      </c>
    </row>
    <row r="273" spans="1:20" x14ac:dyDescent="0.3">
      <c r="A273" t="s">
        <v>57</v>
      </c>
      <c r="B273" t="s">
        <v>677</v>
      </c>
      <c r="C273" t="s">
        <v>580</v>
      </c>
      <c r="D273" t="s">
        <v>581</v>
      </c>
      <c r="E273" s="2">
        <v>54.759</v>
      </c>
      <c r="F273" s="2">
        <v>0</v>
      </c>
      <c r="G273" s="2">
        <v>43.783999999999999</v>
      </c>
      <c r="H273" s="2">
        <v>-31.282</v>
      </c>
      <c r="I273" s="1">
        <v>0.89978816267645501</v>
      </c>
      <c r="J273" s="1">
        <v>0.78563341185923696</v>
      </c>
      <c r="K273" s="1">
        <v>0.74000591278725203</v>
      </c>
      <c r="L273" s="1">
        <v>0.44541566174843999</v>
      </c>
      <c r="M273" s="2"/>
      <c r="N273" s="2"/>
      <c r="Q273" s="1">
        <f t="shared" si="17"/>
        <v>49.271500000000003</v>
      </c>
      <c r="R273">
        <f t="shared" si="16"/>
        <v>43.020499999999956</v>
      </c>
      <c r="S273" s="1">
        <f t="shared" si="18"/>
        <v>40.521983778317136</v>
      </c>
      <c r="T273" s="1">
        <f t="shared" si="19"/>
        <v>24.390516221682827</v>
      </c>
    </row>
    <row r="274" spans="1:20" x14ac:dyDescent="0.3">
      <c r="A274" t="s">
        <v>57</v>
      </c>
      <c r="B274" t="s">
        <v>195</v>
      </c>
      <c r="C274" t="s">
        <v>580</v>
      </c>
      <c r="D274" t="s">
        <v>581</v>
      </c>
      <c r="E274" s="2">
        <v>91.158000000000001</v>
      </c>
      <c r="F274" s="2">
        <v>0</v>
      </c>
      <c r="G274" s="2">
        <v>49.786999999999999</v>
      </c>
      <c r="H274" s="2">
        <v>-57.382999999999903</v>
      </c>
      <c r="I274" s="1">
        <v>0.77308080475657603</v>
      </c>
      <c r="J274" s="1">
        <v>0.81474472893218297</v>
      </c>
      <c r="K274" s="1">
        <v>0.60970904583961005</v>
      </c>
      <c r="L274" s="1">
        <v>0.47811648784914901</v>
      </c>
      <c r="M274" s="2"/>
      <c r="N274" s="2"/>
      <c r="Q274" s="1">
        <f t="shared" si="17"/>
        <v>70.472499999999954</v>
      </c>
      <c r="R274">
        <f t="shared" si="16"/>
        <v>74.270499999999942</v>
      </c>
      <c r="S274" s="1">
        <f t="shared" si="18"/>
        <v>55.579857200647176</v>
      </c>
      <c r="T274" s="1">
        <f t="shared" si="19"/>
        <v>43.584142799352726</v>
      </c>
    </row>
    <row r="275" spans="1:20" x14ac:dyDescent="0.3">
      <c r="A275" t="s">
        <v>57</v>
      </c>
      <c r="B275" t="s">
        <v>678</v>
      </c>
      <c r="C275" t="s">
        <v>580</v>
      </c>
      <c r="D275" t="s">
        <v>581</v>
      </c>
      <c r="E275" s="2">
        <v>195.477</v>
      </c>
      <c r="F275" s="2">
        <v>0</v>
      </c>
      <c r="G275" s="2">
        <v>171.64599999999999</v>
      </c>
      <c r="H275" s="2">
        <v>-133.381</v>
      </c>
      <c r="I275" s="1">
        <v>0.93904397959862296</v>
      </c>
      <c r="J275" s="1">
        <v>0.84116801465133995</v>
      </c>
      <c r="K275" s="1">
        <v>0.78072919726872403</v>
      </c>
      <c r="L275" s="1">
        <v>0.49948279698123799</v>
      </c>
      <c r="M275" s="2"/>
      <c r="N275" s="2"/>
      <c r="Q275" s="1">
        <f t="shared" si="17"/>
        <v>183.56150000000002</v>
      </c>
      <c r="R275">
        <f t="shared" si="16"/>
        <v>164.42899999999997</v>
      </c>
      <c r="S275" s="1">
        <f t="shared" si="18"/>
        <v>152.61460129449836</v>
      </c>
      <c r="T275" s="1">
        <f t="shared" si="19"/>
        <v>97.637398705501454</v>
      </c>
    </row>
    <row r="276" spans="1:20" x14ac:dyDescent="0.3">
      <c r="A276" t="s">
        <v>57</v>
      </c>
      <c r="B276" t="s">
        <v>196</v>
      </c>
      <c r="C276" t="s">
        <v>580</v>
      </c>
      <c r="D276" t="s">
        <v>581</v>
      </c>
      <c r="E276" s="2">
        <v>305.57100000000003</v>
      </c>
      <c r="F276" s="2">
        <v>0</v>
      </c>
      <c r="G276" s="2">
        <v>222.46700000000001</v>
      </c>
      <c r="H276" s="2">
        <v>-239.846</v>
      </c>
      <c r="I276" s="1">
        <v>0.86401850960987703</v>
      </c>
      <c r="J276" s="1">
        <v>0.89245543588887599</v>
      </c>
      <c r="K276" s="1">
        <v>0.67831899027190201</v>
      </c>
      <c r="L276" s="1">
        <v>0.57815495522685201</v>
      </c>
      <c r="M276" s="2"/>
      <c r="N276" s="2"/>
      <c r="Q276" s="1">
        <f t="shared" si="17"/>
        <v>264.01899999999978</v>
      </c>
      <c r="R276">
        <f t="shared" si="16"/>
        <v>272.70849999999973</v>
      </c>
      <c r="S276" s="1">
        <f t="shared" si="18"/>
        <v>207.2746121763754</v>
      </c>
      <c r="T276" s="1">
        <f t="shared" si="19"/>
        <v>176.66738782362441</v>
      </c>
    </row>
    <row r="277" spans="1:20" x14ac:dyDescent="0.3">
      <c r="A277" t="s">
        <v>57</v>
      </c>
      <c r="B277" t="s">
        <v>197</v>
      </c>
      <c r="C277" t="s">
        <v>580</v>
      </c>
      <c r="D277" t="s">
        <v>581</v>
      </c>
      <c r="E277" s="2">
        <v>197.376</v>
      </c>
      <c r="F277" s="2">
        <v>0</v>
      </c>
      <c r="G277" s="2">
        <v>127.96799999999899</v>
      </c>
      <c r="H277" s="2">
        <v>-137.648</v>
      </c>
      <c r="I277" s="1">
        <v>0.82417315175097206</v>
      </c>
      <c r="J277" s="1">
        <v>0.84869487678339794</v>
      </c>
      <c r="K277" s="1">
        <v>0.56980745216219797</v>
      </c>
      <c r="L277" s="1">
        <v>0.60306057637217203</v>
      </c>
      <c r="M277" s="2"/>
      <c r="N277" s="2"/>
      <c r="Q277" s="1">
        <f t="shared" si="17"/>
        <v>162.67199999999985</v>
      </c>
      <c r="R277">
        <f t="shared" si="16"/>
        <v>167.51199999999994</v>
      </c>
      <c r="S277" s="1">
        <f t="shared" si="18"/>
        <v>112.46631567796599</v>
      </c>
      <c r="T277" s="1">
        <f t="shared" si="19"/>
        <v>119.02968432203383</v>
      </c>
    </row>
    <row r="278" spans="1:20" x14ac:dyDescent="0.3">
      <c r="A278" t="s">
        <v>57</v>
      </c>
      <c r="B278" t="s">
        <v>198</v>
      </c>
      <c r="C278" t="s">
        <v>580</v>
      </c>
      <c r="D278" t="s">
        <v>581</v>
      </c>
      <c r="E278" s="2">
        <v>340.28300000000002</v>
      </c>
      <c r="F278" s="2">
        <v>0</v>
      </c>
      <c r="G278" s="2">
        <v>231.00399999999999</v>
      </c>
      <c r="H278" s="2">
        <v>-280.2</v>
      </c>
      <c r="I278" s="1">
        <v>0.83942923977982997</v>
      </c>
      <c r="J278" s="1">
        <v>0.911716130397345</v>
      </c>
      <c r="K278" s="1">
        <v>0.58076786341279396</v>
      </c>
      <c r="L278" s="1">
        <v>0.67037750676438201</v>
      </c>
      <c r="M278" s="2"/>
      <c r="N278" s="2"/>
      <c r="Q278" s="1">
        <f t="shared" si="17"/>
        <v>285.6434999999999</v>
      </c>
      <c r="R278">
        <f t="shared" si="16"/>
        <v>310.24149999999975</v>
      </c>
      <c r="S278" s="1">
        <f t="shared" si="18"/>
        <v>197.62543086569579</v>
      </c>
      <c r="T278" s="1">
        <f t="shared" si="19"/>
        <v>228.11806913430422</v>
      </c>
    </row>
    <row r="279" spans="1:20" x14ac:dyDescent="0.3">
      <c r="A279" t="s">
        <v>57</v>
      </c>
      <c r="B279" t="s">
        <v>679</v>
      </c>
      <c r="C279" t="s">
        <v>580</v>
      </c>
      <c r="D279" t="s">
        <v>581</v>
      </c>
      <c r="E279" s="2">
        <v>229.24299999999999</v>
      </c>
      <c r="F279" s="2">
        <v>0</v>
      </c>
      <c r="G279" s="2">
        <v>134.873999999999</v>
      </c>
      <c r="H279" s="2">
        <v>-144.75399999999999</v>
      </c>
      <c r="I279" s="1">
        <v>0.79417255924935504</v>
      </c>
      <c r="J279" s="1">
        <v>0.81572174504783102</v>
      </c>
      <c r="K279" s="1">
        <v>0.63848342918066503</v>
      </c>
      <c r="L279" s="1">
        <v>0.47141087511652002</v>
      </c>
      <c r="M279" s="2"/>
      <c r="N279" s="2"/>
      <c r="Q279" s="1">
        <f t="shared" si="17"/>
        <v>182.0584999999999</v>
      </c>
      <c r="R279">
        <f t="shared" si="16"/>
        <v>186.99849999999992</v>
      </c>
      <c r="S279" s="1">
        <f t="shared" si="18"/>
        <v>146.36785675566318</v>
      </c>
      <c r="T279" s="1">
        <f t="shared" si="19"/>
        <v>108.0676432443364</v>
      </c>
    </row>
    <row r="280" spans="1:20" x14ac:dyDescent="0.3">
      <c r="A280" t="s">
        <v>57</v>
      </c>
      <c r="B280" t="s">
        <v>199</v>
      </c>
      <c r="C280" t="s">
        <v>580</v>
      </c>
      <c r="D280" t="s">
        <v>581</v>
      </c>
      <c r="E280" s="2">
        <v>279.64</v>
      </c>
      <c r="F280" s="2">
        <v>0</v>
      </c>
      <c r="G280" s="2">
        <v>255.40199999999999</v>
      </c>
      <c r="H280" s="2">
        <v>-255.905</v>
      </c>
      <c r="I280" s="1">
        <v>0.95666213703332803</v>
      </c>
      <c r="J280" s="1">
        <v>0.95756150765269599</v>
      </c>
      <c r="K280" s="1">
        <v>0.73760366424542401</v>
      </c>
      <c r="L280" s="1">
        <v>0.67661998044059901</v>
      </c>
      <c r="M280" s="2"/>
      <c r="N280" s="2"/>
      <c r="Q280" s="1">
        <f t="shared" si="17"/>
        <v>267.52099999999984</v>
      </c>
      <c r="R280">
        <f t="shared" si="16"/>
        <v>267.77249999999987</v>
      </c>
      <c r="S280" s="1">
        <f t="shared" si="18"/>
        <v>206.26348866959037</v>
      </c>
      <c r="T280" s="1">
        <f t="shared" si="19"/>
        <v>189.21001133040909</v>
      </c>
    </row>
    <row r="281" spans="1:20" x14ac:dyDescent="0.3">
      <c r="A281" t="s">
        <v>57</v>
      </c>
      <c r="B281" t="s">
        <v>200</v>
      </c>
      <c r="C281" t="s">
        <v>580</v>
      </c>
      <c r="D281" t="s">
        <v>581</v>
      </c>
      <c r="E281" s="2">
        <v>81.787000000000006</v>
      </c>
      <c r="F281" s="2">
        <v>0</v>
      </c>
      <c r="G281" s="2">
        <v>23.504000000000001</v>
      </c>
      <c r="H281" s="2">
        <v>-45.094999999999999</v>
      </c>
      <c r="I281" s="1">
        <v>0.64369031753212602</v>
      </c>
      <c r="J281" s="1">
        <v>0.77568562240942895</v>
      </c>
      <c r="K281" s="1">
        <v>0.55189691583693601</v>
      </c>
      <c r="L281" s="1">
        <v>0.36747902410461802</v>
      </c>
      <c r="M281" s="2"/>
      <c r="N281" s="2"/>
      <c r="Q281" s="1">
        <f t="shared" si="17"/>
        <v>52.645499999999998</v>
      </c>
      <c r="R281">
        <f t="shared" si="16"/>
        <v>63.440999999999974</v>
      </c>
      <c r="S281" s="1">
        <f t="shared" si="18"/>
        <v>45.137993055555491</v>
      </c>
      <c r="T281" s="1">
        <f t="shared" si="19"/>
        <v>30.055006944444397</v>
      </c>
    </row>
    <row r="282" spans="1:20" x14ac:dyDescent="0.3">
      <c r="A282" t="s">
        <v>57</v>
      </c>
      <c r="B282" t="s">
        <v>201</v>
      </c>
      <c r="C282" t="s">
        <v>580</v>
      </c>
      <c r="D282" t="s">
        <v>581</v>
      </c>
      <c r="E282" s="2">
        <v>134.25700000000001</v>
      </c>
      <c r="F282" s="2">
        <v>0</v>
      </c>
      <c r="G282" s="2">
        <v>49.437999999999903</v>
      </c>
      <c r="H282" s="2">
        <v>-65.430999999999997</v>
      </c>
      <c r="I282" s="1">
        <v>0.684117029279665</v>
      </c>
      <c r="J282" s="1">
        <v>0.74367816948092003</v>
      </c>
      <c r="K282" s="1">
        <v>0.60797373073036498</v>
      </c>
      <c r="L282" s="1">
        <v>0.31982146803021999</v>
      </c>
      <c r="M282" s="2"/>
      <c r="N282" s="2"/>
      <c r="Q282" s="1">
        <f t="shared" si="17"/>
        <v>91.847499999999982</v>
      </c>
      <c r="R282">
        <f t="shared" si="16"/>
        <v>99.84399999999988</v>
      </c>
      <c r="S282" s="1">
        <f t="shared" si="18"/>
        <v>81.624729166666611</v>
      </c>
      <c r="T282" s="1">
        <f t="shared" si="19"/>
        <v>42.938270833333249</v>
      </c>
    </row>
    <row r="283" spans="1:20" x14ac:dyDescent="0.3">
      <c r="A283" t="s">
        <v>57</v>
      </c>
      <c r="B283" t="s">
        <v>680</v>
      </c>
      <c r="C283" t="s">
        <v>580</v>
      </c>
      <c r="D283" t="s">
        <v>581</v>
      </c>
      <c r="E283" s="2">
        <v>421.27499999999998</v>
      </c>
      <c r="F283" s="2">
        <v>0</v>
      </c>
      <c r="G283" s="2">
        <v>270.950999999999</v>
      </c>
      <c r="H283" s="2">
        <v>-324.66199999999998</v>
      </c>
      <c r="I283" s="1">
        <v>0.82158447569877102</v>
      </c>
      <c r="J283" s="1">
        <v>0.88533262120942302</v>
      </c>
      <c r="K283" s="1">
        <v>0.66712532871873897</v>
      </c>
      <c r="L283" s="1">
        <v>0.53979176818945496</v>
      </c>
      <c r="M283" s="2"/>
      <c r="N283" s="2"/>
      <c r="Q283" s="1">
        <f t="shared" si="17"/>
        <v>346.11299999999972</v>
      </c>
      <c r="R283">
        <f t="shared" si="16"/>
        <v>372.96849999999966</v>
      </c>
      <c r="S283" s="1">
        <f t="shared" si="18"/>
        <v>281.04322285598676</v>
      </c>
      <c r="T283" s="1">
        <f t="shared" si="19"/>
        <v>227.40077714401264</v>
      </c>
    </row>
    <row r="284" spans="1:20" x14ac:dyDescent="0.3">
      <c r="A284" t="s">
        <v>57</v>
      </c>
      <c r="B284" t="s">
        <v>681</v>
      </c>
      <c r="C284" t="s">
        <v>580</v>
      </c>
      <c r="D284" t="s">
        <v>581</v>
      </c>
      <c r="E284" s="2">
        <v>206.589</v>
      </c>
      <c r="F284" s="2">
        <v>0</v>
      </c>
      <c r="G284" s="2">
        <v>138.03299999999999</v>
      </c>
      <c r="H284" s="2">
        <v>-170.08</v>
      </c>
      <c r="I284" s="1">
        <v>0.83407635450096496</v>
      </c>
      <c r="J284" s="1">
        <v>0.91163856739710203</v>
      </c>
      <c r="K284" s="1">
        <v>0.56827415921359603</v>
      </c>
      <c r="L284" s="1">
        <v>0.67744076268447095</v>
      </c>
      <c r="M284" s="2"/>
      <c r="N284" s="2"/>
      <c r="Q284" s="1">
        <f t="shared" si="17"/>
        <v>172.31099999999984</v>
      </c>
      <c r="R284">
        <f t="shared" si="16"/>
        <v>188.33449999999991</v>
      </c>
      <c r="S284" s="1">
        <f t="shared" si="18"/>
        <v>117.39919027777759</v>
      </c>
      <c r="T284" s="1">
        <f t="shared" si="19"/>
        <v>139.95180972222218</v>
      </c>
    </row>
    <row r="285" spans="1:20" x14ac:dyDescent="0.3">
      <c r="A285" t="s">
        <v>57</v>
      </c>
      <c r="B285" t="s">
        <v>682</v>
      </c>
      <c r="C285" t="s">
        <v>580</v>
      </c>
      <c r="D285" t="s">
        <v>581</v>
      </c>
      <c r="E285" s="2">
        <v>201.52799999999999</v>
      </c>
      <c r="F285" s="2">
        <v>0</v>
      </c>
      <c r="G285" s="2">
        <v>151.56700000000001</v>
      </c>
      <c r="H285" s="2">
        <v>-161.87299999999999</v>
      </c>
      <c r="I285" s="1">
        <v>0.87604451986820697</v>
      </c>
      <c r="J285" s="1">
        <v>0.90161416775832603</v>
      </c>
      <c r="K285" s="1">
        <v>0.62948242097045204</v>
      </c>
      <c r="L285" s="1">
        <v>0.64817626665608097</v>
      </c>
      <c r="M285" s="2"/>
      <c r="N285" s="2"/>
      <c r="Q285" s="1">
        <f t="shared" si="17"/>
        <v>176.54750000000001</v>
      </c>
      <c r="R285">
        <f t="shared" si="16"/>
        <v>181.70049999999992</v>
      </c>
      <c r="S285" s="1">
        <f t="shared" si="18"/>
        <v>126.85833333333325</v>
      </c>
      <c r="T285" s="1">
        <f t="shared" si="19"/>
        <v>130.62566666666669</v>
      </c>
    </row>
    <row r="286" spans="1:20" x14ac:dyDescent="0.3">
      <c r="A286" t="s">
        <v>57</v>
      </c>
      <c r="B286" t="s">
        <v>683</v>
      </c>
      <c r="C286" t="s">
        <v>580</v>
      </c>
      <c r="D286" t="s">
        <v>581</v>
      </c>
      <c r="E286" s="2">
        <v>126.01300000000001</v>
      </c>
      <c r="F286" s="2">
        <v>0</v>
      </c>
      <c r="G286" s="2">
        <v>54.117999999999903</v>
      </c>
      <c r="H286" s="2">
        <v>-105.511</v>
      </c>
      <c r="I286" s="1">
        <v>0.714731813384333</v>
      </c>
      <c r="J286" s="1">
        <v>0.91865125026782901</v>
      </c>
      <c r="K286" s="1">
        <v>0.61630456972770997</v>
      </c>
      <c r="L286" s="1">
        <v>0.51707849392445104</v>
      </c>
      <c r="M286" s="2"/>
      <c r="N286" s="2"/>
      <c r="Q286" s="1">
        <f t="shared" si="17"/>
        <v>90.065499999999957</v>
      </c>
      <c r="R286">
        <f t="shared" si="16"/>
        <v>115.76199999999994</v>
      </c>
      <c r="S286" s="1">
        <f t="shared" si="18"/>
        <v>77.662387745097917</v>
      </c>
      <c r="T286" s="1">
        <f t="shared" si="19"/>
        <v>65.158612254901854</v>
      </c>
    </row>
    <row r="287" spans="1:20" x14ac:dyDescent="0.3">
      <c r="A287" t="s">
        <v>57</v>
      </c>
      <c r="B287" t="s">
        <v>684</v>
      </c>
      <c r="C287" t="s">
        <v>580</v>
      </c>
      <c r="D287" t="s">
        <v>581</v>
      </c>
      <c r="E287" s="2">
        <v>928.697</v>
      </c>
      <c r="F287" s="2">
        <v>0</v>
      </c>
      <c r="G287" s="2">
        <v>584.23799999999903</v>
      </c>
      <c r="H287" s="2">
        <v>-764.32399999999996</v>
      </c>
      <c r="I287" s="1">
        <v>0.81454715585384596</v>
      </c>
      <c r="J287" s="1">
        <v>0.91150342899783199</v>
      </c>
      <c r="K287" s="1">
        <v>0.62400969365774495</v>
      </c>
      <c r="L287" s="1">
        <v>0.602040891193933</v>
      </c>
      <c r="M287" s="2"/>
      <c r="N287" s="2"/>
      <c r="Q287" s="1">
        <f t="shared" si="17"/>
        <v>756.46749999999918</v>
      </c>
      <c r="R287">
        <f t="shared" si="16"/>
        <v>846.51049999999952</v>
      </c>
      <c r="S287" s="1">
        <f t="shared" si="18"/>
        <v>579.51593047086681</v>
      </c>
      <c r="T287" s="1">
        <f t="shared" si="19"/>
        <v>559.11356952913195</v>
      </c>
    </row>
    <row r="288" spans="1:20" x14ac:dyDescent="0.3">
      <c r="A288" t="s">
        <v>57</v>
      </c>
      <c r="B288" t="s">
        <v>685</v>
      </c>
      <c r="C288" t="s">
        <v>580</v>
      </c>
      <c r="D288" t="s">
        <v>581</v>
      </c>
      <c r="E288" s="2">
        <v>441.81099999999998</v>
      </c>
      <c r="F288" s="2">
        <v>0</v>
      </c>
      <c r="G288" s="2">
        <v>268.916</v>
      </c>
      <c r="H288" s="2">
        <v>-343.96199999999999</v>
      </c>
      <c r="I288" s="1">
        <v>0.80433375357336001</v>
      </c>
      <c r="J288" s="1">
        <v>0.88926373494548505</v>
      </c>
      <c r="K288" s="1">
        <v>0.62885868197926098</v>
      </c>
      <c r="L288" s="1">
        <v>0.56473880653958497</v>
      </c>
      <c r="M288" s="2"/>
      <c r="N288" s="2"/>
      <c r="Q288" s="1">
        <f t="shared" si="17"/>
        <v>355.36349999999976</v>
      </c>
      <c r="R288">
        <f t="shared" si="16"/>
        <v>392.88649999999967</v>
      </c>
      <c r="S288" s="1">
        <f t="shared" si="18"/>
        <v>277.83668314393924</v>
      </c>
      <c r="T288" s="1">
        <f t="shared" si="19"/>
        <v>249.50781685606057</v>
      </c>
    </row>
    <row r="289" spans="1:20" x14ac:dyDescent="0.3">
      <c r="A289" t="s">
        <v>57</v>
      </c>
      <c r="B289" t="s">
        <v>686</v>
      </c>
      <c r="C289" t="s">
        <v>580</v>
      </c>
      <c r="D289" t="s">
        <v>581</v>
      </c>
      <c r="E289" s="2">
        <v>93.929000000000002</v>
      </c>
      <c r="F289" s="2">
        <v>0</v>
      </c>
      <c r="G289" s="2">
        <v>55.13</v>
      </c>
      <c r="H289" s="2">
        <v>-55.688000000000002</v>
      </c>
      <c r="I289" s="1">
        <v>0.79346634159844098</v>
      </c>
      <c r="J289" s="1">
        <v>0.79643667025093401</v>
      </c>
      <c r="K289" s="1">
        <v>0.65360509575547099</v>
      </c>
      <c r="L289" s="1">
        <v>0.436297916093904</v>
      </c>
      <c r="M289" s="2"/>
      <c r="N289" s="2"/>
      <c r="Q289" s="1">
        <f t="shared" si="17"/>
        <v>74.52949999999997</v>
      </c>
      <c r="R289">
        <f t="shared" si="16"/>
        <v>74.808499999999981</v>
      </c>
      <c r="S289" s="1">
        <f t="shared" si="18"/>
        <v>61.392473039215638</v>
      </c>
      <c r="T289" s="1">
        <f t="shared" si="19"/>
        <v>40.981026960784313</v>
      </c>
    </row>
    <row r="290" spans="1:20" x14ac:dyDescent="0.3">
      <c r="A290" t="s">
        <v>57</v>
      </c>
      <c r="B290" t="s">
        <v>687</v>
      </c>
      <c r="C290" t="s">
        <v>580</v>
      </c>
      <c r="D290" t="s">
        <v>581</v>
      </c>
      <c r="E290" s="2">
        <v>521.41399999999999</v>
      </c>
      <c r="F290" s="2">
        <v>0</v>
      </c>
      <c r="G290" s="2">
        <v>345.498999999999</v>
      </c>
      <c r="H290" s="2">
        <v>-367.17200000000003</v>
      </c>
      <c r="I290" s="1">
        <v>0.83130966947569496</v>
      </c>
      <c r="J290" s="1">
        <v>0.85209257902549596</v>
      </c>
      <c r="K290" s="1">
        <v>0.61729645553017698</v>
      </c>
      <c r="L290" s="1">
        <v>0.56610579297101304</v>
      </c>
      <c r="M290" s="2"/>
      <c r="N290" s="2"/>
      <c r="Q290" s="1">
        <f t="shared" si="17"/>
        <v>433.45650000000001</v>
      </c>
      <c r="R290">
        <f t="shared" si="16"/>
        <v>444.29299999999995</v>
      </c>
      <c r="S290" s="1">
        <f t="shared" si="18"/>
        <v>321.86701406381167</v>
      </c>
      <c r="T290" s="1">
        <f t="shared" si="19"/>
        <v>295.17548593618778</v>
      </c>
    </row>
    <row r="291" spans="1:20" x14ac:dyDescent="0.3">
      <c r="A291" t="s">
        <v>57</v>
      </c>
      <c r="B291" t="s">
        <v>202</v>
      </c>
      <c r="C291" t="s">
        <v>34</v>
      </c>
      <c r="D291" t="s">
        <v>35</v>
      </c>
      <c r="E291" s="2">
        <v>235.80699999999999</v>
      </c>
      <c r="F291" s="2">
        <v>0</v>
      </c>
      <c r="G291" s="2">
        <v>171.60499999999999</v>
      </c>
      <c r="H291" s="2">
        <v>-156.34800000000001</v>
      </c>
      <c r="I291" s="1">
        <v>0.86386748484989795</v>
      </c>
      <c r="J291" s="1">
        <v>0.83151687608934399</v>
      </c>
      <c r="K291" s="1">
        <v>0.75989294799937601</v>
      </c>
      <c r="L291" s="1">
        <v>0.43549141293986598</v>
      </c>
      <c r="M291" s="2"/>
      <c r="N291" s="2"/>
      <c r="Q291" s="1">
        <f t="shared" si="17"/>
        <v>203.70599999999988</v>
      </c>
      <c r="R291">
        <f t="shared" si="16"/>
        <v>196.07749999999993</v>
      </c>
      <c r="S291" s="1">
        <f t="shared" si="18"/>
        <v>179.18807638888885</v>
      </c>
      <c r="T291" s="1">
        <f t="shared" si="19"/>
        <v>102.69192361111098</v>
      </c>
    </row>
    <row r="292" spans="1:20" x14ac:dyDescent="0.3">
      <c r="A292" t="s">
        <v>57</v>
      </c>
      <c r="B292" t="s">
        <v>203</v>
      </c>
      <c r="C292" t="s">
        <v>576</v>
      </c>
      <c r="D292" t="s">
        <v>589</v>
      </c>
      <c r="E292" s="2">
        <v>0</v>
      </c>
      <c r="F292" s="2">
        <v>0</v>
      </c>
      <c r="G292" s="2">
        <v>0</v>
      </c>
      <c r="H292" s="2">
        <v>0</v>
      </c>
      <c r="I292" s="1">
        <v>0</v>
      </c>
      <c r="J292" s="1">
        <v>0</v>
      </c>
      <c r="K292" s="1">
        <v>0</v>
      </c>
      <c r="L292" s="1">
        <v>0</v>
      </c>
      <c r="M292" s="2"/>
      <c r="N292" s="2"/>
      <c r="Q292" s="1">
        <f t="shared" si="17"/>
        <v>0</v>
      </c>
      <c r="R292">
        <f t="shared" si="16"/>
        <v>0</v>
      </c>
      <c r="S292" s="1">
        <f t="shared" si="18"/>
        <v>0</v>
      </c>
      <c r="T292" s="1">
        <f t="shared" si="19"/>
        <v>0</v>
      </c>
    </row>
    <row r="293" spans="1:20" x14ac:dyDescent="0.3">
      <c r="A293" t="s">
        <v>57</v>
      </c>
      <c r="B293" t="s">
        <v>204</v>
      </c>
      <c r="C293" t="s">
        <v>576</v>
      </c>
      <c r="D293" t="s">
        <v>583</v>
      </c>
      <c r="E293" s="2">
        <v>0</v>
      </c>
      <c r="F293" s="2">
        <v>0</v>
      </c>
      <c r="G293" s="2">
        <v>0</v>
      </c>
      <c r="H293" s="2">
        <v>0</v>
      </c>
      <c r="I293" s="1">
        <v>0</v>
      </c>
      <c r="J293" s="1">
        <v>0</v>
      </c>
      <c r="K293" s="1">
        <v>0</v>
      </c>
      <c r="L293" s="1">
        <v>0</v>
      </c>
      <c r="M293" s="2"/>
      <c r="N293" s="2"/>
      <c r="Q293" s="1">
        <f t="shared" si="17"/>
        <v>0</v>
      </c>
      <c r="R293">
        <f t="shared" si="16"/>
        <v>0</v>
      </c>
      <c r="S293" s="1">
        <f t="shared" si="18"/>
        <v>0</v>
      </c>
      <c r="T293" s="1">
        <f t="shared" si="19"/>
        <v>0</v>
      </c>
    </row>
    <row r="294" spans="1:20" x14ac:dyDescent="0.3">
      <c r="A294" t="s">
        <v>57</v>
      </c>
      <c r="B294" t="s">
        <v>205</v>
      </c>
      <c r="C294" t="s">
        <v>576</v>
      </c>
      <c r="D294" t="s">
        <v>14</v>
      </c>
      <c r="E294" s="2">
        <v>12.102</v>
      </c>
      <c r="F294" s="2">
        <v>0</v>
      </c>
      <c r="G294" s="2">
        <v>5.84</v>
      </c>
      <c r="H294" s="2">
        <v>-9.1369999999999898</v>
      </c>
      <c r="I294" s="1">
        <v>0.74128243265575899</v>
      </c>
      <c r="J294" s="1">
        <v>0.87749958684514895</v>
      </c>
      <c r="K294" s="1">
        <v>0.63150744628051003</v>
      </c>
      <c r="L294" s="1">
        <v>0.48727457322039802</v>
      </c>
      <c r="M294" s="2"/>
      <c r="N294" s="2"/>
      <c r="Q294" s="1">
        <f t="shared" si="17"/>
        <v>8.9709999999999948</v>
      </c>
      <c r="R294">
        <f t="shared" si="16"/>
        <v>10.619499999999993</v>
      </c>
      <c r="S294" s="1">
        <f t="shared" si="18"/>
        <v>7.6425031148867326</v>
      </c>
      <c r="T294" s="1">
        <f t="shared" si="19"/>
        <v>5.896996885113257</v>
      </c>
    </row>
    <row r="295" spans="1:20" x14ac:dyDescent="0.3">
      <c r="A295" t="s">
        <v>57</v>
      </c>
      <c r="B295" t="s">
        <v>206</v>
      </c>
      <c r="C295" t="s">
        <v>34</v>
      </c>
      <c r="D295" t="s">
        <v>35</v>
      </c>
      <c r="E295" s="2">
        <v>20.954000000000001</v>
      </c>
      <c r="F295" s="2">
        <v>0</v>
      </c>
      <c r="G295" s="2">
        <v>20.071000000000002</v>
      </c>
      <c r="H295" s="2">
        <v>-19.762</v>
      </c>
      <c r="I295" s="1">
        <v>0.97893003722439598</v>
      </c>
      <c r="J295" s="1">
        <v>0.97155674334255904</v>
      </c>
      <c r="K295" s="1">
        <v>0.97485437549596199</v>
      </c>
      <c r="L295" s="1">
        <v>0.47563240507099303</v>
      </c>
      <c r="M295" s="2"/>
      <c r="N295" s="2"/>
      <c r="Q295" s="1">
        <f t="shared" si="17"/>
        <v>20.512499999999992</v>
      </c>
      <c r="R295">
        <f t="shared" si="16"/>
        <v>20.357999999999983</v>
      </c>
      <c r="S295" s="1">
        <f t="shared" si="18"/>
        <v>20.427098584142389</v>
      </c>
      <c r="T295" s="1">
        <f t="shared" si="19"/>
        <v>9.9664014158575878</v>
      </c>
    </row>
    <row r="296" spans="1:20" x14ac:dyDescent="0.3">
      <c r="A296" t="s">
        <v>57</v>
      </c>
      <c r="B296" t="s">
        <v>207</v>
      </c>
      <c r="C296" t="s">
        <v>576</v>
      </c>
      <c r="D296" t="s">
        <v>577</v>
      </c>
      <c r="E296" s="2">
        <v>0</v>
      </c>
      <c r="F296" s="2">
        <v>0</v>
      </c>
      <c r="G296" s="2">
        <v>0</v>
      </c>
      <c r="H296" s="2">
        <v>0</v>
      </c>
      <c r="I296" s="1">
        <v>0</v>
      </c>
      <c r="J296" s="1">
        <v>0</v>
      </c>
      <c r="K296" s="1">
        <v>0</v>
      </c>
      <c r="L296" s="1">
        <v>0</v>
      </c>
      <c r="M296" s="2"/>
      <c r="N296" s="2"/>
      <c r="Q296" s="1">
        <f t="shared" si="17"/>
        <v>0</v>
      </c>
      <c r="R296">
        <f t="shared" si="16"/>
        <v>0</v>
      </c>
      <c r="S296" s="1">
        <f t="shared" si="18"/>
        <v>0</v>
      </c>
      <c r="T296" s="1">
        <f t="shared" si="19"/>
        <v>0</v>
      </c>
    </row>
    <row r="297" spans="1:20" x14ac:dyDescent="0.3">
      <c r="A297" t="s">
        <v>57</v>
      </c>
      <c r="B297" t="s">
        <v>208</v>
      </c>
      <c r="C297" t="s">
        <v>580</v>
      </c>
      <c r="D297" t="s">
        <v>581</v>
      </c>
      <c r="E297" s="2">
        <v>6.3579999999999997</v>
      </c>
      <c r="F297" s="2">
        <v>0.13</v>
      </c>
      <c r="G297" s="2">
        <v>2.59499999999999</v>
      </c>
      <c r="H297" s="2">
        <v>-2.9869999999999899</v>
      </c>
      <c r="I297" s="1">
        <v>0.69385026737967903</v>
      </c>
      <c r="J297" s="1">
        <v>0.72467757156338397</v>
      </c>
      <c r="K297" s="1">
        <v>0.47928135157806401</v>
      </c>
      <c r="L297" s="1">
        <v>0.44946982803816699</v>
      </c>
      <c r="M297" s="2"/>
      <c r="N297" s="2"/>
      <c r="Q297" s="1">
        <f t="shared" si="17"/>
        <v>4.4114999999999993</v>
      </c>
      <c r="R297">
        <f t="shared" si="16"/>
        <v>4.6074999999999946</v>
      </c>
      <c r="S297" s="1">
        <f t="shared" si="18"/>
        <v>3.0472708333333309</v>
      </c>
      <c r="T297" s="1">
        <f t="shared" si="19"/>
        <v>2.8577291666666653</v>
      </c>
    </row>
    <row r="298" spans="1:20" x14ac:dyDescent="0.3">
      <c r="A298" t="s">
        <v>57</v>
      </c>
      <c r="B298" t="s">
        <v>209</v>
      </c>
      <c r="C298" t="s">
        <v>576</v>
      </c>
      <c r="D298" t="s">
        <v>583</v>
      </c>
      <c r="E298" s="2">
        <v>141.65700000000001</v>
      </c>
      <c r="F298" s="2">
        <v>0</v>
      </c>
      <c r="G298" s="2">
        <v>87.888000000000005</v>
      </c>
      <c r="H298" s="2">
        <v>-99.271000000000001</v>
      </c>
      <c r="I298" s="1">
        <v>0.81021410872741895</v>
      </c>
      <c r="J298" s="1">
        <v>0.85039214440514699</v>
      </c>
      <c r="K298" s="1">
        <v>0.80007150545029704</v>
      </c>
      <c r="L298" s="1">
        <v>0.36053474768226901</v>
      </c>
      <c r="M298" s="2"/>
      <c r="N298" s="2"/>
      <c r="Q298" s="1">
        <f t="shared" si="17"/>
        <v>114.77249999999999</v>
      </c>
      <c r="R298">
        <f t="shared" si="16"/>
        <v>120.46399999999991</v>
      </c>
      <c r="S298" s="1">
        <f t="shared" si="18"/>
        <v>113.33572924757273</v>
      </c>
      <c r="T298" s="1">
        <f t="shared" si="19"/>
        <v>51.072270752427187</v>
      </c>
    </row>
    <row r="299" spans="1:20" x14ac:dyDescent="0.3">
      <c r="A299" t="s">
        <v>57</v>
      </c>
      <c r="B299" t="s">
        <v>210</v>
      </c>
      <c r="C299" t="s">
        <v>576</v>
      </c>
      <c r="D299" t="s">
        <v>583</v>
      </c>
      <c r="E299" s="2">
        <v>140.23400000000001</v>
      </c>
      <c r="F299" s="2">
        <v>0</v>
      </c>
      <c r="G299" s="2">
        <v>77.245999999999995</v>
      </c>
      <c r="H299" s="2">
        <v>-100.68300000000001</v>
      </c>
      <c r="I299" s="1">
        <v>0.77541822953064099</v>
      </c>
      <c r="J299" s="1">
        <v>0.85898212986864797</v>
      </c>
      <c r="K299" s="1">
        <v>0.76534500956399598</v>
      </c>
      <c r="L299" s="1">
        <v>0.36905534983529298</v>
      </c>
      <c r="M299" s="2"/>
      <c r="N299" s="2"/>
      <c r="Q299" s="1">
        <f t="shared" si="17"/>
        <v>108.73999999999991</v>
      </c>
      <c r="R299">
        <f t="shared" si="16"/>
        <v>120.45849999999999</v>
      </c>
      <c r="S299" s="1">
        <f t="shared" si="18"/>
        <v>107.32739207119742</v>
      </c>
      <c r="T299" s="1">
        <f t="shared" si="19"/>
        <v>51.754107928802476</v>
      </c>
    </row>
    <row r="300" spans="1:20" x14ac:dyDescent="0.3">
      <c r="A300" t="s">
        <v>57</v>
      </c>
      <c r="B300" t="s">
        <v>211</v>
      </c>
      <c r="C300" t="s">
        <v>580</v>
      </c>
      <c r="D300" t="s">
        <v>581</v>
      </c>
      <c r="E300" s="2">
        <v>15.388999999999999</v>
      </c>
      <c r="F300" s="2">
        <v>8.9999999999999993E-3</v>
      </c>
      <c r="G300" s="2">
        <v>6.8769999999999998</v>
      </c>
      <c r="H300" s="2">
        <v>-6.8940000000000001</v>
      </c>
      <c r="I300" s="1">
        <v>0.72314640327506596</v>
      </c>
      <c r="J300" s="1">
        <v>0.72369874585742999</v>
      </c>
      <c r="K300" s="1">
        <v>0.497915177507743</v>
      </c>
      <c r="L300" s="1">
        <v>0.44922238828600503</v>
      </c>
      <c r="M300" s="2"/>
      <c r="N300" s="2"/>
      <c r="Q300" s="1">
        <f t="shared" si="17"/>
        <v>11.12849999999999</v>
      </c>
      <c r="R300">
        <f t="shared" si="16"/>
        <v>11.13699999999999</v>
      </c>
      <c r="S300" s="1">
        <f t="shared" si="18"/>
        <v>7.6624166666666564</v>
      </c>
      <c r="T300" s="1">
        <f t="shared" si="19"/>
        <v>6.913083333333331</v>
      </c>
    </row>
    <row r="301" spans="1:20" x14ac:dyDescent="0.3">
      <c r="A301" t="s">
        <v>57</v>
      </c>
      <c r="B301" t="s">
        <v>212</v>
      </c>
      <c r="C301" t="s">
        <v>576</v>
      </c>
      <c r="D301" t="s">
        <v>583</v>
      </c>
      <c r="E301" s="2">
        <v>0</v>
      </c>
      <c r="F301" s="2">
        <v>0</v>
      </c>
      <c r="G301" s="2">
        <v>0</v>
      </c>
      <c r="H301" s="2">
        <v>0</v>
      </c>
      <c r="I301" s="1">
        <v>0</v>
      </c>
      <c r="J301" s="1">
        <v>0</v>
      </c>
      <c r="K301" s="1">
        <v>0</v>
      </c>
      <c r="L301" s="1">
        <v>0</v>
      </c>
      <c r="M301" s="2"/>
      <c r="N301" s="2"/>
      <c r="Q301" s="1">
        <f t="shared" si="17"/>
        <v>0</v>
      </c>
      <c r="R301">
        <f t="shared" si="16"/>
        <v>0</v>
      </c>
      <c r="S301" s="1">
        <f t="shared" si="18"/>
        <v>0</v>
      </c>
      <c r="T301" s="1">
        <f t="shared" si="19"/>
        <v>0</v>
      </c>
    </row>
    <row r="302" spans="1:20" x14ac:dyDescent="0.3">
      <c r="A302" t="s">
        <v>57</v>
      </c>
      <c r="B302" t="s">
        <v>213</v>
      </c>
      <c r="C302" t="s">
        <v>580</v>
      </c>
      <c r="D302" t="s">
        <v>581</v>
      </c>
      <c r="E302" s="2">
        <v>72.585999999999999</v>
      </c>
      <c r="F302" s="2">
        <v>0</v>
      </c>
      <c r="G302" s="2">
        <v>45.189</v>
      </c>
      <c r="H302" s="2">
        <v>-46.146999999999998</v>
      </c>
      <c r="I302" s="1">
        <v>0.81127903452456396</v>
      </c>
      <c r="J302" s="1">
        <v>0.81787810321549603</v>
      </c>
      <c r="K302" s="1">
        <v>0.71263682575571297</v>
      </c>
      <c r="L302" s="1">
        <v>0.41652031198434603</v>
      </c>
      <c r="M302" s="2"/>
      <c r="N302" s="2"/>
      <c r="Q302" s="1">
        <f t="shared" si="17"/>
        <v>58.887499999999996</v>
      </c>
      <c r="R302">
        <f t="shared" si="16"/>
        <v>59.366499999999995</v>
      </c>
      <c r="S302" s="1">
        <f t="shared" si="18"/>
        <v>51.727456634304183</v>
      </c>
      <c r="T302" s="1">
        <f t="shared" si="19"/>
        <v>30.233543365695741</v>
      </c>
    </row>
    <row r="303" spans="1:20" x14ac:dyDescent="0.3">
      <c r="A303" t="s">
        <v>57</v>
      </c>
      <c r="B303" t="s">
        <v>214</v>
      </c>
      <c r="C303" t="s">
        <v>576</v>
      </c>
      <c r="D303" t="s">
        <v>589</v>
      </c>
      <c r="E303" s="2">
        <v>0</v>
      </c>
      <c r="F303" s="2">
        <v>0</v>
      </c>
      <c r="G303" s="2">
        <v>0</v>
      </c>
      <c r="H303" s="2">
        <v>0</v>
      </c>
      <c r="I303" s="1">
        <v>0</v>
      </c>
      <c r="J303" s="1">
        <v>0</v>
      </c>
      <c r="K303" s="1">
        <v>0</v>
      </c>
      <c r="L303" s="1">
        <v>0</v>
      </c>
      <c r="M303" s="2"/>
      <c r="N303" s="2"/>
      <c r="Q303" s="1">
        <f t="shared" si="17"/>
        <v>0</v>
      </c>
      <c r="R303">
        <f t="shared" si="16"/>
        <v>0</v>
      </c>
      <c r="S303" s="1">
        <f t="shared" si="18"/>
        <v>0</v>
      </c>
      <c r="T303" s="1">
        <f t="shared" si="19"/>
        <v>0</v>
      </c>
    </row>
    <row r="304" spans="1:20" x14ac:dyDescent="0.3">
      <c r="A304" t="s">
        <v>57</v>
      </c>
      <c r="B304" t="s">
        <v>215</v>
      </c>
      <c r="C304" t="s">
        <v>574</v>
      </c>
      <c r="D304" t="s">
        <v>575</v>
      </c>
      <c r="E304" s="2">
        <v>447.077</v>
      </c>
      <c r="F304" s="2">
        <v>0</v>
      </c>
      <c r="G304" s="2">
        <v>202.28700000000001</v>
      </c>
      <c r="H304" s="2">
        <v>-184.95</v>
      </c>
      <c r="I304" s="1">
        <v>0.72623284132263499</v>
      </c>
      <c r="J304" s="1">
        <v>0.70684356386036395</v>
      </c>
      <c r="K304" s="1">
        <v>0.58435396144158003</v>
      </c>
      <c r="L304" s="1">
        <v>0.34872244374141897</v>
      </c>
      <c r="M304" s="2"/>
      <c r="N304" s="2"/>
      <c r="Q304" s="1">
        <f t="shared" si="17"/>
        <v>324.68199999999968</v>
      </c>
      <c r="R304">
        <f t="shared" si="16"/>
        <v>316.01349999999991</v>
      </c>
      <c r="S304" s="1">
        <f t="shared" si="18"/>
        <v>261.25121601941726</v>
      </c>
      <c r="T304" s="1">
        <f t="shared" si="19"/>
        <v>155.90578398058236</v>
      </c>
    </row>
    <row r="305" spans="1:20" x14ac:dyDescent="0.3">
      <c r="A305" t="s">
        <v>57</v>
      </c>
      <c r="B305" t="s">
        <v>216</v>
      </c>
      <c r="C305" t="s">
        <v>576</v>
      </c>
      <c r="D305" t="s">
        <v>589</v>
      </c>
      <c r="E305" s="2">
        <v>0</v>
      </c>
      <c r="F305" s="2">
        <v>0</v>
      </c>
      <c r="G305" s="2">
        <v>0</v>
      </c>
      <c r="H305" s="2">
        <v>0</v>
      </c>
      <c r="I305" s="1">
        <v>0</v>
      </c>
      <c r="J305" s="1">
        <v>0</v>
      </c>
      <c r="K305" s="1">
        <v>0</v>
      </c>
      <c r="L305" s="1">
        <v>0</v>
      </c>
      <c r="M305" s="2"/>
      <c r="N305" s="2"/>
      <c r="Q305" s="1">
        <f t="shared" si="17"/>
        <v>0</v>
      </c>
      <c r="R305">
        <f t="shared" si="16"/>
        <v>0</v>
      </c>
      <c r="S305" s="1">
        <f t="shared" si="18"/>
        <v>0</v>
      </c>
      <c r="T305" s="1">
        <f t="shared" si="19"/>
        <v>0</v>
      </c>
    </row>
    <row r="306" spans="1:20" x14ac:dyDescent="0.3">
      <c r="A306" t="s">
        <v>57</v>
      </c>
      <c r="B306" t="s">
        <v>217</v>
      </c>
      <c r="C306" t="s">
        <v>574</v>
      </c>
      <c r="D306" t="s">
        <v>575</v>
      </c>
      <c r="E306" s="2">
        <v>1471.1690000000001</v>
      </c>
      <c r="F306" s="2">
        <v>129.047</v>
      </c>
      <c r="G306" s="2">
        <v>884.09799999999996</v>
      </c>
      <c r="H306" s="2">
        <v>-805.873999999999</v>
      </c>
      <c r="I306" s="1">
        <v>0.75661599721038097</v>
      </c>
      <c r="J306" s="1">
        <v>0.73003033641954096</v>
      </c>
      <c r="K306" s="1">
        <v>0.626106491919033</v>
      </c>
      <c r="L306" s="1">
        <v>0.40439850104914299</v>
      </c>
      <c r="M306" s="2"/>
      <c r="N306" s="2"/>
      <c r="Q306" s="1">
        <f t="shared" si="17"/>
        <v>1113.109999999999</v>
      </c>
      <c r="R306">
        <f t="shared" si="16"/>
        <v>1073.9979999999998</v>
      </c>
      <c r="S306" s="1">
        <f t="shared" si="18"/>
        <v>921.1084616100319</v>
      </c>
      <c r="T306" s="1">
        <f t="shared" si="19"/>
        <v>594.93853838996665</v>
      </c>
    </row>
    <row r="307" spans="1:20" x14ac:dyDescent="0.3">
      <c r="A307" t="s">
        <v>57</v>
      </c>
      <c r="B307" t="s">
        <v>218</v>
      </c>
      <c r="C307" t="s">
        <v>580</v>
      </c>
      <c r="D307" t="s">
        <v>581</v>
      </c>
      <c r="E307" s="2">
        <v>23.498000000000001</v>
      </c>
      <c r="F307" s="2">
        <v>0</v>
      </c>
      <c r="G307" s="2">
        <v>21.087</v>
      </c>
      <c r="H307" s="2">
        <v>-21.422000000000001</v>
      </c>
      <c r="I307" s="1">
        <v>0.948697761511618</v>
      </c>
      <c r="J307" s="1">
        <v>0.95582602774704195</v>
      </c>
      <c r="K307" s="1">
        <v>0.74397225605649497</v>
      </c>
      <c r="L307" s="1">
        <v>0.66055153320216398</v>
      </c>
      <c r="M307" s="2"/>
      <c r="N307" s="2"/>
      <c r="Q307" s="1">
        <f t="shared" si="17"/>
        <v>22.2925</v>
      </c>
      <c r="R307">
        <f t="shared" si="16"/>
        <v>22.459999999999994</v>
      </c>
      <c r="S307" s="1">
        <f t="shared" si="18"/>
        <v>17.481860072815518</v>
      </c>
      <c r="T307" s="1">
        <f t="shared" si="19"/>
        <v>15.521639927184451</v>
      </c>
    </row>
    <row r="308" spans="1:20" x14ac:dyDescent="0.3">
      <c r="A308" t="s">
        <v>57</v>
      </c>
      <c r="B308" t="s">
        <v>688</v>
      </c>
      <c r="C308" t="s">
        <v>576</v>
      </c>
      <c r="D308" t="s">
        <v>583</v>
      </c>
      <c r="E308" s="2">
        <v>142.18700000000001</v>
      </c>
      <c r="F308" s="2">
        <v>0</v>
      </c>
      <c r="G308" s="2">
        <v>102.11799999999999</v>
      </c>
      <c r="H308" s="2">
        <v>-115.164</v>
      </c>
      <c r="I308" s="1">
        <v>0.85909752649679605</v>
      </c>
      <c r="J308" s="1">
        <v>0.90497373177576002</v>
      </c>
      <c r="K308" s="1">
        <v>0.84231355197425195</v>
      </c>
      <c r="L308" s="1">
        <v>0.421757706298303</v>
      </c>
      <c r="M308" s="2"/>
      <c r="N308" s="2"/>
      <c r="Q308" s="1">
        <f t="shared" si="17"/>
        <v>122.15249999999995</v>
      </c>
      <c r="R308">
        <f t="shared" si="16"/>
        <v>128.6755</v>
      </c>
      <c r="S308" s="1">
        <f t="shared" si="18"/>
        <v>119.76603701456297</v>
      </c>
      <c r="T308" s="1">
        <f t="shared" si="19"/>
        <v>59.968462985436815</v>
      </c>
    </row>
    <row r="309" spans="1:20" x14ac:dyDescent="0.3">
      <c r="A309" t="s">
        <v>57</v>
      </c>
      <c r="B309" t="s">
        <v>219</v>
      </c>
      <c r="C309" t="s">
        <v>576</v>
      </c>
      <c r="D309" t="s">
        <v>589</v>
      </c>
      <c r="E309" s="2">
        <v>0</v>
      </c>
      <c r="F309" s="2">
        <v>0</v>
      </c>
      <c r="G309" s="2">
        <v>0</v>
      </c>
      <c r="H309" s="2">
        <v>0</v>
      </c>
      <c r="I309" s="1">
        <v>0</v>
      </c>
      <c r="J309" s="1">
        <v>0</v>
      </c>
      <c r="K309" s="1">
        <v>0</v>
      </c>
      <c r="L309" s="1">
        <v>0</v>
      </c>
      <c r="M309" s="2"/>
      <c r="N309" s="2"/>
      <c r="Q309" s="1">
        <f t="shared" si="17"/>
        <v>0</v>
      </c>
      <c r="R309">
        <f t="shared" si="16"/>
        <v>0</v>
      </c>
      <c r="S309" s="1">
        <f t="shared" si="18"/>
        <v>0</v>
      </c>
      <c r="T309" s="1">
        <f t="shared" si="19"/>
        <v>0</v>
      </c>
    </row>
    <row r="310" spans="1:20" x14ac:dyDescent="0.3">
      <c r="A310" t="s">
        <v>57</v>
      </c>
      <c r="B310" t="s">
        <v>220</v>
      </c>
      <c r="C310" t="s">
        <v>580</v>
      </c>
      <c r="D310" t="s">
        <v>581</v>
      </c>
      <c r="E310" s="2">
        <v>92.676000000000002</v>
      </c>
      <c r="F310" s="2">
        <v>0</v>
      </c>
      <c r="G310" s="2">
        <v>83.042000000000002</v>
      </c>
      <c r="H310" s="2">
        <v>-77.16</v>
      </c>
      <c r="I310" s="1">
        <v>0.94802322068280898</v>
      </c>
      <c r="J310" s="1">
        <v>0.91628900686261805</v>
      </c>
      <c r="K310" s="1">
        <v>0.87222937034629799</v>
      </c>
      <c r="L310" s="1">
        <v>0.49208285719912798</v>
      </c>
      <c r="M310" s="2"/>
      <c r="N310" s="2"/>
      <c r="Q310" s="1">
        <f t="shared" si="17"/>
        <v>87.859000000000009</v>
      </c>
      <c r="R310">
        <f t="shared" si="16"/>
        <v>84.917999999999992</v>
      </c>
      <c r="S310" s="1">
        <f t="shared" si="18"/>
        <v>80.834729126213517</v>
      </c>
      <c r="T310" s="1">
        <f t="shared" si="19"/>
        <v>45.604270873786383</v>
      </c>
    </row>
    <row r="311" spans="1:20" x14ac:dyDescent="0.3">
      <c r="A311" t="s">
        <v>57</v>
      </c>
      <c r="B311" t="s">
        <v>221</v>
      </c>
      <c r="C311" t="s">
        <v>580</v>
      </c>
      <c r="D311" t="s">
        <v>581</v>
      </c>
      <c r="E311" s="2">
        <v>55.051000000000002</v>
      </c>
      <c r="F311" s="2">
        <v>7.6989999999999998</v>
      </c>
      <c r="G311" s="2">
        <v>18.536999999999999</v>
      </c>
      <c r="H311" s="2">
        <v>-14.459</v>
      </c>
      <c r="I311" s="1">
        <v>0.59843599571306605</v>
      </c>
      <c r="J311" s="1">
        <v>0.56139761312237701</v>
      </c>
      <c r="K311" s="1">
        <v>0.36922164598886997</v>
      </c>
      <c r="L311" s="1">
        <v>0.36053803140118501</v>
      </c>
      <c r="M311" s="2"/>
      <c r="N311" s="2"/>
      <c r="Q311" s="1">
        <f t="shared" si="17"/>
        <v>32.944499999999998</v>
      </c>
      <c r="R311">
        <f t="shared" si="16"/>
        <v>30.905499999999979</v>
      </c>
      <c r="S311" s="1">
        <f t="shared" si="18"/>
        <v>20.326020833333281</v>
      </c>
      <c r="T311" s="1">
        <f t="shared" si="19"/>
        <v>19.847979166666637</v>
      </c>
    </row>
    <row r="312" spans="1:20" x14ac:dyDescent="0.3">
      <c r="A312" t="s">
        <v>57</v>
      </c>
      <c r="B312" t="s">
        <v>689</v>
      </c>
      <c r="C312" t="s">
        <v>576</v>
      </c>
      <c r="D312" t="s">
        <v>589</v>
      </c>
      <c r="E312" s="2">
        <v>0</v>
      </c>
      <c r="F312" s="2">
        <v>0</v>
      </c>
      <c r="G312" s="2">
        <v>0</v>
      </c>
      <c r="H312" s="2">
        <v>0</v>
      </c>
      <c r="I312" s="1">
        <v>0</v>
      </c>
      <c r="J312" s="1">
        <v>0</v>
      </c>
      <c r="K312" s="1">
        <v>0</v>
      </c>
      <c r="L312" s="1">
        <v>0</v>
      </c>
      <c r="M312" s="2"/>
      <c r="N312" s="2"/>
      <c r="Q312" s="1">
        <f t="shared" si="17"/>
        <v>0</v>
      </c>
      <c r="R312">
        <f t="shared" si="16"/>
        <v>0</v>
      </c>
      <c r="S312" s="1">
        <f t="shared" si="18"/>
        <v>0</v>
      </c>
      <c r="T312" s="1">
        <f t="shared" si="19"/>
        <v>0</v>
      </c>
    </row>
    <row r="313" spans="1:20" x14ac:dyDescent="0.3">
      <c r="A313" t="s">
        <v>57</v>
      </c>
      <c r="B313" t="s">
        <v>690</v>
      </c>
      <c r="C313" t="s">
        <v>576</v>
      </c>
      <c r="D313" t="s">
        <v>583</v>
      </c>
      <c r="E313" s="2">
        <v>144.58699999999999</v>
      </c>
      <c r="F313" s="2">
        <v>0</v>
      </c>
      <c r="G313" s="2">
        <v>124.95399999999999</v>
      </c>
      <c r="H313" s="2">
        <v>-86.908000000000001</v>
      </c>
      <c r="I313" s="1">
        <v>0.93210662092719199</v>
      </c>
      <c r="J313" s="1">
        <v>0.80053877596187695</v>
      </c>
      <c r="K313" s="1">
        <v>0.93083703446036903</v>
      </c>
      <c r="L313" s="1">
        <v>0.30180836242870002</v>
      </c>
      <c r="M313" s="2"/>
      <c r="N313" s="2"/>
      <c r="Q313" s="1">
        <f t="shared" si="17"/>
        <v>134.77049999999988</v>
      </c>
      <c r="R313">
        <f t="shared" si="16"/>
        <v>115.74749999999989</v>
      </c>
      <c r="S313" s="1">
        <f t="shared" si="18"/>
        <v>134.58693430152135</v>
      </c>
      <c r="T313" s="1">
        <f t="shared" si="19"/>
        <v>43.637565698478447</v>
      </c>
    </row>
    <row r="314" spans="1:20" x14ac:dyDescent="0.3">
      <c r="A314" t="s">
        <v>57</v>
      </c>
      <c r="B314" t="s">
        <v>222</v>
      </c>
      <c r="C314" t="s">
        <v>34</v>
      </c>
      <c r="D314" t="s">
        <v>35</v>
      </c>
      <c r="E314" s="2">
        <v>867.17499999999995</v>
      </c>
      <c r="F314" s="2">
        <v>0</v>
      </c>
      <c r="G314" s="2">
        <v>221.524</v>
      </c>
      <c r="H314" s="2">
        <v>-221.626</v>
      </c>
      <c r="I314" s="1">
        <v>0.62772739066508998</v>
      </c>
      <c r="J314" s="1">
        <v>0.62778620232363702</v>
      </c>
      <c r="K314" s="1">
        <v>0.56656371486925605</v>
      </c>
      <c r="L314" s="1">
        <v>0.188949878119471</v>
      </c>
      <c r="M314" s="2"/>
      <c r="N314" s="2"/>
      <c r="Q314" s="1">
        <f t="shared" si="17"/>
        <v>544.34949999999935</v>
      </c>
      <c r="R314">
        <f t="shared" si="16"/>
        <v>544.40049999999985</v>
      </c>
      <c r="S314" s="1">
        <f t="shared" si="18"/>
        <v>491.30988944174709</v>
      </c>
      <c r="T314" s="1">
        <f t="shared" si="19"/>
        <v>163.85261055825225</v>
      </c>
    </row>
    <row r="315" spans="1:20" x14ac:dyDescent="0.3">
      <c r="A315" t="s">
        <v>57</v>
      </c>
      <c r="B315" t="s">
        <v>223</v>
      </c>
      <c r="C315" t="s">
        <v>574</v>
      </c>
      <c r="D315" t="s">
        <v>575</v>
      </c>
      <c r="E315" s="2">
        <v>153.07499999999999</v>
      </c>
      <c r="F315" s="2">
        <v>0</v>
      </c>
      <c r="G315" s="2">
        <v>152.07499999999999</v>
      </c>
      <c r="H315" s="2">
        <v>-152.07499999999999</v>
      </c>
      <c r="I315" s="1">
        <v>0.99673362730687498</v>
      </c>
      <c r="J315" s="1">
        <v>0.99673362730687498</v>
      </c>
      <c r="K315" s="1">
        <v>0.99363685731606599</v>
      </c>
      <c r="L315" s="1">
        <v>0.49983039729768403</v>
      </c>
      <c r="M315" s="2"/>
      <c r="N315" s="2"/>
      <c r="Q315" s="1">
        <f t="shared" si="17"/>
        <v>152.57499999999987</v>
      </c>
      <c r="R315">
        <f t="shared" si="16"/>
        <v>152.57499999999987</v>
      </c>
      <c r="S315" s="1">
        <f t="shared" si="18"/>
        <v>152.10096193365678</v>
      </c>
      <c r="T315" s="1">
        <f t="shared" si="19"/>
        <v>76.511538066342979</v>
      </c>
    </row>
    <row r="316" spans="1:20" x14ac:dyDescent="0.3">
      <c r="A316" t="s">
        <v>57</v>
      </c>
      <c r="B316" t="s">
        <v>224</v>
      </c>
      <c r="C316" t="s">
        <v>576</v>
      </c>
      <c r="D316" t="s">
        <v>591</v>
      </c>
      <c r="E316" s="2">
        <v>73</v>
      </c>
      <c r="F316" s="2">
        <v>0</v>
      </c>
      <c r="G316" s="2">
        <v>28</v>
      </c>
      <c r="H316" s="2">
        <v>-42.963999999999999</v>
      </c>
      <c r="I316" s="1">
        <v>0.69178082191780799</v>
      </c>
      <c r="J316" s="1">
        <v>0.79427397260273902</v>
      </c>
      <c r="K316" s="1">
        <v>0.477036723633461</v>
      </c>
      <c r="L316" s="1">
        <v>0.50901807088708595</v>
      </c>
      <c r="M316" s="2"/>
      <c r="N316" s="2"/>
      <c r="Q316" s="1">
        <f t="shared" si="17"/>
        <v>50.499999999999986</v>
      </c>
      <c r="R316">
        <f t="shared" si="16"/>
        <v>57.98199999999995</v>
      </c>
      <c r="S316" s="1">
        <f t="shared" si="18"/>
        <v>34.823680825242654</v>
      </c>
      <c r="T316" s="1">
        <f t="shared" si="19"/>
        <v>37.158319174757274</v>
      </c>
    </row>
    <row r="317" spans="1:20" x14ac:dyDescent="0.3">
      <c r="A317" t="s">
        <v>57</v>
      </c>
      <c r="B317" t="s">
        <v>225</v>
      </c>
      <c r="C317" t="s">
        <v>576</v>
      </c>
      <c r="D317" t="s">
        <v>591</v>
      </c>
      <c r="E317" s="2">
        <v>10</v>
      </c>
      <c r="F317" s="2">
        <v>0</v>
      </c>
      <c r="G317" s="2">
        <v>7.1740000000000004</v>
      </c>
      <c r="H317" s="2">
        <v>-7.9930000000000003</v>
      </c>
      <c r="I317" s="1">
        <v>0.85870000000000002</v>
      </c>
      <c r="J317" s="1">
        <v>0.89964999999999995</v>
      </c>
      <c r="K317" s="1">
        <v>0.70741332928802503</v>
      </c>
      <c r="L317" s="1">
        <v>0.55093667071197405</v>
      </c>
      <c r="M317" s="2"/>
      <c r="N317" s="2"/>
      <c r="Q317" s="1">
        <f t="shared" si="17"/>
        <v>8.5869999999999997</v>
      </c>
      <c r="R317">
        <f t="shared" si="16"/>
        <v>8.9964999999999993</v>
      </c>
      <c r="S317" s="1">
        <f t="shared" si="18"/>
        <v>7.0741332928802505</v>
      </c>
      <c r="T317" s="1">
        <f t="shared" si="19"/>
        <v>5.5093667071197405</v>
      </c>
    </row>
    <row r="318" spans="1:20" x14ac:dyDescent="0.3">
      <c r="A318" t="s">
        <v>57</v>
      </c>
      <c r="B318" t="s">
        <v>226</v>
      </c>
      <c r="C318" t="s">
        <v>580</v>
      </c>
      <c r="D318" t="s">
        <v>581</v>
      </c>
      <c r="E318" s="2">
        <v>141</v>
      </c>
      <c r="F318" s="2">
        <v>7.9000000000000001E-2</v>
      </c>
      <c r="G318" s="2">
        <v>103.6</v>
      </c>
      <c r="H318" s="2">
        <v>-99.1</v>
      </c>
      <c r="I318" s="1">
        <v>0.86709574468085104</v>
      </c>
      <c r="J318" s="1">
        <v>0.85113829787233997</v>
      </c>
      <c r="K318" s="1">
        <v>0.61164152321604803</v>
      </c>
      <c r="L318" s="1">
        <v>0.60687266118111405</v>
      </c>
      <c r="M318" s="2"/>
      <c r="N318" s="2"/>
      <c r="Q318" s="1">
        <f t="shared" si="17"/>
        <v>122.26049999999999</v>
      </c>
      <c r="R318">
        <f t="shared" si="16"/>
        <v>120.01049999999994</v>
      </c>
      <c r="S318" s="1">
        <f t="shared" si="18"/>
        <v>86.241454773462777</v>
      </c>
      <c r="T318" s="1">
        <f t="shared" si="19"/>
        <v>85.569045226537085</v>
      </c>
    </row>
    <row r="319" spans="1:20" x14ac:dyDescent="0.3">
      <c r="A319" t="s">
        <v>57</v>
      </c>
      <c r="B319" t="s">
        <v>227</v>
      </c>
      <c r="C319" t="s">
        <v>34</v>
      </c>
      <c r="D319" t="s">
        <v>35</v>
      </c>
      <c r="E319" s="2">
        <v>25</v>
      </c>
      <c r="F319" s="2">
        <v>0</v>
      </c>
      <c r="G319" s="2">
        <v>21.768999999999998</v>
      </c>
      <c r="H319" s="2">
        <v>-20.268999999999998</v>
      </c>
      <c r="I319" s="1">
        <v>0.93537999999999999</v>
      </c>
      <c r="J319" s="1">
        <v>0.90537999999999996</v>
      </c>
      <c r="K319" s="1">
        <v>0.79933774110032296</v>
      </c>
      <c r="L319" s="1">
        <v>0.54142225889967599</v>
      </c>
      <c r="M319" s="2"/>
      <c r="N319" s="2"/>
      <c r="Q319" s="1">
        <f t="shared" si="17"/>
        <v>23.384499999999999</v>
      </c>
      <c r="R319">
        <f t="shared" si="16"/>
        <v>22.634499999999999</v>
      </c>
      <c r="S319" s="1">
        <f t="shared" si="18"/>
        <v>19.983443527508076</v>
      </c>
      <c r="T319" s="1">
        <f t="shared" si="19"/>
        <v>13.5355564724919</v>
      </c>
    </row>
    <row r="320" spans="1:20" x14ac:dyDescent="0.3">
      <c r="A320" t="s">
        <v>57</v>
      </c>
      <c r="B320" t="s">
        <v>228</v>
      </c>
      <c r="C320" t="s">
        <v>574</v>
      </c>
      <c r="D320" t="s">
        <v>575</v>
      </c>
      <c r="E320" s="2">
        <v>16</v>
      </c>
      <c r="F320" s="2">
        <v>0.01</v>
      </c>
      <c r="G320" s="2">
        <v>8.6069999999999993</v>
      </c>
      <c r="H320" s="2">
        <v>-11.99</v>
      </c>
      <c r="I320" s="1">
        <v>0.76865625000000004</v>
      </c>
      <c r="J320" s="1">
        <v>0.87437500000000001</v>
      </c>
      <c r="K320" s="1">
        <v>0.56995051324838097</v>
      </c>
      <c r="L320" s="1">
        <v>0.57339323675161802</v>
      </c>
      <c r="M320" s="2"/>
      <c r="N320" s="2"/>
      <c r="Q320" s="1">
        <f t="shared" si="17"/>
        <v>12.298500000000001</v>
      </c>
      <c r="R320">
        <f t="shared" si="16"/>
        <v>13.99</v>
      </c>
      <c r="S320" s="1">
        <f t="shared" si="18"/>
        <v>9.1192082119740956</v>
      </c>
      <c r="T320" s="1">
        <f t="shared" si="19"/>
        <v>9.1742917880258883</v>
      </c>
    </row>
    <row r="321" spans="1:20" x14ac:dyDescent="0.3">
      <c r="A321" t="s">
        <v>57</v>
      </c>
      <c r="B321" t="s">
        <v>229</v>
      </c>
      <c r="C321" t="s">
        <v>576</v>
      </c>
      <c r="D321" t="s">
        <v>591</v>
      </c>
      <c r="E321" s="2">
        <v>46.5</v>
      </c>
      <c r="F321" s="2">
        <v>1.6E-2</v>
      </c>
      <c r="G321" s="2">
        <v>29.407</v>
      </c>
      <c r="H321" s="2">
        <v>-29.407</v>
      </c>
      <c r="I321" s="1">
        <v>0.81603225806451596</v>
      </c>
      <c r="J321" s="1">
        <v>0.81603225806451596</v>
      </c>
      <c r="K321" s="1">
        <v>0.53421461704422801</v>
      </c>
      <c r="L321" s="1">
        <v>0.59802194209555604</v>
      </c>
      <c r="M321" s="2"/>
      <c r="N321" s="2"/>
      <c r="Q321" s="1">
        <f t="shared" si="17"/>
        <v>37.945499999999996</v>
      </c>
      <c r="R321">
        <f t="shared" si="16"/>
        <v>37.945499999999996</v>
      </c>
      <c r="S321" s="1">
        <f t="shared" si="18"/>
        <v>24.840979692556601</v>
      </c>
      <c r="T321" s="1">
        <f t="shared" si="19"/>
        <v>27.808020307443357</v>
      </c>
    </row>
    <row r="322" spans="1:20" x14ac:dyDescent="0.3">
      <c r="A322" t="s">
        <v>57</v>
      </c>
      <c r="B322" t="s">
        <v>230</v>
      </c>
      <c r="C322" t="s">
        <v>34</v>
      </c>
      <c r="D322" t="s">
        <v>35</v>
      </c>
      <c r="E322" s="2">
        <v>829.83</v>
      </c>
      <c r="F322" s="2">
        <v>0</v>
      </c>
      <c r="G322" s="2">
        <v>322.366999999999</v>
      </c>
      <c r="H322" s="2">
        <v>-524.28699999999901</v>
      </c>
      <c r="I322" s="1">
        <v>0.69423677138690998</v>
      </c>
      <c r="J322" s="1">
        <v>0.81590024462841704</v>
      </c>
      <c r="K322" s="1">
        <v>0.60494906328925202</v>
      </c>
      <c r="L322" s="1">
        <v>0.405187952726075</v>
      </c>
      <c r="M322" s="2"/>
      <c r="N322" s="2"/>
      <c r="Q322" s="1">
        <f t="shared" si="17"/>
        <v>576.09849999999949</v>
      </c>
      <c r="R322">
        <f t="shared" ref="R322:R385" si="20">J322*E322</f>
        <v>677.0584999999993</v>
      </c>
      <c r="S322" s="1">
        <f t="shared" si="18"/>
        <v>502.00488118932003</v>
      </c>
      <c r="T322" s="1">
        <f t="shared" si="19"/>
        <v>336.23711881067885</v>
      </c>
    </row>
    <row r="323" spans="1:20" x14ac:dyDescent="0.3">
      <c r="A323" t="s">
        <v>57</v>
      </c>
      <c r="B323" t="s">
        <v>231</v>
      </c>
      <c r="C323" t="s">
        <v>580</v>
      </c>
      <c r="D323" t="s">
        <v>581</v>
      </c>
      <c r="E323" s="2">
        <v>134</v>
      </c>
      <c r="F323" s="2">
        <v>0.11</v>
      </c>
      <c r="G323" s="2">
        <v>66.887</v>
      </c>
      <c r="H323" s="2">
        <v>-131.88999999999999</v>
      </c>
      <c r="I323" s="1">
        <v>0.74916791044776099</v>
      </c>
      <c r="J323" s="1">
        <v>0.99171641791044696</v>
      </c>
      <c r="K323" s="1">
        <v>0.49235475534946599</v>
      </c>
      <c r="L323" s="1">
        <v>0.74894002076993604</v>
      </c>
      <c r="M323" s="2"/>
      <c r="N323" s="2"/>
      <c r="Q323" s="1">
        <f t="shared" ref="Q323:Q386" si="21">I323*E323</f>
        <v>100.38849999999998</v>
      </c>
      <c r="R323">
        <f t="shared" si="20"/>
        <v>132.8899999999999</v>
      </c>
      <c r="S323" s="1">
        <f t="shared" ref="S323:S386" si="22">K323*E323</f>
        <v>65.975537216828442</v>
      </c>
      <c r="T323" s="1">
        <f t="shared" ref="T323:T386" si="23">L323*E323</f>
        <v>100.35796278317143</v>
      </c>
    </row>
    <row r="324" spans="1:20" x14ac:dyDescent="0.3">
      <c r="A324" t="s">
        <v>57</v>
      </c>
      <c r="B324" t="s">
        <v>232</v>
      </c>
      <c r="C324" t="s">
        <v>34</v>
      </c>
      <c r="D324" t="s">
        <v>35</v>
      </c>
      <c r="E324" s="2">
        <v>70</v>
      </c>
      <c r="F324" s="2">
        <v>0</v>
      </c>
      <c r="G324" s="2">
        <v>50.137</v>
      </c>
      <c r="H324" s="2">
        <v>-46.637</v>
      </c>
      <c r="I324" s="1">
        <v>0.85812142857142804</v>
      </c>
      <c r="J324" s="1">
        <v>0.83312142857142801</v>
      </c>
      <c r="K324" s="1">
        <v>0.71919899040684199</v>
      </c>
      <c r="L324" s="1">
        <v>0.47204386673601401</v>
      </c>
      <c r="M324" s="2"/>
      <c r="N324" s="2"/>
      <c r="Q324" s="1">
        <f t="shared" si="21"/>
        <v>60.068499999999965</v>
      </c>
      <c r="R324">
        <f t="shared" si="20"/>
        <v>58.318499999999958</v>
      </c>
      <c r="S324" s="1">
        <f t="shared" si="22"/>
        <v>50.343929328478936</v>
      </c>
      <c r="T324" s="1">
        <f t="shared" si="23"/>
        <v>33.043070671520979</v>
      </c>
    </row>
    <row r="325" spans="1:20" x14ac:dyDescent="0.3">
      <c r="A325" t="s">
        <v>57</v>
      </c>
      <c r="B325" t="s">
        <v>233</v>
      </c>
      <c r="C325" t="s">
        <v>574</v>
      </c>
      <c r="D325" t="s">
        <v>575</v>
      </c>
      <c r="E325" s="2">
        <v>39</v>
      </c>
      <c r="F325" s="2">
        <v>1.7999999999999999E-2</v>
      </c>
      <c r="G325" s="2">
        <v>32.722000000000001</v>
      </c>
      <c r="H325" s="2">
        <v>-32.722000000000001</v>
      </c>
      <c r="I325" s="1">
        <v>0.91928205128205098</v>
      </c>
      <c r="J325" s="1">
        <v>0.91928205128205098</v>
      </c>
      <c r="K325" s="1">
        <v>0.56787760766741302</v>
      </c>
      <c r="L325" s="1">
        <v>0.77091726412745798</v>
      </c>
      <c r="M325" s="2"/>
      <c r="N325" s="2"/>
      <c r="Q325" s="1">
        <f t="shared" si="21"/>
        <v>35.85199999999999</v>
      </c>
      <c r="R325">
        <f t="shared" si="20"/>
        <v>35.85199999999999</v>
      </c>
      <c r="S325" s="1">
        <f t="shared" si="22"/>
        <v>22.147226699029108</v>
      </c>
      <c r="T325" s="1">
        <f t="shared" si="23"/>
        <v>30.065773300970861</v>
      </c>
    </row>
    <row r="326" spans="1:20" x14ac:dyDescent="0.3">
      <c r="A326" t="s">
        <v>57</v>
      </c>
      <c r="B326" t="s">
        <v>234</v>
      </c>
      <c r="C326" t="s">
        <v>576</v>
      </c>
      <c r="D326" t="s">
        <v>591</v>
      </c>
      <c r="E326" s="2">
        <v>2</v>
      </c>
      <c r="F326" s="2">
        <v>0</v>
      </c>
      <c r="G326" s="2">
        <v>0.999</v>
      </c>
      <c r="H326" s="2">
        <v>-1</v>
      </c>
      <c r="I326" s="1">
        <v>0.74975000000000003</v>
      </c>
      <c r="J326" s="1">
        <v>0.75</v>
      </c>
      <c r="K326" s="1">
        <v>0.62865153721682798</v>
      </c>
      <c r="L326" s="1">
        <v>0.37109846278317099</v>
      </c>
      <c r="M326" s="2"/>
      <c r="N326" s="2"/>
      <c r="Q326" s="1">
        <f t="shared" si="21"/>
        <v>1.4995000000000001</v>
      </c>
      <c r="R326">
        <f t="shared" si="20"/>
        <v>1.5</v>
      </c>
      <c r="S326" s="1">
        <f t="shared" si="22"/>
        <v>1.257303074433656</v>
      </c>
      <c r="T326" s="1">
        <f t="shared" si="23"/>
        <v>0.74219692556634198</v>
      </c>
    </row>
    <row r="327" spans="1:20" x14ac:dyDescent="0.3">
      <c r="A327" t="s">
        <v>57</v>
      </c>
      <c r="B327" t="s">
        <v>235</v>
      </c>
      <c r="C327" t="s">
        <v>574</v>
      </c>
      <c r="D327" t="s">
        <v>575</v>
      </c>
      <c r="E327" s="2">
        <v>85</v>
      </c>
      <c r="F327" s="2">
        <v>0</v>
      </c>
      <c r="G327" s="2">
        <v>57.5</v>
      </c>
      <c r="H327" s="2">
        <v>-57</v>
      </c>
      <c r="I327" s="1">
        <v>0.83823529411764697</v>
      </c>
      <c r="J327" s="1">
        <v>0.83529411764705797</v>
      </c>
      <c r="K327" s="1">
        <v>0.52571835141823697</v>
      </c>
      <c r="L327" s="1">
        <v>0.64781106034646796</v>
      </c>
      <c r="M327" s="2"/>
      <c r="N327" s="2"/>
      <c r="Q327" s="1">
        <f t="shared" si="21"/>
        <v>71.249999999999986</v>
      </c>
      <c r="R327">
        <f t="shared" si="20"/>
        <v>70.999999999999929</v>
      </c>
      <c r="S327" s="1">
        <f t="shared" si="22"/>
        <v>44.686059870550146</v>
      </c>
      <c r="T327" s="1">
        <f t="shared" si="23"/>
        <v>55.063940129449776</v>
      </c>
    </row>
    <row r="328" spans="1:20" x14ac:dyDescent="0.3">
      <c r="A328" t="s">
        <v>57</v>
      </c>
      <c r="B328" t="s">
        <v>236</v>
      </c>
      <c r="C328" t="s">
        <v>574</v>
      </c>
      <c r="D328" t="s">
        <v>575</v>
      </c>
      <c r="E328" s="2">
        <v>43</v>
      </c>
      <c r="F328" s="2">
        <v>1.6E-2</v>
      </c>
      <c r="G328" s="2">
        <v>29.47</v>
      </c>
      <c r="H328" s="2">
        <v>-29.47</v>
      </c>
      <c r="I328" s="1">
        <v>0.84248837209302296</v>
      </c>
      <c r="J328" s="1">
        <v>0.84248837209302296</v>
      </c>
      <c r="K328" s="1">
        <v>0.63603156939113403</v>
      </c>
      <c r="L328" s="1">
        <v>0.54913122130654002</v>
      </c>
      <c r="M328" s="2"/>
      <c r="N328" s="2"/>
      <c r="Q328" s="1">
        <f t="shared" si="21"/>
        <v>36.22699999999999</v>
      </c>
      <c r="R328">
        <f t="shared" si="20"/>
        <v>36.22699999999999</v>
      </c>
      <c r="S328" s="1">
        <f t="shared" si="22"/>
        <v>27.349357483818764</v>
      </c>
      <c r="T328" s="1">
        <f t="shared" si="23"/>
        <v>23.612642516181221</v>
      </c>
    </row>
    <row r="329" spans="1:20" x14ac:dyDescent="0.3">
      <c r="A329" t="s">
        <v>57</v>
      </c>
      <c r="B329" t="s">
        <v>237</v>
      </c>
      <c r="C329" t="s">
        <v>576</v>
      </c>
      <c r="D329" t="s">
        <v>591</v>
      </c>
      <c r="E329" s="2">
        <v>39.5</v>
      </c>
      <c r="F329" s="2">
        <v>8.0000000000000002E-3</v>
      </c>
      <c r="G329" s="2">
        <v>20</v>
      </c>
      <c r="H329" s="2">
        <v>-19.233000000000001</v>
      </c>
      <c r="I329" s="1">
        <v>0.75306329113923998</v>
      </c>
      <c r="J329" s="1">
        <v>0.74335443037974602</v>
      </c>
      <c r="K329" s="1">
        <v>0.57245888636270503</v>
      </c>
      <c r="L329" s="1">
        <v>0.42406010097906599</v>
      </c>
      <c r="M329" s="2"/>
      <c r="N329" s="2"/>
      <c r="Q329" s="1">
        <f t="shared" si="21"/>
        <v>29.745999999999977</v>
      </c>
      <c r="R329">
        <f t="shared" si="20"/>
        <v>29.362499999999969</v>
      </c>
      <c r="S329" s="1">
        <f t="shared" si="22"/>
        <v>22.612126011326851</v>
      </c>
      <c r="T329" s="1">
        <f t="shared" si="23"/>
        <v>16.750373988673108</v>
      </c>
    </row>
    <row r="330" spans="1:20" x14ac:dyDescent="0.3">
      <c r="A330" t="s">
        <v>57</v>
      </c>
      <c r="B330" t="s">
        <v>238</v>
      </c>
      <c r="C330" t="s">
        <v>580</v>
      </c>
      <c r="D330" t="s">
        <v>581</v>
      </c>
      <c r="E330" s="2">
        <v>20</v>
      </c>
      <c r="F330" s="2">
        <v>0</v>
      </c>
      <c r="G330" s="2">
        <v>6.3019999999999996</v>
      </c>
      <c r="H330" s="2">
        <v>-8</v>
      </c>
      <c r="I330" s="1">
        <v>0.65754999999999997</v>
      </c>
      <c r="J330" s="1">
        <v>0.7</v>
      </c>
      <c r="K330" s="1">
        <v>0.47147478762135903</v>
      </c>
      <c r="L330" s="1">
        <v>0.38607521237864001</v>
      </c>
      <c r="M330" s="2"/>
      <c r="N330" s="2"/>
      <c r="Q330" s="1">
        <f t="shared" si="21"/>
        <v>13.151</v>
      </c>
      <c r="R330">
        <f t="shared" si="20"/>
        <v>14</v>
      </c>
      <c r="S330" s="1">
        <f t="shared" si="22"/>
        <v>9.4294957524271812</v>
      </c>
      <c r="T330" s="1">
        <f t="shared" si="23"/>
        <v>7.7215042475728</v>
      </c>
    </row>
    <row r="331" spans="1:20" x14ac:dyDescent="0.3">
      <c r="A331" t="s">
        <v>57</v>
      </c>
      <c r="B331" t="s">
        <v>239</v>
      </c>
      <c r="C331" t="s">
        <v>576</v>
      </c>
      <c r="D331" t="s">
        <v>591</v>
      </c>
      <c r="E331" s="2">
        <v>13</v>
      </c>
      <c r="F331" s="2">
        <v>0</v>
      </c>
      <c r="G331" s="2">
        <v>9</v>
      </c>
      <c r="H331" s="2">
        <v>-9</v>
      </c>
      <c r="I331" s="1">
        <v>0.84615384615384603</v>
      </c>
      <c r="J331" s="1">
        <v>0.84615384615384603</v>
      </c>
      <c r="K331" s="1">
        <v>0.67069138971869502</v>
      </c>
      <c r="L331" s="1">
        <v>0.52161630258899605</v>
      </c>
      <c r="M331" s="2"/>
      <c r="N331" s="2"/>
      <c r="Q331" s="1">
        <f t="shared" si="21"/>
        <v>10.999999999999998</v>
      </c>
      <c r="R331">
        <f t="shared" si="20"/>
        <v>10.999999999999998</v>
      </c>
      <c r="S331" s="1">
        <f t="shared" si="22"/>
        <v>8.7189880663430355</v>
      </c>
      <c r="T331" s="1">
        <f t="shared" si="23"/>
        <v>6.7810119336569485</v>
      </c>
    </row>
    <row r="332" spans="1:20" x14ac:dyDescent="0.3">
      <c r="A332" t="s">
        <v>57</v>
      </c>
      <c r="B332" t="s">
        <v>240</v>
      </c>
      <c r="C332" t="s">
        <v>34</v>
      </c>
      <c r="D332" t="s">
        <v>35</v>
      </c>
      <c r="E332" s="2">
        <v>271.053</v>
      </c>
      <c r="F332" s="2">
        <v>0</v>
      </c>
      <c r="G332" s="2">
        <v>99.6</v>
      </c>
      <c r="H332" s="2">
        <v>-118.237999999999</v>
      </c>
      <c r="I332" s="1">
        <v>0.68372790561255503</v>
      </c>
      <c r="J332" s="1">
        <v>0.71810863558049498</v>
      </c>
      <c r="K332" s="1">
        <v>0.58277614298721303</v>
      </c>
      <c r="L332" s="1">
        <v>0.31906039820583598</v>
      </c>
      <c r="M332" s="2"/>
      <c r="N332" s="2"/>
      <c r="Q332" s="1">
        <f t="shared" si="21"/>
        <v>185.32649999999987</v>
      </c>
      <c r="R332">
        <f t="shared" si="20"/>
        <v>194.64549999999991</v>
      </c>
      <c r="S332" s="1">
        <f t="shared" si="22"/>
        <v>157.96322188511306</v>
      </c>
      <c r="T332" s="1">
        <f t="shared" si="23"/>
        <v>86.482278114886455</v>
      </c>
    </row>
    <row r="333" spans="1:20" x14ac:dyDescent="0.3">
      <c r="A333" t="s">
        <v>57</v>
      </c>
      <c r="B333" t="s">
        <v>241</v>
      </c>
      <c r="C333" t="s">
        <v>34</v>
      </c>
      <c r="D333" t="s">
        <v>35</v>
      </c>
      <c r="E333" s="2">
        <v>285.31400000000002</v>
      </c>
      <c r="F333" s="2">
        <v>0</v>
      </c>
      <c r="G333" s="2">
        <v>259.685</v>
      </c>
      <c r="H333" s="2">
        <v>-255.524</v>
      </c>
      <c r="I333" s="1">
        <v>0.95508632594264498</v>
      </c>
      <c r="J333" s="1">
        <v>0.94779435989821703</v>
      </c>
      <c r="K333" s="1">
        <v>0.94568282749082899</v>
      </c>
      <c r="L333" s="1">
        <v>0.45719785835003302</v>
      </c>
      <c r="M333" s="2"/>
      <c r="N333" s="2"/>
      <c r="Q333" s="1">
        <f t="shared" si="21"/>
        <v>272.49949999999984</v>
      </c>
      <c r="R333">
        <f t="shared" si="20"/>
        <v>270.41899999999993</v>
      </c>
      <c r="S333" s="1">
        <f t="shared" si="22"/>
        <v>269.81655024271839</v>
      </c>
      <c r="T333" s="1">
        <f t="shared" si="23"/>
        <v>130.44494975728134</v>
      </c>
    </row>
    <row r="334" spans="1:20" x14ac:dyDescent="0.3">
      <c r="A334" t="s">
        <v>57</v>
      </c>
      <c r="B334" t="s">
        <v>242</v>
      </c>
      <c r="C334" t="s">
        <v>34</v>
      </c>
      <c r="D334" t="s">
        <v>35</v>
      </c>
      <c r="E334" s="2">
        <v>962.08399999999995</v>
      </c>
      <c r="F334" s="2">
        <v>0</v>
      </c>
      <c r="G334" s="2">
        <v>306.43299999999999</v>
      </c>
      <c r="H334" s="2">
        <v>-396.27300000000002</v>
      </c>
      <c r="I334" s="1">
        <v>0.65925480519372504</v>
      </c>
      <c r="J334" s="1">
        <v>0.70594511497956502</v>
      </c>
      <c r="K334" s="1">
        <v>0.56301834083000402</v>
      </c>
      <c r="L334" s="1">
        <v>0.30218157934328599</v>
      </c>
      <c r="M334" s="2"/>
      <c r="N334" s="2"/>
      <c r="Q334" s="1">
        <f t="shared" si="21"/>
        <v>634.25849999999969</v>
      </c>
      <c r="R334">
        <f t="shared" si="20"/>
        <v>679.17849999999976</v>
      </c>
      <c r="S334" s="1">
        <f t="shared" si="22"/>
        <v>541.67093741909355</v>
      </c>
      <c r="T334" s="1">
        <f t="shared" si="23"/>
        <v>290.72406258090592</v>
      </c>
    </row>
    <row r="335" spans="1:20" x14ac:dyDescent="0.3">
      <c r="A335" t="s">
        <v>57</v>
      </c>
      <c r="B335" t="s">
        <v>243</v>
      </c>
      <c r="C335" t="s">
        <v>34</v>
      </c>
      <c r="D335" t="s">
        <v>35</v>
      </c>
      <c r="E335" s="2">
        <v>303.78399999999999</v>
      </c>
      <c r="F335" s="2">
        <v>0</v>
      </c>
      <c r="G335" s="2">
        <v>212.69</v>
      </c>
      <c r="H335" s="2">
        <v>-194.392</v>
      </c>
      <c r="I335" s="1">
        <v>0.85006781133963505</v>
      </c>
      <c r="J335" s="1">
        <v>0.81995101782845703</v>
      </c>
      <c r="K335" s="1">
        <v>0.77578524218834699</v>
      </c>
      <c r="L335" s="1">
        <v>0.39423358697974498</v>
      </c>
      <c r="M335" s="2"/>
      <c r="N335" s="2"/>
      <c r="Q335" s="1">
        <f t="shared" si="21"/>
        <v>258.23699999999968</v>
      </c>
      <c r="R335">
        <f t="shared" si="20"/>
        <v>249.08799999999999</v>
      </c>
      <c r="S335" s="1">
        <f t="shared" si="22"/>
        <v>235.67114401294481</v>
      </c>
      <c r="T335" s="1">
        <f t="shared" si="23"/>
        <v>119.76185598705484</v>
      </c>
    </row>
    <row r="336" spans="1:20" x14ac:dyDescent="0.3">
      <c r="A336" t="s">
        <v>57</v>
      </c>
      <c r="B336" t="s">
        <v>244</v>
      </c>
      <c r="C336" t="s">
        <v>580</v>
      </c>
      <c r="D336" t="s">
        <v>581</v>
      </c>
      <c r="E336" s="2">
        <v>143.5</v>
      </c>
      <c r="F336" s="2">
        <v>6.9000000000000006E-2</v>
      </c>
      <c r="G336" s="2">
        <v>64.774000000000001</v>
      </c>
      <c r="H336" s="2">
        <v>-82.930999999999997</v>
      </c>
      <c r="I336" s="1">
        <v>0.72545296167247297</v>
      </c>
      <c r="J336" s="1">
        <v>0.788717770034843</v>
      </c>
      <c r="K336" s="1">
        <v>0.52893647485989403</v>
      </c>
      <c r="L336" s="1">
        <v>0.48547467496588897</v>
      </c>
      <c r="M336" s="2"/>
      <c r="N336" s="2"/>
      <c r="Q336" s="1">
        <f t="shared" si="21"/>
        <v>104.10249999999988</v>
      </c>
      <c r="R336">
        <f t="shared" si="20"/>
        <v>113.18099999999997</v>
      </c>
      <c r="S336" s="1">
        <f t="shared" si="22"/>
        <v>75.902384142394794</v>
      </c>
      <c r="T336" s="1">
        <f t="shared" si="23"/>
        <v>69.665615857605061</v>
      </c>
    </row>
    <row r="337" spans="1:20" x14ac:dyDescent="0.3">
      <c r="A337" t="s">
        <v>57</v>
      </c>
      <c r="B337" t="s">
        <v>245</v>
      </c>
      <c r="C337" t="s">
        <v>34</v>
      </c>
      <c r="D337" t="s">
        <v>35</v>
      </c>
      <c r="E337" s="2">
        <v>509.72800000000001</v>
      </c>
      <c r="F337" s="2">
        <v>0</v>
      </c>
      <c r="G337" s="2">
        <v>509.72800000000001</v>
      </c>
      <c r="H337" s="2">
        <v>-509.72800000000001</v>
      </c>
      <c r="I337" s="1">
        <v>1</v>
      </c>
      <c r="J337" s="1">
        <v>1</v>
      </c>
      <c r="K337" s="1">
        <v>0.99995954692556599</v>
      </c>
      <c r="L337" s="1">
        <v>0.50004045307443301</v>
      </c>
      <c r="M337" s="2"/>
      <c r="N337" s="2"/>
      <c r="Q337" s="1">
        <f t="shared" si="21"/>
        <v>509.72800000000001</v>
      </c>
      <c r="R337">
        <f t="shared" si="20"/>
        <v>509.72800000000001</v>
      </c>
      <c r="S337" s="1">
        <f t="shared" si="22"/>
        <v>509.7073799352749</v>
      </c>
      <c r="T337" s="1">
        <f t="shared" si="23"/>
        <v>254.8846200647246</v>
      </c>
    </row>
    <row r="338" spans="1:20" x14ac:dyDescent="0.3">
      <c r="A338" t="s">
        <v>57</v>
      </c>
      <c r="B338" t="s">
        <v>246</v>
      </c>
      <c r="C338" t="s">
        <v>34</v>
      </c>
      <c r="D338" t="s">
        <v>35</v>
      </c>
      <c r="E338" s="2">
        <v>978.87699999999995</v>
      </c>
      <c r="F338" s="2">
        <v>0</v>
      </c>
      <c r="G338" s="2">
        <v>394.1</v>
      </c>
      <c r="H338" s="2">
        <v>-504.78300000000002</v>
      </c>
      <c r="I338" s="1">
        <v>0.70130210435018903</v>
      </c>
      <c r="J338" s="1">
        <v>0.75783780801877998</v>
      </c>
      <c r="K338" s="1">
        <v>0.59873353304637</v>
      </c>
      <c r="L338" s="1">
        <v>0.360406379322599</v>
      </c>
      <c r="M338" s="2"/>
      <c r="N338" s="2"/>
      <c r="Q338" s="1">
        <f t="shared" si="21"/>
        <v>686.48849999999993</v>
      </c>
      <c r="R338">
        <f t="shared" si="20"/>
        <v>741.82999999999925</v>
      </c>
      <c r="S338" s="1">
        <f t="shared" si="22"/>
        <v>586.08648462783151</v>
      </c>
      <c r="T338" s="1">
        <f t="shared" si="23"/>
        <v>352.79351537216775</v>
      </c>
    </row>
    <row r="339" spans="1:20" x14ac:dyDescent="0.3">
      <c r="A339" t="s">
        <v>57</v>
      </c>
      <c r="B339" t="s">
        <v>247</v>
      </c>
      <c r="C339" t="s">
        <v>580</v>
      </c>
      <c r="D339" t="s">
        <v>581</v>
      </c>
      <c r="E339" s="2">
        <v>47</v>
      </c>
      <c r="F339" s="2">
        <v>3.2000000000000001E-2</v>
      </c>
      <c r="G339" s="2">
        <v>26.754000000000001</v>
      </c>
      <c r="H339" s="2">
        <v>-38.968000000000004</v>
      </c>
      <c r="I339" s="1">
        <v>0.78427659574468001</v>
      </c>
      <c r="J339" s="1">
        <v>0.91421276595744605</v>
      </c>
      <c r="K339" s="1">
        <v>0.54761021052812697</v>
      </c>
      <c r="L339" s="1">
        <v>0.65121957670591402</v>
      </c>
      <c r="M339" s="2"/>
      <c r="N339" s="2"/>
      <c r="Q339" s="1">
        <f t="shared" si="21"/>
        <v>36.860999999999962</v>
      </c>
      <c r="R339">
        <f t="shared" si="20"/>
        <v>42.967999999999961</v>
      </c>
      <c r="S339" s="1">
        <f t="shared" si="22"/>
        <v>25.737679894821969</v>
      </c>
      <c r="T339" s="1">
        <f t="shared" si="23"/>
        <v>30.607320105177958</v>
      </c>
    </row>
    <row r="340" spans="1:20" x14ac:dyDescent="0.3">
      <c r="A340" t="s">
        <v>57</v>
      </c>
      <c r="B340" t="s">
        <v>248</v>
      </c>
      <c r="C340" t="s">
        <v>34</v>
      </c>
      <c r="D340" t="s">
        <v>35</v>
      </c>
      <c r="E340" s="2">
        <v>109</v>
      </c>
      <c r="F340" s="2">
        <v>0</v>
      </c>
      <c r="G340" s="2">
        <v>79</v>
      </c>
      <c r="H340" s="2">
        <v>-69</v>
      </c>
      <c r="I340" s="1">
        <v>0.86238532110091703</v>
      </c>
      <c r="J340" s="1">
        <v>0.81651376146788901</v>
      </c>
      <c r="K340" s="1">
        <v>0.71673672545351896</v>
      </c>
      <c r="L340" s="1">
        <v>0.46216235711528703</v>
      </c>
      <c r="M340" s="2"/>
      <c r="N340" s="2"/>
      <c r="Q340" s="1">
        <f t="shared" si="21"/>
        <v>93.999999999999957</v>
      </c>
      <c r="R340">
        <f t="shared" si="20"/>
        <v>88.999999999999901</v>
      </c>
      <c r="S340" s="1">
        <f t="shared" si="22"/>
        <v>78.12430307443357</v>
      </c>
      <c r="T340" s="1">
        <f t="shared" si="23"/>
        <v>50.375696925566288</v>
      </c>
    </row>
    <row r="341" spans="1:20" x14ac:dyDescent="0.3">
      <c r="A341" t="s">
        <v>57</v>
      </c>
      <c r="B341" t="s">
        <v>249</v>
      </c>
      <c r="C341" t="s">
        <v>34</v>
      </c>
      <c r="D341" t="s">
        <v>35</v>
      </c>
      <c r="E341" s="2">
        <v>0</v>
      </c>
      <c r="F341" s="2">
        <v>0</v>
      </c>
      <c r="G341" s="2">
        <v>0</v>
      </c>
      <c r="H341" s="2">
        <v>0</v>
      </c>
      <c r="I341" s="1">
        <v>0</v>
      </c>
      <c r="J341" s="1">
        <v>0</v>
      </c>
      <c r="K341" s="1">
        <v>0</v>
      </c>
      <c r="L341" s="1">
        <v>0</v>
      </c>
      <c r="M341" s="2"/>
      <c r="N341" s="2"/>
      <c r="Q341" s="1">
        <f t="shared" si="21"/>
        <v>0</v>
      </c>
      <c r="R341">
        <f t="shared" si="20"/>
        <v>0</v>
      </c>
      <c r="S341" s="1">
        <f t="shared" si="22"/>
        <v>0</v>
      </c>
      <c r="T341" s="1">
        <f t="shared" si="23"/>
        <v>0</v>
      </c>
    </row>
    <row r="342" spans="1:20" x14ac:dyDescent="0.3">
      <c r="A342" t="s">
        <v>57</v>
      </c>
      <c r="B342" t="s">
        <v>250</v>
      </c>
      <c r="C342" t="s">
        <v>574</v>
      </c>
      <c r="D342" t="s">
        <v>575</v>
      </c>
      <c r="E342" s="2">
        <v>0</v>
      </c>
      <c r="F342" s="2">
        <v>0</v>
      </c>
      <c r="G342" s="2">
        <v>0</v>
      </c>
      <c r="H342" s="2">
        <v>0</v>
      </c>
      <c r="I342" s="1">
        <v>0</v>
      </c>
      <c r="J342" s="1">
        <v>0</v>
      </c>
      <c r="K342" s="1">
        <v>0</v>
      </c>
      <c r="L342" s="1">
        <v>0</v>
      </c>
      <c r="M342" s="2"/>
      <c r="N342" s="2"/>
      <c r="Q342" s="1">
        <f t="shared" si="21"/>
        <v>0</v>
      </c>
      <c r="R342">
        <f t="shared" si="20"/>
        <v>0</v>
      </c>
      <c r="S342" s="1">
        <f t="shared" si="22"/>
        <v>0</v>
      </c>
      <c r="T342" s="1">
        <f t="shared" si="23"/>
        <v>0</v>
      </c>
    </row>
    <row r="343" spans="1:20" x14ac:dyDescent="0.3">
      <c r="A343" t="s">
        <v>57</v>
      </c>
      <c r="B343" t="s">
        <v>251</v>
      </c>
      <c r="C343" t="s">
        <v>34</v>
      </c>
      <c r="D343" t="s">
        <v>35</v>
      </c>
      <c r="E343" s="2">
        <v>0</v>
      </c>
      <c r="F343" s="2">
        <v>0</v>
      </c>
      <c r="G343" s="2">
        <v>0</v>
      </c>
      <c r="H343" s="2">
        <v>0</v>
      </c>
      <c r="I343" s="1">
        <v>0</v>
      </c>
      <c r="J343" s="1">
        <v>0</v>
      </c>
      <c r="K343" s="1">
        <v>0</v>
      </c>
      <c r="L343" s="1">
        <v>0</v>
      </c>
      <c r="M343" s="2"/>
      <c r="N343" s="2"/>
      <c r="Q343" s="1">
        <f t="shared" si="21"/>
        <v>0</v>
      </c>
      <c r="R343">
        <f t="shared" si="20"/>
        <v>0</v>
      </c>
      <c r="S343" s="1">
        <f t="shared" si="22"/>
        <v>0</v>
      </c>
      <c r="T343" s="1">
        <f t="shared" si="23"/>
        <v>0</v>
      </c>
    </row>
    <row r="344" spans="1:20" x14ac:dyDescent="0.3">
      <c r="A344" t="s">
        <v>57</v>
      </c>
      <c r="B344" t="s">
        <v>252</v>
      </c>
      <c r="C344" t="s">
        <v>580</v>
      </c>
      <c r="D344" t="s">
        <v>581</v>
      </c>
      <c r="E344" s="2">
        <v>15</v>
      </c>
      <c r="F344" s="2">
        <v>0</v>
      </c>
      <c r="G344" s="2">
        <v>9.3249999999999993</v>
      </c>
      <c r="H344" s="2">
        <v>-11.99</v>
      </c>
      <c r="I344" s="1">
        <v>0.81083333333333296</v>
      </c>
      <c r="J344" s="1">
        <v>0.89966666666666595</v>
      </c>
      <c r="K344" s="1">
        <v>0.58244051240560901</v>
      </c>
      <c r="L344" s="1">
        <v>0.62805948759439001</v>
      </c>
      <c r="M344" s="2"/>
      <c r="N344" s="2"/>
      <c r="Q344" s="1">
        <f t="shared" si="21"/>
        <v>12.162499999999994</v>
      </c>
      <c r="R344">
        <f t="shared" si="20"/>
        <v>13.494999999999989</v>
      </c>
      <c r="S344" s="1">
        <f t="shared" si="22"/>
        <v>8.7366076860841346</v>
      </c>
      <c r="T344" s="1">
        <f t="shared" si="23"/>
        <v>9.42089231391585</v>
      </c>
    </row>
    <row r="345" spans="1:20" x14ac:dyDescent="0.3">
      <c r="A345" t="s">
        <v>57</v>
      </c>
      <c r="B345" t="s">
        <v>253</v>
      </c>
      <c r="C345" t="s">
        <v>34</v>
      </c>
      <c r="D345" t="s">
        <v>35</v>
      </c>
      <c r="E345" s="2">
        <v>265.71600000000001</v>
      </c>
      <c r="F345" s="2">
        <v>0</v>
      </c>
      <c r="G345" s="2">
        <v>265.71600000000001</v>
      </c>
      <c r="H345" s="2">
        <v>-265.71600000000001</v>
      </c>
      <c r="I345" s="1">
        <v>1</v>
      </c>
      <c r="J345" s="1">
        <v>1</v>
      </c>
      <c r="K345" s="1">
        <v>0.99995954692556599</v>
      </c>
      <c r="L345" s="1">
        <v>0.50004045307443301</v>
      </c>
      <c r="M345" s="2"/>
      <c r="N345" s="2"/>
      <c r="Q345" s="1">
        <f t="shared" si="21"/>
        <v>265.71600000000001</v>
      </c>
      <c r="R345">
        <f t="shared" si="20"/>
        <v>265.71600000000001</v>
      </c>
      <c r="S345" s="1">
        <f t="shared" si="22"/>
        <v>265.70525097087369</v>
      </c>
      <c r="T345" s="1">
        <f t="shared" si="23"/>
        <v>132.86874902912604</v>
      </c>
    </row>
    <row r="346" spans="1:20" x14ac:dyDescent="0.3">
      <c r="A346" t="s">
        <v>57</v>
      </c>
      <c r="B346" t="s">
        <v>254</v>
      </c>
      <c r="C346" t="s">
        <v>580</v>
      </c>
      <c r="D346" t="s">
        <v>581</v>
      </c>
      <c r="E346" s="2">
        <v>90</v>
      </c>
      <c r="F346" s="2">
        <v>6.2E-2</v>
      </c>
      <c r="G346" s="2">
        <v>40.866999999999997</v>
      </c>
      <c r="H346" s="2">
        <v>-74.938000000000002</v>
      </c>
      <c r="I346" s="1">
        <v>0.72669444444444398</v>
      </c>
      <c r="J346" s="1">
        <v>0.915977777777777</v>
      </c>
      <c r="K346" s="1">
        <v>0.48389982290542899</v>
      </c>
      <c r="L346" s="1">
        <v>0.65911684376123703</v>
      </c>
      <c r="M346" s="2"/>
      <c r="N346" s="2"/>
      <c r="Q346" s="1">
        <f t="shared" si="21"/>
        <v>65.402499999999961</v>
      </c>
      <c r="R346">
        <f t="shared" si="20"/>
        <v>82.437999999999931</v>
      </c>
      <c r="S346" s="1">
        <f t="shared" si="22"/>
        <v>43.550984061488606</v>
      </c>
      <c r="T346" s="1">
        <f t="shared" si="23"/>
        <v>59.320515938511335</v>
      </c>
    </row>
    <row r="347" spans="1:20" x14ac:dyDescent="0.3">
      <c r="A347" t="s">
        <v>57</v>
      </c>
      <c r="B347" t="s">
        <v>255</v>
      </c>
      <c r="C347" t="s">
        <v>580</v>
      </c>
      <c r="D347" t="s">
        <v>581</v>
      </c>
      <c r="E347" s="2">
        <v>102</v>
      </c>
      <c r="F347" s="2">
        <v>0</v>
      </c>
      <c r="G347" s="2">
        <v>53.505000000000003</v>
      </c>
      <c r="H347" s="2">
        <v>-80.433000000000007</v>
      </c>
      <c r="I347" s="1">
        <v>0.76227941176470504</v>
      </c>
      <c r="J347" s="1">
        <v>0.89427941176470505</v>
      </c>
      <c r="K347" s="1">
        <v>0.52531077519195302</v>
      </c>
      <c r="L347" s="1">
        <v>0.63124804833745796</v>
      </c>
      <c r="M347" s="2"/>
      <c r="N347" s="2"/>
      <c r="Q347" s="1">
        <f t="shared" si="21"/>
        <v>77.752499999999912</v>
      </c>
      <c r="R347">
        <f t="shared" si="20"/>
        <v>91.216499999999911</v>
      </c>
      <c r="S347" s="1">
        <f t="shared" si="22"/>
        <v>53.581699069579209</v>
      </c>
      <c r="T347" s="1">
        <f t="shared" si="23"/>
        <v>64.387300930420707</v>
      </c>
    </row>
    <row r="348" spans="1:20" x14ac:dyDescent="0.3">
      <c r="A348" t="s">
        <v>57</v>
      </c>
      <c r="B348" t="s">
        <v>256</v>
      </c>
      <c r="C348" t="s">
        <v>34</v>
      </c>
      <c r="D348" t="s">
        <v>35</v>
      </c>
      <c r="E348" s="2">
        <v>6.774</v>
      </c>
      <c r="F348" s="2">
        <v>0</v>
      </c>
      <c r="G348" s="2">
        <v>6.774</v>
      </c>
      <c r="H348" s="2">
        <v>-6.774</v>
      </c>
      <c r="I348" s="1">
        <v>1</v>
      </c>
      <c r="J348" s="1">
        <v>1</v>
      </c>
      <c r="K348" s="1">
        <v>0.99995954692556599</v>
      </c>
      <c r="L348" s="1">
        <v>0.50004045307443301</v>
      </c>
      <c r="M348" s="2"/>
      <c r="N348" s="2"/>
      <c r="Q348" s="1">
        <f t="shared" si="21"/>
        <v>6.774</v>
      </c>
      <c r="R348">
        <f t="shared" si="20"/>
        <v>6.774</v>
      </c>
      <c r="S348" s="1">
        <f t="shared" si="22"/>
        <v>6.7737259708737838</v>
      </c>
      <c r="T348" s="1">
        <f t="shared" si="23"/>
        <v>3.3872740291262091</v>
      </c>
    </row>
    <row r="349" spans="1:20" x14ac:dyDescent="0.3">
      <c r="A349" t="s">
        <v>57</v>
      </c>
      <c r="B349" t="s">
        <v>257</v>
      </c>
      <c r="C349" t="s">
        <v>576</v>
      </c>
      <c r="D349" t="s">
        <v>591</v>
      </c>
      <c r="E349" s="2">
        <v>27</v>
      </c>
      <c r="F349" s="2">
        <v>0</v>
      </c>
      <c r="G349" s="2">
        <v>16.986000000000001</v>
      </c>
      <c r="H349" s="2">
        <v>-16.986000000000001</v>
      </c>
      <c r="I349" s="1">
        <v>0.81455555555555503</v>
      </c>
      <c r="J349" s="1">
        <v>0.81455555555555503</v>
      </c>
      <c r="K349" s="1">
        <v>0.64610665228335096</v>
      </c>
      <c r="L349" s="1">
        <v>0.483004458827759</v>
      </c>
      <c r="M349" s="2"/>
      <c r="N349" s="2"/>
      <c r="Q349" s="1">
        <f t="shared" si="21"/>
        <v>21.992999999999984</v>
      </c>
      <c r="R349">
        <f t="shared" si="20"/>
        <v>21.992999999999984</v>
      </c>
      <c r="S349" s="1">
        <f t="shared" si="22"/>
        <v>17.444879611650475</v>
      </c>
      <c r="T349" s="1">
        <f t="shared" si="23"/>
        <v>13.041120388349492</v>
      </c>
    </row>
    <row r="350" spans="1:20" x14ac:dyDescent="0.3">
      <c r="A350" t="s">
        <v>57</v>
      </c>
      <c r="B350" t="s">
        <v>258</v>
      </c>
      <c r="C350" t="s">
        <v>34</v>
      </c>
      <c r="D350" t="s">
        <v>35</v>
      </c>
      <c r="E350" s="2">
        <v>505.19400000000002</v>
      </c>
      <c r="F350" s="2">
        <v>0</v>
      </c>
      <c r="G350" s="2">
        <v>240.03299999999999</v>
      </c>
      <c r="H350" s="2">
        <v>-228.77199999999999</v>
      </c>
      <c r="I350" s="1">
        <v>0.73756517298305202</v>
      </c>
      <c r="J350" s="1">
        <v>0.72641994956392897</v>
      </c>
      <c r="K350" s="1">
        <v>0.66399000772211203</v>
      </c>
      <c r="L350" s="1">
        <v>0.29999511482486901</v>
      </c>
      <c r="M350" s="2"/>
      <c r="N350" s="2"/>
      <c r="Q350" s="1">
        <f t="shared" si="21"/>
        <v>372.61349999999999</v>
      </c>
      <c r="R350">
        <f t="shared" si="20"/>
        <v>366.98299999999955</v>
      </c>
      <c r="S350" s="1">
        <f t="shared" si="22"/>
        <v>335.44376796116467</v>
      </c>
      <c r="T350" s="1">
        <f t="shared" si="23"/>
        <v>151.55573203883489</v>
      </c>
    </row>
    <row r="351" spans="1:20" x14ac:dyDescent="0.3">
      <c r="A351" t="s">
        <v>57</v>
      </c>
      <c r="B351" t="s">
        <v>259</v>
      </c>
      <c r="C351" t="s">
        <v>34</v>
      </c>
      <c r="D351" t="s">
        <v>35</v>
      </c>
      <c r="E351" s="2">
        <v>805.36599999999999</v>
      </c>
      <c r="F351" s="2">
        <v>0</v>
      </c>
      <c r="G351" s="2">
        <v>208.7</v>
      </c>
      <c r="H351" s="2">
        <v>-344.36900000000003</v>
      </c>
      <c r="I351" s="1">
        <v>0.62956841982403</v>
      </c>
      <c r="J351" s="1">
        <v>0.71379658441006899</v>
      </c>
      <c r="K351" s="1">
        <v>0.54257759258374705</v>
      </c>
      <c r="L351" s="1">
        <v>0.300787411650352</v>
      </c>
      <c r="M351" s="2"/>
      <c r="N351" s="2"/>
      <c r="Q351" s="1">
        <f t="shared" si="21"/>
        <v>507.03299999999973</v>
      </c>
      <c r="R351">
        <f t="shared" si="20"/>
        <v>574.86749999999961</v>
      </c>
      <c r="S351" s="1">
        <f t="shared" si="22"/>
        <v>436.97354542880203</v>
      </c>
      <c r="T351" s="1">
        <f t="shared" si="23"/>
        <v>242.24395457119738</v>
      </c>
    </row>
    <row r="352" spans="1:20" x14ac:dyDescent="0.3">
      <c r="A352" t="s">
        <v>57</v>
      </c>
      <c r="B352" t="s">
        <v>260</v>
      </c>
      <c r="C352" t="s">
        <v>580</v>
      </c>
      <c r="D352" t="s">
        <v>581</v>
      </c>
      <c r="E352" s="2">
        <v>165</v>
      </c>
      <c r="F352" s="2">
        <v>0</v>
      </c>
      <c r="G352" s="2">
        <v>74.5</v>
      </c>
      <c r="H352" s="2">
        <v>-77.935000000000002</v>
      </c>
      <c r="I352" s="1">
        <v>0.72575757575757505</v>
      </c>
      <c r="J352" s="1">
        <v>0.73616666666666597</v>
      </c>
      <c r="K352" s="1">
        <v>0.52015259267431602</v>
      </c>
      <c r="L352" s="1">
        <v>0.441771649749926</v>
      </c>
      <c r="M352" s="2"/>
      <c r="N352" s="2"/>
      <c r="Q352" s="1">
        <f t="shared" si="21"/>
        <v>119.74999999999989</v>
      </c>
      <c r="R352">
        <f t="shared" si="20"/>
        <v>121.46749999999989</v>
      </c>
      <c r="S352" s="1">
        <f t="shared" si="22"/>
        <v>85.825177791262149</v>
      </c>
      <c r="T352" s="1">
        <f t="shared" si="23"/>
        <v>72.892322208737795</v>
      </c>
    </row>
    <row r="353" spans="1:20" x14ac:dyDescent="0.3">
      <c r="A353" t="s">
        <v>57</v>
      </c>
      <c r="B353" t="s">
        <v>261</v>
      </c>
      <c r="C353" t="s">
        <v>34</v>
      </c>
      <c r="D353" t="s">
        <v>35</v>
      </c>
      <c r="E353" s="2">
        <v>61</v>
      </c>
      <c r="F353" s="2">
        <v>0</v>
      </c>
      <c r="G353" s="2">
        <v>45</v>
      </c>
      <c r="H353" s="2">
        <v>-42</v>
      </c>
      <c r="I353" s="1">
        <v>0.86885245901639296</v>
      </c>
      <c r="J353" s="1">
        <v>0.84426229508196704</v>
      </c>
      <c r="K353" s="1">
        <v>0.73679413032521601</v>
      </c>
      <c r="L353" s="1">
        <v>0.47632062377314399</v>
      </c>
      <c r="M353" s="2"/>
      <c r="N353" s="2"/>
      <c r="Q353" s="1">
        <f t="shared" si="21"/>
        <v>52.999999999999972</v>
      </c>
      <c r="R353">
        <f t="shared" si="20"/>
        <v>51.499999999999993</v>
      </c>
      <c r="S353" s="1">
        <f t="shared" si="22"/>
        <v>44.944441949838179</v>
      </c>
      <c r="T353" s="1">
        <f t="shared" si="23"/>
        <v>29.055558050161782</v>
      </c>
    </row>
    <row r="354" spans="1:20" x14ac:dyDescent="0.3">
      <c r="A354" t="s">
        <v>57</v>
      </c>
      <c r="B354" t="s">
        <v>262</v>
      </c>
      <c r="C354" t="s">
        <v>34</v>
      </c>
      <c r="D354" t="s">
        <v>35</v>
      </c>
      <c r="E354" s="2">
        <v>497.298</v>
      </c>
      <c r="F354" s="2">
        <v>0</v>
      </c>
      <c r="G354" s="2">
        <v>233.3</v>
      </c>
      <c r="H354" s="2">
        <v>-295.47300000000001</v>
      </c>
      <c r="I354" s="1">
        <v>0.734567603328386</v>
      </c>
      <c r="J354" s="1">
        <v>0.79707841173702598</v>
      </c>
      <c r="K354" s="1">
        <v>0.62502445781729299</v>
      </c>
      <c r="L354" s="1">
        <v>0.40662155724811899</v>
      </c>
      <c r="M354" s="2"/>
      <c r="N354" s="2"/>
      <c r="Q354" s="1">
        <f t="shared" si="21"/>
        <v>365.29899999999969</v>
      </c>
      <c r="R354">
        <f t="shared" si="20"/>
        <v>396.38549999999952</v>
      </c>
      <c r="S354" s="1">
        <f t="shared" si="22"/>
        <v>310.82341282362415</v>
      </c>
      <c r="T354" s="1">
        <f t="shared" si="23"/>
        <v>202.21208717637509</v>
      </c>
    </row>
    <row r="355" spans="1:20" x14ac:dyDescent="0.3">
      <c r="A355" t="s">
        <v>57</v>
      </c>
      <c r="B355" t="s">
        <v>263</v>
      </c>
      <c r="C355" t="s">
        <v>576</v>
      </c>
      <c r="D355" t="s">
        <v>591</v>
      </c>
      <c r="E355" s="2">
        <v>5</v>
      </c>
      <c r="F355" s="2">
        <v>0</v>
      </c>
      <c r="G355" s="2">
        <v>3.5859999999999999</v>
      </c>
      <c r="H355" s="2">
        <v>-4.9960000000000004</v>
      </c>
      <c r="I355" s="1">
        <v>0.85860000000000003</v>
      </c>
      <c r="J355" s="1">
        <v>0.99960000000000004</v>
      </c>
      <c r="K355" s="1">
        <v>0.73127266990291195</v>
      </c>
      <c r="L355" s="1">
        <v>0.62692733009708701</v>
      </c>
      <c r="M355" s="2"/>
      <c r="N355" s="2"/>
      <c r="Q355" s="1">
        <f t="shared" si="21"/>
        <v>4.2930000000000001</v>
      </c>
      <c r="R355">
        <f t="shared" si="20"/>
        <v>4.9980000000000002</v>
      </c>
      <c r="S355" s="1">
        <f t="shared" si="22"/>
        <v>3.6563633495145598</v>
      </c>
      <c r="T355" s="1">
        <f t="shared" si="23"/>
        <v>3.1346366504854348</v>
      </c>
    </row>
    <row r="356" spans="1:20" x14ac:dyDescent="0.3">
      <c r="A356" t="s">
        <v>57</v>
      </c>
      <c r="B356" t="s">
        <v>264</v>
      </c>
      <c r="C356" t="s">
        <v>576</v>
      </c>
      <c r="D356" t="s">
        <v>589</v>
      </c>
      <c r="E356" s="2">
        <v>0</v>
      </c>
      <c r="F356" s="2">
        <v>0</v>
      </c>
      <c r="G356" s="2">
        <v>0</v>
      </c>
      <c r="H356" s="2">
        <v>0</v>
      </c>
      <c r="I356" s="1">
        <v>0</v>
      </c>
      <c r="J356" s="1">
        <v>0</v>
      </c>
      <c r="K356" s="1">
        <v>0</v>
      </c>
      <c r="L356" s="1">
        <v>0</v>
      </c>
      <c r="M356" s="2"/>
      <c r="N356" s="2"/>
      <c r="Q356" s="1">
        <f t="shared" si="21"/>
        <v>0</v>
      </c>
      <c r="R356">
        <f t="shared" si="20"/>
        <v>0</v>
      </c>
      <c r="S356" s="1">
        <f t="shared" si="22"/>
        <v>0</v>
      </c>
      <c r="T356" s="1">
        <f t="shared" si="23"/>
        <v>0</v>
      </c>
    </row>
    <row r="357" spans="1:20" x14ac:dyDescent="0.3">
      <c r="A357" t="s">
        <v>57</v>
      </c>
      <c r="B357" t="s">
        <v>265</v>
      </c>
      <c r="C357" t="s">
        <v>574</v>
      </c>
      <c r="D357" t="s">
        <v>575</v>
      </c>
      <c r="E357" s="2">
        <v>178.31399999999999</v>
      </c>
      <c r="F357" s="2">
        <v>0</v>
      </c>
      <c r="G357" s="2">
        <v>155.982</v>
      </c>
      <c r="H357" s="2">
        <v>-146.81800000000001</v>
      </c>
      <c r="I357" s="1">
        <v>0.93738012719135899</v>
      </c>
      <c r="J357" s="1">
        <v>0.91168388348643403</v>
      </c>
      <c r="K357" s="1">
        <v>0.91763681811725595</v>
      </c>
      <c r="L357" s="1">
        <v>0.43142719256053602</v>
      </c>
      <c r="M357" s="2"/>
      <c r="N357" s="2"/>
      <c r="Q357" s="1">
        <f t="shared" si="21"/>
        <v>167.14799999999997</v>
      </c>
      <c r="R357">
        <f t="shared" si="20"/>
        <v>162.566</v>
      </c>
      <c r="S357" s="1">
        <f t="shared" si="22"/>
        <v>163.62749158576037</v>
      </c>
      <c r="T357" s="1">
        <f t="shared" si="23"/>
        <v>76.929508414239422</v>
      </c>
    </row>
    <row r="358" spans="1:20" x14ac:dyDescent="0.3">
      <c r="A358" t="s">
        <v>57</v>
      </c>
      <c r="B358" t="s">
        <v>266</v>
      </c>
      <c r="C358" t="s">
        <v>574</v>
      </c>
      <c r="D358" t="s">
        <v>575</v>
      </c>
      <c r="E358" s="2">
        <v>287.19099999999997</v>
      </c>
      <c r="F358" s="2">
        <v>0</v>
      </c>
      <c r="G358" s="2">
        <v>170.398</v>
      </c>
      <c r="H358" s="2">
        <v>-184.464</v>
      </c>
      <c r="I358" s="1">
        <v>0.79666319627007798</v>
      </c>
      <c r="J358" s="1">
        <v>0.82115212524069303</v>
      </c>
      <c r="K358" s="1">
        <v>0.78545566813168799</v>
      </c>
      <c r="L358" s="1">
        <v>0.33235965337908302</v>
      </c>
      <c r="M358" s="2"/>
      <c r="N358" s="2"/>
      <c r="Q358" s="1">
        <f t="shared" si="21"/>
        <v>228.79449999999994</v>
      </c>
      <c r="R358">
        <f t="shared" si="20"/>
        <v>235.82749999999984</v>
      </c>
      <c r="S358" s="1">
        <f t="shared" si="22"/>
        <v>225.57579878640757</v>
      </c>
      <c r="T358" s="1">
        <f t="shared" si="23"/>
        <v>95.450701213592225</v>
      </c>
    </row>
    <row r="359" spans="1:20" x14ac:dyDescent="0.3">
      <c r="A359" t="s">
        <v>57</v>
      </c>
      <c r="B359" t="s">
        <v>267</v>
      </c>
      <c r="C359" t="s">
        <v>574</v>
      </c>
      <c r="D359" t="s">
        <v>575</v>
      </c>
      <c r="E359" s="2">
        <v>783.68499999999995</v>
      </c>
      <c r="F359" s="2">
        <v>0</v>
      </c>
      <c r="G359" s="2">
        <v>603.748999999999</v>
      </c>
      <c r="H359" s="2">
        <v>-530.90300000000002</v>
      </c>
      <c r="I359" s="1">
        <v>0.885198772465977</v>
      </c>
      <c r="J359" s="1">
        <v>0.83872219067609999</v>
      </c>
      <c r="K359" s="1">
        <v>0.82049266975435298</v>
      </c>
      <c r="L359" s="1">
        <v>0.40342829338772501</v>
      </c>
      <c r="M359" s="2"/>
      <c r="N359" s="2"/>
      <c r="Q359" s="1">
        <f t="shared" si="21"/>
        <v>693.71699999999919</v>
      </c>
      <c r="R359">
        <f t="shared" si="20"/>
        <v>657.29399999999941</v>
      </c>
      <c r="S359" s="1">
        <f t="shared" si="22"/>
        <v>643.00779789644002</v>
      </c>
      <c r="T359" s="1">
        <f t="shared" si="23"/>
        <v>316.16070210355923</v>
      </c>
    </row>
    <row r="360" spans="1:20" x14ac:dyDescent="0.3">
      <c r="A360" t="s">
        <v>57</v>
      </c>
      <c r="B360" t="s">
        <v>268</v>
      </c>
      <c r="C360" t="s">
        <v>574</v>
      </c>
      <c r="D360" t="s">
        <v>575</v>
      </c>
      <c r="E360" s="2">
        <v>2046.346</v>
      </c>
      <c r="F360" s="2">
        <v>276.34199999999998</v>
      </c>
      <c r="G360" s="2">
        <v>912.50099999999998</v>
      </c>
      <c r="H360" s="2">
        <v>-920.19899999999996</v>
      </c>
      <c r="I360" s="1">
        <v>0.65543779009023895</v>
      </c>
      <c r="J360" s="1">
        <v>0.65731870367963097</v>
      </c>
      <c r="K360" s="1">
        <v>0.48400762976740602</v>
      </c>
      <c r="L360" s="1">
        <v>0.39626970358677699</v>
      </c>
      <c r="M360" s="2"/>
      <c r="N360" s="2"/>
      <c r="Q360" s="1">
        <f t="shared" si="21"/>
        <v>1341.2525000000001</v>
      </c>
      <c r="R360">
        <f t="shared" si="20"/>
        <v>1345.1014999999982</v>
      </c>
      <c r="S360" s="1">
        <f t="shared" si="22"/>
        <v>990.44707714401227</v>
      </c>
      <c r="T360" s="1">
        <f t="shared" si="23"/>
        <v>810.9049228559868</v>
      </c>
    </row>
    <row r="361" spans="1:20" x14ac:dyDescent="0.3">
      <c r="A361" t="s">
        <v>57</v>
      </c>
      <c r="B361" t="s">
        <v>691</v>
      </c>
      <c r="C361" t="s">
        <v>576</v>
      </c>
      <c r="D361" t="s">
        <v>589</v>
      </c>
      <c r="E361" s="2">
        <v>0</v>
      </c>
      <c r="F361" s="2">
        <v>0</v>
      </c>
      <c r="G361" s="2">
        <v>0</v>
      </c>
      <c r="H361" s="2">
        <v>0</v>
      </c>
      <c r="I361" s="1">
        <v>0</v>
      </c>
      <c r="J361" s="1">
        <v>0</v>
      </c>
      <c r="K361" s="1">
        <v>0</v>
      </c>
      <c r="L361" s="1">
        <v>0</v>
      </c>
      <c r="M361" s="2"/>
      <c r="N361" s="2"/>
      <c r="Q361" s="1">
        <f t="shared" si="21"/>
        <v>0</v>
      </c>
      <c r="R361">
        <f t="shared" si="20"/>
        <v>0</v>
      </c>
      <c r="S361" s="1">
        <f t="shared" si="22"/>
        <v>0</v>
      </c>
      <c r="T361" s="1">
        <f t="shared" si="23"/>
        <v>0</v>
      </c>
    </row>
    <row r="362" spans="1:20" x14ac:dyDescent="0.3">
      <c r="A362" t="s">
        <v>57</v>
      </c>
      <c r="B362" t="s">
        <v>269</v>
      </c>
      <c r="C362" t="s">
        <v>574</v>
      </c>
      <c r="D362" t="s">
        <v>575</v>
      </c>
      <c r="E362" s="2">
        <v>162.02799999999999</v>
      </c>
      <c r="F362" s="2">
        <v>0</v>
      </c>
      <c r="G362" s="2">
        <v>150.80099999999999</v>
      </c>
      <c r="H362" s="2">
        <v>-158.28299999999999</v>
      </c>
      <c r="I362" s="1">
        <v>0.96535475349939504</v>
      </c>
      <c r="J362" s="1">
        <v>0.98844335546942497</v>
      </c>
      <c r="K362" s="1">
        <v>0.85139595064195595</v>
      </c>
      <c r="L362" s="1">
        <v>0.60240215832686395</v>
      </c>
      <c r="M362" s="2"/>
      <c r="N362" s="2"/>
      <c r="Q362" s="1">
        <f t="shared" si="21"/>
        <v>156.41449999999998</v>
      </c>
      <c r="R362">
        <f t="shared" si="20"/>
        <v>160.15549999999999</v>
      </c>
      <c r="S362" s="1">
        <f t="shared" si="22"/>
        <v>137.94998309061484</v>
      </c>
      <c r="T362" s="1">
        <f t="shared" si="23"/>
        <v>97.606016909385104</v>
      </c>
    </row>
    <row r="363" spans="1:20" x14ac:dyDescent="0.3">
      <c r="A363" t="s">
        <v>57</v>
      </c>
      <c r="B363" t="s">
        <v>270</v>
      </c>
      <c r="C363" t="s">
        <v>576</v>
      </c>
      <c r="D363" t="s">
        <v>583</v>
      </c>
      <c r="E363" s="2">
        <v>197.86199999999999</v>
      </c>
      <c r="F363" s="2">
        <v>0</v>
      </c>
      <c r="G363" s="2">
        <v>142.797</v>
      </c>
      <c r="H363" s="2">
        <v>-186.08199999999999</v>
      </c>
      <c r="I363" s="1">
        <v>0.86084998635412502</v>
      </c>
      <c r="J363" s="1">
        <v>0.97023177770365199</v>
      </c>
      <c r="K363" s="1">
        <v>0.85374801694842695</v>
      </c>
      <c r="L363" s="1">
        <v>0.477333747109349</v>
      </c>
      <c r="M363" s="2"/>
      <c r="N363" s="2"/>
      <c r="Q363" s="1">
        <f t="shared" si="21"/>
        <v>170.32949999999988</v>
      </c>
      <c r="R363">
        <f t="shared" si="20"/>
        <v>191.97199999999998</v>
      </c>
      <c r="S363" s="1">
        <f t="shared" si="22"/>
        <v>168.92429012944964</v>
      </c>
      <c r="T363" s="1">
        <f t="shared" si="23"/>
        <v>94.446209870550007</v>
      </c>
    </row>
    <row r="364" spans="1:20" x14ac:dyDescent="0.3">
      <c r="A364" t="s">
        <v>57</v>
      </c>
      <c r="B364" t="s">
        <v>271</v>
      </c>
      <c r="C364" t="s">
        <v>576</v>
      </c>
      <c r="D364" t="s">
        <v>583</v>
      </c>
      <c r="E364" s="2">
        <v>0</v>
      </c>
      <c r="F364" s="2">
        <v>0</v>
      </c>
      <c r="G364" s="2">
        <v>0</v>
      </c>
      <c r="H364" s="2">
        <v>0</v>
      </c>
      <c r="I364" s="1">
        <v>0</v>
      </c>
      <c r="J364" s="1">
        <v>0</v>
      </c>
      <c r="K364" s="1">
        <v>0</v>
      </c>
      <c r="L364" s="1">
        <v>0</v>
      </c>
      <c r="M364" s="2"/>
      <c r="N364" s="2"/>
      <c r="Q364" s="1">
        <f t="shared" si="21"/>
        <v>0</v>
      </c>
      <c r="R364">
        <f t="shared" si="20"/>
        <v>0</v>
      </c>
      <c r="S364" s="1">
        <f t="shared" si="22"/>
        <v>0</v>
      </c>
      <c r="T364" s="1">
        <f t="shared" si="23"/>
        <v>0</v>
      </c>
    </row>
    <row r="365" spans="1:20" x14ac:dyDescent="0.3">
      <c r="A365" t="s">
        <v>57</v>
      </c>
      <c r="B365" t="s">
        <v>272</v>
      </c>
      <c r="C365" t="s">
        <v>34</v>
      </c>
      <c r="D365" t="s">
        <v>35</v>
      </c>
      <c r="E365" s="2">
        <v>46.906999999999996</v>
      </c>
      <c r="F365" s="2">
        <v>0</v>
      </c>
      <c r="G365" s="2">
        <v>40.296999999999997</v>
      </c>
      <c r="H365" s="2">
        <v>-43.158999999999999</v>
      </c>
      <c r="I365" s="1">
        <v>0.929541433048372</v>
      </c>
      <c r="J365" s="1">
        <v>0.96004860681774495</v>
      </c>
      <c r="K365" s="1">
        <v>0.83280825534212999</v>
      </c>
      <c r="L365" s="1">
        <v>0.55678178452398697</v>
      </c>
      <c r="M365" s="2"/>
      <c r="N365" s="2"/>
      <c r="Q365" s="1">
        <f t="shared" si="21"/>
        <v>43.601999999999983</v>
      </c>
      <c r="R365">
        <f t="shared" si="20"/>
        <v>45.032999999999959</v>
      </c>
      <c r="S365" s="1">
        <f t="shared" si="22"/>
        <v>39.064536833333285</v>
      </c>
      <c r="T365" s="1">
        <f t="shared" si="23"/>
        <v>26.116963166666654</v>
      </c>
    </row>
    <row r="366" spans="1:20" x14ac:dyDescent="0.3">
      <c r="A366" t="s">
        <v>57</v>
      </c>
      <c r="B366" t="s">
        <v>273</v>
      </c>
      <c r="C366" t="s">
        <v>576</v>
      </c>
      <c r="D366" t="s">
        <v>577</v>
      </c>
      <c r="E366" s="2">
        <v>1540.875</v>
      </c>
      <c r="F366" s="2">
        <v>0</v>
      </c>
      <c r="G366" s="2">
        <v>624.76</v>
      </c>
      <c r="H366" s="2">
        <v>-928.83199999999999</v>
      </c>
      <c r="I366" s="1">
        <v>0.70272896892999104</v>
      </c>
      <c r="J366" s="1">
        <v>0.80139758254238602</v>
      </c>
      <c r="K366" s="1">
        <v>0.698615115791551</v>
      </c>
      <c r="L366" s="1">
        <v>0.30551143568082501</v>
      </c>
      <c r="M366" s="2"/>
      <c r="N366" s="2"/>
      <c r="Q366" s="1">
        <f t="shared" si="21"/>
        <v>1082.8174999999999</v>
      </c>
      <c r="R366">
        <f t="shared" si="20"/>
        <v>1234.853499999999</v>
      </c>
      <c r="S366" s="1">
        <f t="shared" si="22"/>
        <v>1076.4785665453062</v>
      </c>
      <c r="T366" s="1">
        <f t="shared" si="23"/>
        <v>470.75493345469124</v>
      </c>
    </row>
    <row r="367" spans="1:20" x14ac:dyDescent="0.3">
      <c r="A367" t="s">
        <v>57</v>
      </c>
      <c r="B367" t="s">
        <v>692</v>
      </c>
      <c r="C367" t="s">
        <v>576</v>
      </c>
      <c r="D367" t="s">
        <v>595</v>
      </c>
      <c r="E367" s="2">
        <v>721.072</v>
      </c>
      <c r="F367" s="2">
        <v>0</v>
      </c>
      <c r="G367" s="2">
        <v>166.304</v>
      </c>
      <c r="H367" s="2">
        <v>-338.66</v>
      </c>
      <c r="I367" s="1">
        <v>0.61531719439944899</v>
      </c>
      <c r="J367" s="1">
        <v>0.73483091841036596</v>
      </c>
      <c r="K367" s="1">
        <v>0.55823217457968299</v>
      </c>
      <c r="L367" s="1">
        <v>0.29191593823013301</v>
      </c>
      <c r="M367" s="2"/>
      <c r="N367" s="2"/>
      <c r="Q367" s="1">
        <f t="shared" si="21"/>
        <v>443.68799999999948</v>
      </c>
      <c r="R367">
        <f t="shared" si="20"/>
        <v>529.86599999999942</v>
      </c>
      <c r="S367" s="1">
        <f t="shared" si="22"/>
        <v>402.5255905885212</v>
      </c>
      <c r="T367" s="1">
        <f t="shared" si="23"/>
        <v>210.49240941147846</v>
      </c>
    </row>
    <row r="368" spans="1:20" x14ac:dyDescent="0.3">
      <c r="A368" t="s">
        <v>57</v>
      </c>
      <c r="B368" t="s">
        <v>693</v>
      </c>
      <c r="C368" t="s">
        <v>576</v>
      </c>
      <c r="D368" t="s">
        <v>595</v>
      </c>
      <c r="E368" s="2">
        <v>368.03500000000003</v>
      </c>
      <c r="F368" s="2">
        <v>0</v>
      </c>
      <c r="G368" s="2">
        <v>131.12700000000001</v>
      </c>
      <c r="H368" s="2">
        <v>-302.313999999999</v>
      </c>
      <c r="I368" s="1">
        <v>0.67814474166859096</v>
      </c>
      <c r="J368" s="1">
        <v>0.91071365495129497</v>
      </c>
      <c r="K368" s="1">
        <v>0.62667860226639605</v>
      </c>
      <c r="L368" s="1">
        <v>0.46217979435348999</v>
      </c>
      <c r="M368" s="2"/>
      <c r="N368" s="2"/>
      <c r="Q368" s="1">
        <f t="shared" si="21"/>
        <v>249.58099999999988</v>
      </c>
      <c r="R368">
        <f t="shared" si="20"/>
        <v>335.17449999999985</v>
      </c>
      <c r="S368" s="1">
        <f t="shared" si="22"/>
        <v>230.63965938511308</v>
      </c>
      <c r="T368" s="1">
        <f t="shared" si="23"/>
        <v>170.09834061488669</v>
      </c>
    </row>
    <row r="369" spans="1:20" x14ac:dyDescent="0.3">
      <c r="A369" t="s">
        <v>57</v>
      </c>
      <c r="B369" t="s">
        <v>274</v>
      </c>
      <c r="C369" t="s">
        <v>576</v>
      </c>
      <c r="D369" t="s">
        <v>589</v>
      </c>
      <c r="E369" s="2">
        <v>0</v>
      </c>
      <c r="F369" s="2">
        <v>0</v>
      </c>
      <c r="G369" s="2">
        <v>0</v>
      </c>
      <c r="H369" s="2">
        <v>0</v>
      </c>
      <c r="I369" s="1">
        <v>0</v>
      </c>
      <c r="J369" s="1">
        <v>0</v>
      </c>
      <c r="K369" s="1">
        <v>0</v>
      </c>
      <c r="L369" s="1">
        <v>0</v>
      </c>
      <c r="M369" s="2"/>
      <c r="N369" s="2"/>
      <c r="Q369" s="1">
        <f t="shared" si="21"/>
        <v>0</v>
      </c>
      <c r="R369">
        <f t="shared" si="20"/>
        <v>0</v>
      </c>
      <c r="S369" s="1">
        <f t="shared" si="22"/>
        <v>0</v>
      </c>
      <c r="T369" s="1">
        <f t="shared" si="23"/>
        <v>0</v>
      </c>
    </row>
    <row r="370" spans="1:20" x14ac:dyDescent="0.3">
      <c r="A370" t="s">
        <v>57</v>
      </c>
      <c r="B370" t="s">
        <v>275</v>
      </c>
      <c r="C370" t="s">
        <v>576</v>
      </c>
      <c r="D370" t="s">
        <v>589</v>
      </c>
      <c r="E370" s="2">
        <v>0</v>
      </c>
      <c r="F370" s="2">
        <v>0</v>
      </c>
      <c r="G370" s="2">
        <v>0</v>
      </c>
      <c r="H370" s="2">
        <v>0</v>
      </c>
      <c r="I370" s="1">
        <v>0</v>
      </c>
      <c r="J370" s="1">
        <v>0</v>
      </c>
      <c r="K370" s="1">
        <v>0</v>
      </c>
      <c r="L370" s="1">
        <v>0</v>
      </c>
      <c r="M370" s="2"/>
      <c r="N370" s="2"/>
      <c r="Q370" s="1">
        <f t="shared" si="21"/>
        <v>0</v>
      </c>
      <c r="R370">
        <f t="shared" si="20"/>
        <v>0</v>
      </c>
      <c r="S370" s="1">
        <f t="shared" si="22"/>
        <v>0</v>
      </c>
      <c r="T370" s="1">
        <f t="shared" si="23"/>
        <v>0</v>
      </c>
    </row>
    <row r="371" spans="1:20" x14ac:dyDescent="0.3">
      <c r="A371" t="s">
        <v>57</v>
      </c>
      <c r="B371" t="s">
        <v>276</v>
      </c>
      <c r="C371" t="s">
        <v>580</v>
      </c>
      <c r="D371" t="s">
        <v>581</v>
      </c>
      <c r="E371" s="2">
        <v>99.337999999999994</v>
      </c>
      <c r="F371" s="2">
        <v>0</v>
      </c>
      <c r="G371" s="2">
        <v>86.706999999999994</v>
      </c>
      <c r="H371" s="2">
        <v>-61.957999999999998</v>
      </c>
      <c r="I371" s="1">
        <v>0.93642412772554295</v>
      </c>
      <c r="J371" s="1">
        <v>0.81185447663532495</v>
      </c>
      <c r="K371" s="1">
        <v>0.84322948664495501</v>
      </c>
      <c r="L371" s="1">
        <v>0.40504911771591301</v>
      </c>
      <c r="M371" s="2"/>
      <c r="N371" s="2"/>
      <c r="Q371" s="1">
        <f t="shared" si="21"/>
        <v>93.02249999999998</v>
      </c>
      <c r="R371">
        <f t="shared" si="20"/>
        <v>80.647999999999911</v>
      </c>
      <c r="S371" s="1">
        <f t="shared" si="22"/>
        <v>83.764730744336532</v>
      </c>
      <c r="T371" s="1">
        <f t="shared" si="23"/>
        <v>40.236769255663361</v>
      </c>
    </row>
    <row r="372" spans="1:20" x14ac:dyDescent="0.3">
      <c r="A372" t="s">
        <v>57</v>
      </c>
      <c r="B372" t="s">
        <v>277</v>
      </c>
      <c r="C372" t="s">
        <v>576</v>
      </c>
      <c r="D372" t="s">
        <v>577</v>
      </c>
      <c r="E372" s="2">
        <v>28.271999999999998</v>
      </c>
      <c r="F372" s="2">
        <v>0</v>
      </c>
      <c r="G372" s="2">
        <v>25.47</v>
      </c>
      <c r="H372" s="2">
        <v>-25.518000000000001</v>
      </c>
      <c r="I372" s="1">
        <v>0.95044567062818297</v>
      </c>
      <c r="J372" s="1">
        <v>0.95129456706281801</v>
      </c>
      <c r="K372" s="1">
        <v>0.898587294563858</v>
      </c>
      <c r="L372" s="1">
        <v>0.50315294312714398</v>
      </c>
      <c r="M372" s="2"/>
      <c r="N372" s="2"/>
      <c r="Q372" s="1">
        <f t="shared" si="21"/>
        <v>26.870999999999988</v>
      </c>
      <c r="R372">
        <f t="shared" si="20"/>
        <v>26.894999999999989</v>
      </c>
      <c r="S372" s="1">
        <f t="shared" si="22"/>
        <v>25.40485999190939</v>
      </c>
      <c r="T372" s="1">
        <f t="shared" si="23"/>
        <v>14.225140008090614</v>
      </c>
    </row>
    <row r="373" spans="1:20" x14ac:dyDescent="0.3">
      <c r="A373" t="s">
        <v>57</v>
      </c>
      <c r="B373" t="s">
        <v>278</v>
      </c>
      <c r="C373" t="s">
        <v>576</v>
      </c>
      <c r="D373" t="s">
        <v>577</v>
      </c>
      <c r="E373" s="2">
        <v>37.235999999999997</v>
      </c>
      <c r="F373" s="2">
        <v>0</v>
      </c>
      <c r="G373" s="2">
        <v>32.040999999999997</v>
      </c>
      <c r="H373" s="2">
        <v>-34.326999999999998</v>
      </c>
      <c r="I373" s="1">
        <v>0.93024223869373701</v>
      </c>
      <c r="J373" s="1">
        <v>0.960938339241594</v>
      </c>
      <c r="K373" s="1">
        <v>0.88811050833466298</v>
      </c>
      <c r="L373" s="1">
        <v>0.50307006960066802</v>
      </c>
      <c r="M373" s="2"/>
      <c r="N373" s="2"/>
      <c r="Q373" s="1">
        <f t="shared" si="21"/>
        <v>34.638499999999986</v>
      </c>
      <c r="R373">
        <f t="shared" si="20"/>
        <v>35.781499999999994</v>
      </c>
      <c r="S373" s="1">
        <f t="shared" si="22"/>
        <v>33.069682888349512</v>
      </c>
      <c r="T373" s="1">
        <f t="shared" si="23"/>
        <v>18.732317111650474</v>
      </c>
    </row>
    <row r="374" spans="1:20" x14ac:dyDescent="0.3">
      <c r="A374" t="s">
        <v>57</v>
      </c>
      <c r="B374" t="s">
        <v>279</v>
      </c>
      <c r="C374" t="s">
        <v>576</v>
      </c>
      <c r="D374" t="s">
        <v>577</v>
      </c>
      <c r="E374" s="2">
        <v>55.954000000000001</v>
      </c>
      <c r="F374" s="2">
        <v>0</v>
      </c>
      <c r="G374" s="2">
        <v>44.24</v>
      </c>
      <c r="H374" s="2">
        <v>-50.747</v>
      </c>
      <c r="I374" s="1">
        <v>0.89532473102905896</v>
      </c>
      <c r="J374" s="1">
        <v>0.95347070808163803</v>
      </c>
      <c r="K374" s="1">
        <v>0.83099326460720802</v>
      </c>
      <c r="L374" s="1">
        <v>0.51780217450348998</v>
      </c>
      <c r="M374" s="2"/>
      <c r="N374" s="2"/>
      <c r="Q374" s="1">
        <f t="shared" si="21"/>
        <v>50.096999999999966</v>
      </c>
      <c r="R374">
        <f t="shared" si="20"/>
        <v>53.350499999999975</v>
      </c>
      <c r="S374" s="1">
        <f t="shared" si="22"/>
        <v>46.497397127831718</v>
      </c>
      <c r="T374" s="1">
        <f t="shared" si="23"/>
        <v>28.97310287216828</v>
      </c>
    </row>
    <row r="375" spans="1:20" x14ac:dyDescent="0.3">
      <c r="A375" t="s">
        <v>57</v>
      </c>
      <c r="B375" t="s">
        <v>280</v>
      </c>
      <c r="C375" t="s">
        <v>576</v>
      </c>
      <c r="D375" t="s">
        <v>577</v>
      </c>
      <c r="E375" s="2">
        <v>10.395</v>
      </c>
      <c r="F375" s="2">
        <v>0</v>
      </c>
      <c r="G375" s="2">
        <v>10.395</v>
      </c>
      <c r="H375" s="2">
        <v>-10.395</v>
      </c>
      <c r="I375" s="1">
        <v>1</v>
      </c>
      <c r="J375" s="1">
        <v>1</v>
      </c>
      <c r="K375" s="1">
        <v>0.99954724078510404</v>
      </c>
      <c r="L375" s="1">
        <v>0.50045275921489496</v>
      </c>
      <c r="M375" s="2"/>
      <c r="N375" s="2"/>
      <c r="Q375" s="1">
        <f t="shared" si="21"/>
        <v>10.395</v>
      </c>
      <c r="R375">
        <f t="shared" si="20"/>
        <v>10.395</v>
      </c>
      <c r="S375" s="1">
        <f t="shared" si="22"/>
        <v>10.390293567961155</v>
      </c>
      <c r="T375" s="1">
        <f t="shared" si="23"/>
        <v>5.2022064320388326</v>
      </c>
    </row>
    <row r="376" spans="1:20" x14ac:dyDescent="0.3">
      <c r="A376" t="s">
        <v>57</v>
      </c>
      <c r="B376" t="s">
        <v>281</v>
      </c>
      <c r="C376" t="s">
        <v>580</v>
      </c>
      <c r="D376" t="s">
        <v>581</v>
      </c>
      <c r="E376" s="2">
        <v>52.899000000000001</v>
      </c>
      <c r="F376" s="2">
        <v>0</v>
      </c>
      <c r="G376" s="2">
        <v>36.656999999999996</v>
      </c>
      <c r="H376" s="2">
        <v>-32.386000000000003</v>
      </c>
      <c r="I376" s="1">
        <v>0.84648102988714302</v>
      </c>
      <c r="J376" s="1">
        <v>0.80611164672299995</v>
      </c>
      <c r="K376" s="1">
        <v>0.75422780396494704</v>
      </c>
      <c r="L376" s="1">
        <v>0.39836487264519599</v>
      </c>
      <c r="M376" s="2"/>
      <c r="N376" s="2"/>
      <c r="Q376" s="1">
        <f t="shared" si="21"/>
        <v>44.777999999999977</v>
      </c>
      <c r="R376">
        <f t="shared" si="20"/>
        <v>42.642499999999977</v>
      </c>
      <c r="S376" s="1">
        <f t="shared" si="22"/>
        <v>39.897896601941731</v>
      </c>
      <c r="T376" s="1">
        <f t="shared" si="23"/>
        <v>21.073103398058223</v>
      </c>
    </row>
    <row r="377" spans="1:20" x14ac:dyDescent="0.3">
      <c r="A377" t="s">
        <v>57</v>
      </c>
      <c r="B377" t="s">
        <v>282</v>
      </c>
      <c r="C377" t="s">
        <v>580</v>
      </c>
      <c r="D377" t="s">
        <v>581</v>
      </c>
      <c r="E377" s="2">
        <v>49.335999999999999</v>
      </c>
      <c r="F377" s="2">
        <v>0</v>
      </c>
      <c r="G377" s="2">
        <v>34.506999999999998</v>
      </c>
      <c r="H377" s="2">
        <v>-26.728999999999999</v>
      </c>
      <c r="I377" s="1">
        <v>0.84971420463758696</v>
      </c>
      <c r="J377" s="1">
        <v>0.77088738446570404</v>
      </c>
      <c r="K377" s="1">
        <v>0.747622137192269</v>
      </c>
      <c r="L377" s="1">
        <v>0.372979451911022</v>
      </c>
      <c r="M377" s="2"/>
      <c r="N377" s="2"/>
      <c r="Q377" s="1">
        <f t="shared" si="21"/>
        <v>41.921499999999988</v>
      </c>
      <c r="R377">
        <f t="shared" si="20"/>
        <v>38.03249999999997</v>
      </c>
      <c r="S377" s="1">
        <f t="shared" si="22"/>
        <v>36.884685760517783</v>
      </c>
      <c r="T377" s="1">
        <f t="shared" si="23"/>
        <v>18.401314239482179</v>
      </c>
    </row>
    <row r="378" spans="1:20" x14ac:dyDescent="0.3">
      <c r="A378" t="s">
        <v>57</v>
      </c>
      <c r="B378" t="s">
        <v>694</v>
      </c>
      <c r="C378" t="s">
        <v>580</v>
      </c>
      <c r="D378" t="s">
        <v>581</v>
      </c>
      <c r="E378" s="2">
        <v>9.0039999999999996</v>
      </c>
      <c r="F378" s="2">
        <v>2.7E-2</v>
      </c>
      <c r="G378" s="2">
        <v>3.6680000000000001</v>
      </c>
      <c r="H378" s="2">
        <v>-3.32099999999999</v>
      </c>
      <c r="I378" s="1">
        <v>0.70218791648156298</v>
      </c>
      <c r="J378" s="1">
        <v>0.68291870279875599</v>
      </c>
      <c r="K378" s="1">
        <v>0.480790944765289</v>
      </c>
      <c r="L378" s="1">
        <v>0.40581500814452798</v>
      </c>
      <c r="M378" s="2"/>
      <c r="N378" s="2"/>
      <c r="Q378" s="1">
        <f t="shared" si="21"/>
        <v>6.3224999999999927</v>
      </c>
      <c r="R378">
        <f t="shared" si="20"/>
        <v>6.1489999999999982</v>
      </c>
      <c r="S378" s="1">
        <f t="shared" si="22"/>
        <v>4.3290416666666616</v>
      </c>
      <c r="T378" s="1">
        <f t="shared" si="23"/>
        <v>3.6539583333333296</v>
      </c>
    </row>
    <row r="379" spans="1:20" x14ac:dyDescent="0.3">
      <c r="A379" t="s">
        <v>57</v>
      </c>
      <c r="B379" t="s">
        <v>695</v>
      </c>
      <c r="C379" t="s">
        <v>580</v>
      </c>
      <c r="D379" t="s">
        <v>581</v>
      </c>
      <c r="E379" s="2">
        <v>7.5579999999999998</v>
      </c>
      <c r="F379" s="2">
        <v>0.161</v>
      </c>
      <c r="G379" s="2">
        <v>2.9869999999999899</v>
      </c>
      <c r="H379" s="2">
        <v>-3.0139999999999998</v>
      </c>
      <c r="I379" s="1">
        <v>0.68695422069330503</v>
      </c>
      <c r="J379" s="1">
        <v>0.68874040751521504</v>
      </c>
      <c r="K379" s="1">
        <v>0.48621769427538097</v>
      </c>
      <c r="L379" s="1">
        <v>0.40012789979712399</v>
      </c>
      <c r="M379" s="2"/>
      <c r="N379" s="2"/>
      <c r="Q379" s="1">
        <f t="shared" si="21"/>
        <v>5.1919999999999993</v>
      </c>
      <c r="R379">
        <f t="shared" si="20"/>
        <v>5.2054999999999954</v>
      </c>
      <c r="S379" s="1">
        <f t="shared" si="22"/>
        <v>3.6748333333333294</v>
      </c>
      <c r="T379" s="1">
        <f t="shared" si="23"/>
        <v>3.0241666666666629</v>
      </c>
    </row>
    <row r="380" spans="1:20" x14ac:dyDescent="0.3">
      <c r="A380" t="s">
        <v>57</v>
      </c>
      <c r="B380" t="s">
        <v>283</v>
      </c>
      <c r="C380" t="s">
        <v>574</v>
      </c>
      <c r="D380" t="s">
        <v>575</v>
      </c>
      <c r="E380" s="2">
        <v>482.40300000000002</v>
      </c>
      <c r="F380" s="2">
        <v>0</v>
      </c>
      <c r="G380" s="2">
        <v>379.26499999999999</v>
      </c>
      <c r="H380" s="2">
        <v>-448.88</v>
      </c>
      <c r="I380" s="1">
        <v>0.89309975269639696</v>
      </c>
      <c r="J380" s="1">
        <v>0.96525415472125997</v>
      </c>
      <c r="K380" s="1">
        <v>0.58458265419718702</v>
      </c>
      <c r="L380" s="1">
        <v>0.77377125322046902</v>
      </c>
      <c r="M380" s="2"/>
      <c r="N380" s="2"/>
      <c r="Q380" s="1">
        <f t="shared" si="21"/>
        <v>430.834</v>
      </c>
      <c r="R380">
        <f t="shared" si="20"/>
        <v>465.64150000000001</v>
      </c>
      <c r="S380" s="1">
        <f t="shared" si="22"/>
        <v>282.00442613268564</v>
      </c>
      <c r="T380" s="1">
        <f t="shared" si="23"/>
        <v>373.26957386731391</v>
      </c>
    </row>
    <row r="381" spans="1:20" x14ac:dyDescent="0.3">
      <c r="A381" t="s">
        <v>57</v>
      </c>
      <c r="B381" t="s">
        <v>696</v>
      </c>
      <c r="C381" t="s">
        <v>34</v>
      </c>
      <c r="D381" t="s">
        <v>35</v>
      </c>
      <c r="E381" s="2">
        <v>48.704999999999998</v>
      </c>
      <c r="F381" s="2">
        <v>0</v>
      </c>
      <c r="G381" s="2">
        <v>33.415999999999997</v>
      </c>
      <c r="H381" s="2">
        <v>-44.355999999999902</v>
      </c>
      <c r="I381" s="1">
        <v>0.84304486192382699</v>
      </c>
      <c r="J381" s="1">
        <v>0.95535365978852205</v>
      </c>
      <c r="K381" s="1">
        <v>0.73988644580403096</v>
      </c>
      <c r="L381" s="1">
        <v>0.55851207590831797</v>
      </c>
      <c r="M381" s="2"/>
      <c r="N381" s="2"/>
      <c r="Q381" s="1">
        <f t="shared" si="21"/>
        <v>41.06049999999999</v>
      </c>
      <c r="R381">
        <f t="shared" si="20"/>
        <v>46.530499999999968</v>
      </c>
      <c r="S381" s="1">
        <f t="shared" si="22"/>
        <v>36.03616934288533</v>
      </c>
      <c r="T381" s="1">
        <f t="shared" si="23"/>
        <v>27.202330657114626</v>
      </c>
    </row>
    <row r="382" spans="1:20" x14ac:dyDescent="0.3">
      <c r="A382" t="s">
        <v>57</v>
      </c>
      <c r="B382" t="s">
        <v>284</v>
      </c>
      <c r="C382" t="s">
        <v>576</v>
      </c>
      <c r="D382" t="s">
        <v>583</v>
      </c>
      <c r="E382" s="2">
        <v>380.51100000000002</v>
      </c>
      <c r="F382" s="2">
        <v>0</v>
      </c>
      <c r="G382" s="2">
        <v>231.28399999999999</v>
      </c>
      <c r="H382" s="2">
        <v>-307.95999999999998</v>
      </c>
      <c r="I382" s="1">
        <v>0.803912370470236</v>
      </c>
      <c r="J382" s="1">
        <v>0.90466635655736605</v>
      </c>
      <c r="K382" s="1">
        <v>0.80178862153762398</v>
      </c>
      <c r="L382" s="1">
        <v>0.40679010548997802</v>
      </c>
      <c r="M382" s="2"/>
      <c r="N382" s="2"/>
      <c r="Q382" s="1">
        <f t="shared" si="21"/>
        <v>305.89749999999998</v>
      </c>
      <c r="R382">
        <f t="shared" si="20"/>
        <v>344.23549999999994</v>
      </c>
      <c r="S382" s="1">
        <f t="shared" si="22"/>
        <v>305.08939016990286</v>
      </c>
      <c r="T382" s="1">
        <f t="shared" si="23"/>
        <v>154.78810983009703</v>
      </c>
    </row>
    <row r="383" spans="1:20" x14ac:dyDescent="0.3">
      <c r="A383" t="s">
        <v>57</v>
      </c>
      <c r="B383" t="s">
        <v>697</v>
      </c>
      <c r="C383" t="s">
        <v>576</v>
      </c>
      <c r="D383" t="s">
        <v>14</v>
      </c>
      <c r="E383" s="2">
        <v>0</v>
      </c>
      <c r="F383" s="2">
        <v>0</v>
      </c>
      <c r="G383" s="2">
        <v>0</v>
      </c>
      <c r="H383" s="2">
        <v>0</v>
      </c>
      <c r="I383" s="1">
        <v>0</v>
      </c>
      <c r="J383" s="1">
        <v>0</v>
      </c>
      <c r="K383" s="1">
        <v>0</v>
      </c>
      <c r="L383" s="1">
        <v>0</v>
      </c>
      <c r="M383" s="2"/>
      <c r="N383" s="2"/>
      <c r="Q383" s="1">
        <f t="shared" si="21"/>
        <v>0</v>
      </c>
      <c r="R383">
        <f t="shared" si="20"/>
        <v>0</v>
      </c>
      <c r="S383" s="1">
        <f t="shared" si="22"/>
        <v>0</v>
      </c>
      <c r="T383" s="1">
        <f t="shared" si="23"/>
        <v>0</v>
      </c>
    </row>
    <row r="384" spans="1:20" x14ac:dyDescent="0.3">
      <c r="A384" t="s">
        <v>57</v>
      </c>
      <c r="B384" t="s">
        <v>698</v>
      </c>
      <c r="C384" t="s">
        <v>580</v>
      </c>
      <c r="D384" t="s">
        <v>581</v>
      </c>
      <c r="E384" s="2">
        <v>105</v>
      </c>
      <c r="F384" s="2">
        <v>0</v>
      </c>
      <c r="G384" s="2">
        <v>85.69</v>
      </c>
      <c r="H384" s="2">
        <v>-56.712999999999901</v>
      </c>
      <c r="I384" s="1">
        <v>0.90804761904761899</v>
      </c>
      <c r="J384" s="1">
        <v>0.77006190476190395</v>
      </c>
      <c r="K384" s="1">
        <v>0.80617087995068504</v>
      </c>
      <c r="L384" s="1">
        <v>0.37193864385883801</v>
      </c>
      <c r="M384" s="2"/>
      <c r="N384" s="2"/>
      <c r="Q384" s="1">
        <f t="shared" si="21"/>
        <v>95.344999999999999</v>
      </c>
      <c r="R384">
        <f t="shared" si="20"/>
        <v>80.856499999999912</v>
      </c>
      <c r="S384" s="1">
        <f t="shared" si="22"/>
        <v>84.647942394821925</v>
      </c>
      <c r="T384" s="1">
        <f t="shared" si="23"/>
        <v>39.053557605177993</v>
      </c>
    </row>
    <row r="385" spans="1:20" x14ac:dyDescent="0.3">
      <c r="A385" t="s">
        <v>57</v>
      </c>
      <c r="B385" t="s">
        <v>699</v>
      </c>
      <c r="C385" t="s">
        <v>580</v>
      </c>
      <c r="D385" t="s">
        <v>581</v>
      </c>
      <c r="E385" s="2">
        <v>6.2279999999999998</v>
      </c>
      <c r="F385" s="2">
        <v>3.6999999999999998E-2</v>
      </c>
      <c r="G385" s="2">
        <v>2.4430000000000001</v>
      </c>
      <c r="H385" s="2">
        <v>-2.6319999999999899</v>
      </c>
      <c r="I385" s="1">
        <v>0.69315992292870898</v>
      </c>
      <c r="J385" s="1">
        <v>0.70833333333333304</v>
      </c>
      <c r="K385" s="1">
        <v>0.45362676621708398</v>
      </c>
      <c r="L385" s="1">
        <v>0.450836946050096</v>
      </c>
      <c r="M385" s="2"/>
      <c r="N385" s="2"/>
      <c r="Q385" s="1">
        <f t="shared" si="21"/>
        <v>4.3169999999999993</v>
      </c>
      <c r="R385">
        <f t="shared" si="20"/>
        <v>4.4114999999999984</v>
      </c>
      <c r="S385" s="1">
        <f t="shared" si="22"/>
        <v>2.8251874999999989</v>
      </c>
      <c r="T385" s="1">
        <f t="shared" si="23"/>
        <v>2.8078124999999976</v>
      </c>
    </row>
    <row r="386" spans="1:20" x14ac:dyDescent="0.3">
      <c r="A386" t="s">
        <v>57</v>
      </c>
      <c r="B386" t="s">
        <v>285</v>
      </c>
      <c r="C386" t="s">
        <v>576</v>
      </c>
      <c r="D386" t="s">
        <v>577</v>
      </c>
      <c r="E386" s="2">
        <v>172.44</v>
      </c>
      <c r="F386" s="2">
        <v>0</v>
      </c>
      <c r="G386" s="2">
        <v>109.51300000000001</v>
      </c>
      <c r="H386" s="2">
        <v>-131.27199999999999</v>
      </c>
      <c r="I386" s="1">
        <v>0.81753943400603102</v>
      </c>
      <c r="J386" s="1">
        <v>0.880630944096497</v>
      </c>
      <c r="K386" s="1">
        <v>0.76826076318276604</v>
      </c>
      <c r="L386" s="1">
        <v>0.42990961491976099</v>
      </c>
      <c r="M386" s="2"/>
      <c r="N386" s="2"/>
      <c r="Q386" s="1">
        <f t="shared" si="21"/>
        <v>140.97649999999999</v>
      </c>
      <c r="R386">
        <f t="shared" ref="R386:R449" si="24">J386*E386</f>
        <v>151.85599999999994</v>
      </c>
      <c r="S386" s="1">
        <f t="shared" si="22"/>
        <v>132.47888600323617</v>
      </c>
      <c r="T386" s="1">
        <f t="shared" si="23"/>
        <v>74.133613996763586</v>
      </c>
    </row>
    <row r="387" spans="1:20" x14ac:dyDescent="0.3">
      <c r="A387" t="s">
        <v>57</v>
      </c>
      <c r="B387" t="s">
        <v>286</v>
      </c>
      <c r="C387" t="s">
        <v>576</v>
      </c>
      <c r="D387" t="s">
        <v>583</v>
      </c>
      <c r="E387" s="2">
        <v>49.982999999999997</v>
      </c>
      <c r="F387" s="2">
        <v>0</v>
      </c>
      <c r="G387" s="2">
        <v>37.01</v>
      </c>
      <c r="H387" s="2">
        <v>-45.656999999999996</v>
      </c>
      <c r="I387" s="1">
        <v>0.87022587679811103</v>
      </c>
      <c r="J387" s="1">
        <v>0.95672528659744305</v>
      </c>
      <c r="K387" s="1">
        <v>0.86465080327958699</v>
      </c>
      <c r="L387" s="1">
        <v>0.46230036011596698</v>
      </c>
      <c r="M387" s="2"/>
      <c r="N387" s="2"/>
      <c r="Q387" s="1">
        <f t="shared" ref="Q387:Q450" si="25">I387*E387</f>
        <v>43.496499999999983</v>
      </c>
      <c r="R387">
        <f t="shared" si="24"/>
        <v>47.819999999999993</v>
      </c>
      <c r="S387" s="1">
        <f t="shared" ref="S387:S450" si="26">K387*E387</f>
        <v>43.217841100323596</v>
      </c>
      <c r="T387" s="1">
        <f t="shared" ref="T387:T450" si="27">L387*E387</f>
        <v>23.107158899676374</v>
      </c>
    </row>
    <row r="388" spans="1:20" x14ac:dyDescent="0.3">
      <c r="A388" t="s">
        <v>57</v>
      </c>
      <c r="B388" t="s">
        <v>700</v>
      </c>
      <c r="C388" t="s">
        <v>576</v>
      </c>
      <c r="D388" t="s">
        <v>577</v>
      </c>
      <c r="E388" s="2">
        <v>0</v>
      </c>
      <c r="F388" s="2">
        <v>0</v>
      </c>
      <c r="G388" s="2">
        <v>0</v>
      </c>
      <c r="H388" s="2">
        <v>0</v>
      </c>
      <c r="I388" s="1">
        <v>0</v>
      </c>
      <c r="J388" s="1">
        <v>0</v>
      </c>
      <c r="K388" s="1">
        <v>0</v>
      </c>
      <c r="L388" s="1">
        <v>0</v>
      </c>
      <c r="M388" s="2"/>
      <c r="N388" s="2"/>
      <c r="Q388" s="1">
        <f t="shared" si="25"/>
        <v>0</v>
      </c>
      <c r="R388">
        <f t="shared" si="24"/>
        <v>0</v>
      </c>
      <c r="S388" s="1">
        <f t="shared" si="26"/>
        <v>0</v>
      </c>
      <c r="T388" s="1">
        <f t="shared" si="27"/>
        <v>0</v>
      </c>
    </row>
    <row r="389" spans="1:20" x14ac:dyDescent="0.3">
      <c r="A389" t="s">
        <v>57</v>
      </c>
      <c r="B389" t="s">
        <v>701</v>
      </c>
      <c r="C389" t="s">
        <v>576</v>
      </c>
      <c r="D389" t="s">
        <v>577</v>
      </c>
      <c r="E389" s="2">
        <v>202.52799999999999</v>
      </c>
      <c r="F389" s="2">
        <v>0</v>
      </c>
      <c r="G389" s="2">
        <v>150.01</v>
      </c>
      <c r="H389" s="2">
        <v>-172.75</v>
      </c>
      <c r="I389" s="1">
        <v>0.87034385368936595</v>
      </c>
      <c r="J389" s="1">
        <v>0.92648423921630596</v>
      </c>
      <c r="K389" s="1">
        <v>0.85647728628421504</v>
      </c>
      <c r="L389" s="1">
        <v>0.44035080662145598</v>
      </c>
      <c r="M389" s="2"/>
      <c r="N389" s="2"/>
      <c r="Q389" s="1">
        <f t="shared" si="25"/>
        <v>176.26899999999989</v>
      </c>
      <c r="R389">
        <f t="shared" si="24"/>
        <v>187.63900000000001</v>
      </c>
      <c r="S389" s="1">
        <f t="shared" si="26"/>
        <v>173.46063183656949</v>
      </c>
      <c r="T389" s="1">
        <f t="shared" si="27"/>
        <v>89.183368163430231</v>
      </c>
    </row>
    <row r="390" spans="1:20" x14ac:dyDescent="0.3">
      <c r="A390" t="s">
        <v>57</v>
      </c>
      <c r="B390" t="s">
        <v>287</v>
      </c>
      <c r="C390" t="s">
        <v>576</v>
      </c>
      <c r="D390" t="s">
        <v>589</v>
      </c>
      <c r="E390" s="2">
        <v>0</v>
      </c>
      <c r="F390" s="2">
        <v>0</v>
      </c>
      <c r="G390" s="2">
        <v>0</v>
      </c>
      <c r="H390" s="2">
        <v>0</v>
      </c>
      <c r="I390" s="1">
        <v>0</v>
      </c>
      <c r="J390" s="1">
        <v>0</v>
      </c>
      <c r="K390" s="1">
        <v>0</v>
      </c>
      <c r="L390" s="1">
        <v>0</v>
      </c>
      <c r="M390" s="2"/>
      <c r="N390" s="2"/>
      <c r="Q390" s="1">
        <f t="shared" si="25"/>
        <v>0</v>
      </c>
      <c r="R390">
        <f t="shared" si="24"/>
        <v>0</v>
      </c>
      <c r="S390" s="1">
        <f t="shared" si="26"/>
        <v>0</v>
      </c>
      <c r="T390" s="1">
        <f t="shared" si="27"/>
        <v>0</v>
      </c>
    </row>
    <row r="391" spans="1:20" x14ac:dyDescent="0.3">
      <c r="A391" t="s">
        <v>57</v>
      </c>
      <c r="B391" t="s">
        <v>288</v>
      </c>
      <c r="C391" t="s">
        <v>576</v>
      </c>
      <c r="D391" t="s">
        <v>583</v>
      </c>
      <c r="E391" s="2">
        <v>160.072</v>
      </c>
      <c r="F391" s="2">
        <v>0</v>
      </c>
      <c r="G391" s="2">
        <v>87.608000000000004</v>
      </c>
      <c r="H391" s="2">
        <v>-114.08</v>
      </c>
      <c r="I391" s="1">
        <v>0.77365185666450098</v>
      </c>
      <c r="J391" s="1">
        <v>0.85633964715877797</v>
      </c>
      <c r="K391" s="1">
        <v>0.77007284998431902</v>
      </c>
      <c r="L391" s="1">
        <v>0.35991865383895899</v>
      </c>
      <c r="M391" s="2"/>
      <c r="N391" s="2"/>
      <c r="Q391" s="1">
        <f t="shared" si="25"/>
        <v>123.84</v>
      </c>
      <c r="R391">
        <f t="shared" si="24"/>
        <v>137.07599999999991</v>
      </c>
      <c r="S391" s="1">
        <f t="shared" si="26"/>
        <v>123.26710124268992</v>
      </c>
      <c r="T391" s="1">
        <f t="shared" si="27"/>
        <v>57.612898757309843</v>
      </c>
    </row>
    <row r="392" spans="1:20" x14ac:dyDescent="0.3">
      <c r="A392" t="s">
        <v>57</v>
      </c>
      <c r="B392" t="s">
        <v>702</v>
      </c>
      <c r="C392" t="s">
        <v>576</v>
      </c>
      <c r="D392" t="s">
        <v>583</v>
      </c>
      <c r="E392" s="2">
        <v>158.97800000000001</v>
      </c>
      <c r="F392" s="2">
        <v>0</v>
      </c>
      <c r="G392" s="2">
        <v>78.426999999999893</v>
      </c>
      <c r="H392" s="2">
        <v>-114.559</v>
      </c>
      <c r="I392" s="1">
        <v>0.74665991520839303</v>
      </c>
      <c r="J392" s="1">
        <v>0.86029828026519395</v>
      </c>
      <c r="K392" s="1">
        <v>0.74310171699516503</v>
      </c>
      <c r="L392" s="1">
        <v>0.36385647847842101</v>
      </c>
      <c r="M392" s="2"/>
      <c r="N392" s="2"/>
      <c r="Q392" s="1">
        <f t="shared" si="25"/>
        <v>118.70249999999992</v>
      </c>
      <c r="R392">
        <f t="shared" si="24"/>
        <v>136.76850000000002</v>
      </c>
      <c r="S392" s="1">
        <f t="shared" si="26"/>
        <v>118.13682476445736</v>
      </c>
      <c r="T392" s="1">
        <f t="shared" si="27"/>
        <v>57.84517523554242</v>
      </c>
    </row>
    <row r="393" spans="1:20" x14ac:dyDescent="0.3">
      <c r="A393" t="s">
        <v>57</v>
      </c>
      <c r="B393" t="s">
        <v>289</v>
      </c>
      <c r="C393" t="s">
        <v>576</v>
      </c>
      <c r="D393" t="s">
        <v>577</v>
      </c>
      <c r="E393" s="2">
        <v>559.08100000000002</v>
      </c>
      <c r="F393" s="2">
        <v>0</v>
      </c>
      <c r="G393" s="2">
        <v>334.947</v>
      </c>
      <c r="H393" s="2">
        <v>-485.09399999999999</v>
      </c>
      <c r="I393" s="1">
        <v>0.79955140668346802</v>
      </c>
      <c r="J393" s="1">
        <v>0.933831591486743</v>
      </c>
      <c r="K393" s="1">
        <v>0.79148868930357197</v>
      </c>
      <c r="L393" s="1">
        <v>0.441894308866638</v>
      </c>
      <c r="M393" s="2"/>
      <c r="N393" s="2"/>
      <c r="Q393" s="1">
        <f t="shared" si="25"/>
        <v>447.01400000000001</v>
      </c>
      <c r="R393">
        <f t="shared" si="24"/>
        <v>522.08749999999975</v>
      </c>
      <c r="S393" s="1">
        <f t="shared" si="26"/>
        <v>442.50628790453032</v>
      </c>
      <c r="T393" s="1">
        <f t="shared" si="27"/>
        <v>247.05471209546886</v>
      </c>
    </row>
    <row r="394" spans="1:20" x14ac:dyDescent="0.3">
      <c r="A394" t="s">
        <v>57</v>
      </c>
      <c r="B394" t="s">
        <v>290</v>
      </c>
      <c r="C394" t="s">
        <v>576</v>
      </c>
      <c r="D394" t="s">
        <v>583</v>
      </c>
      <c r="E394" s="2">
        <v>18.920999999999999</v>
      </c>
      <c r="F394" s="2">
        <v>0</v>
      </c>
      <c r="G394" s="2">
        <v>6.9139999999999997</v>
      </c>
      <c r="H394" s="2">
        <v>-9.9209999999999994</v>
      </c>
      <c r="I394" s="1">
        <v>0.68270704508218305</v>
      </c>
      <c r="J394" s="1">
        <v>0.76216901855081598</v>
      </c>
      <c r="K394" s="1">
        <v>0.64542434699959195</v>
      </c>
      <c r="L394" s="1">
        <v>0.29945171663340697</v>
      </c>
      <c r="M394" s="2"/>
      <c r="N394" s="2"/>
      <c r="Q394" s="1">
        <f t="shared" si="25"/>
        <v>12.917499999999984</v>
      </c>
      <c r="R394">
        <f t="shared" si="24"/>
        <v>14.420999999999989</v>
      </c>
      <c r="S394" s="1">
        <f t="shared" si="26"/>
        <v>12.212074069579279</v>
      </c>
      <c r="T394" s="1">
        <f t="shared" si="27"/>
        <v>5.665925930420693</v>
      </c>
    </row>
    <row r="395" spans="1:20" x14ac:dyDescent="0.3">
      <c r="A395" t="s">
        <v>57</v>
      </c>
      <c r="B395" t="s">
        <v>703</v>
      </c>
      <c r="C395" t="s">
        <v>576</v>
      </c>
      <c r="D395" t="s">
        <v>577</v>
      </c>
      <c r="E395" s="2">
        <v>111.61</v>
      </c>
      <c r="F395" s="2">
        <v>0</v>
      </c>
      <c r="G395" s="2">
        <v>102.991</v>
      </c>
      <c r="H395" s="2">
        <v>-106.44999999999899</v>
      </c>
      <c r="I395" s="1">
        <v>0.96138786847056701</v>
      </c>
      <c r="J395" s="1">
        <v>0.97688379177493001</v>
      </c>
      <c r="K395" s="1">
        <v>0.94009105439392604</v>
      </c>
      <c r="L395" s="1">
        <v>0.49818060585157098</v>
      </c>
      <c r="M395" s="2"/>
      <c r="N395" s="2"/>
      <c r="Q395" s="1">
        <f t="shared" si="25"/>
        <v>107.30049999999999</v>
      </c>
      <c r="R395">
        <f t="shared" si="24"/>
        <v>109.02999999999994</v>
      </c>
      <c r="S395" s="1">
        <f t="shared" si="26"/>
        <v>104.92356258090608</v>
      </c>
      <c r="T395" s="1">
        <f t="shared" si="27"/>
        <v>55.601937419093836</v>
      </c>
    </row>
    <row r="396" spans="1:20" x14ac:dyDescent="0.3">
      <c r="A396" t="s">
        <v>57</v>
      </c>
      <c r="B396" t="s">
        <v>291</v>
      </c>
      <c r="C396" t="s">
        <v>576</v>
      </c>
      <c r="D396" t="s">
        <v>577</v>
      </c>
      <c r="E396" s="2">
        <v>120.521</v>
      </c>
      <c r="F396" s="2">
        <v>0</v>
      </c>
      <c r="G396" s="2">
        <v>107.602</v>
      </c>
      <c r="H396" s="2">
        <v>-110.98099999999999</v>
      </c>
      <c r="I396" s="1">
        <v>0.94640353133478805</v>
      </c>
      <c r="J396" s="1">
        <v>0.96042183519884505</v>
      </c>
      <c r="K396" s="1">
        <v>0.56683219496399495</v>
      </c>
      <c r="L396" s="1">
        <v>0.83999317156963704</v>
      </c>
      <c r="M396" s="2"/>
      <c r="N396" s="2"/>
      <c r="Q396" s="1">
        <f t="shared" si="25"/>
        <v>114.0615</v>
      </c>
      <c r="R396">
        <f t="shared" si="24"/>
        <v>115.751</v>
      </c>
      <c r="S396" s="1">
        <f t="shared" si="26"/>
        <v>68.31518296925563</v>
      </c>
      <c r="T396" s="1">
        <f t="shared" si="27"/>
        <v>101.23681703074422</v>
      </c>
    </row>
    <row r="397" spans="1:20" x14ac:dyDescent="0.3">
      <c r="A397" t="s">
        <v>57</v>
      </c>
      <c r="B397" t="s">
        <v>704</v>
      </c>
      <c r="C397" t="s">
        <v>574</v>
      </c>
      <c r="D397" t="s">
        <v>575</v>
      </c>
      <c r="E397" s="2">
        <v>2489.5219999999999</v>
      </c>
      <c r="F397" s="2">
        <v>847.14499999999998</v>
      </c>
      <c r="G397" s="2">
        <v>482.878999999999</v>
      </c>
      <c r="H397" s="2">
        <v>-367.92499999999899</v>
      </c>
      <c r="I397" s="1">
        <v>0.42684017253111201</v>
      </c>
      <c r="J397" s="1">
        <v>0.403752607930357</v>
      </c>
      <c r="K397" s="1">
        <v>0.34181745676492198</v>
      </c>
      <c r="L397" s="1">
        <v>0.15891742326425501</v>
      </c>
      <c r="M397" s="2"/>
      <c r="N397" s="2"/>
      <c r="Q397" s="1">
        <f t="shared" si="25"/>
        <v>1062.627999999999</v>
      </c>
      <c r="R397">
        <f t="shared" si="24"/>
        <v>1005.1509999999981</v>
      </c>
      <c r="S397" s="1">
        <f t="shared" si="26"/>
        <v>850.96207860032212</v>
      </c>
      <c r="T397" s="1">
        <f t="shared" si="27"/>
        <v>395.62842139967466</v>
      </c>
    </row>
    <row r="398" spans="1:20" x14ac:dyDescent="0.3">
      <c r="A398" t="s">
        <v>292</v>
      </c>
      <c r="B398" t="s">
        <v>293</v>
      </c>
      <c r="C398" t="s">
        <v>574</v>
      </c>
      <c r="D398" t="s">
        <v>575</v>
      </c>
      <c r="E398" s="2">
        <v>98.483000000000004</v>
      </c>
      <c r="F398" s="2">
        <v>0</v>
      </c>
      <c r="G398" s="2">
        <v>67.556999999999903</v>
      </c>
      <c r="H398" s="2">
        <v>-55.168999999999997</v>
      </c>
      <c r="I398" s="1">
        <v>0.84298812993105399</v>
      </c>
      <c r="J398" s="1">
        <v>0.78009402638018699</v>
      </c>
      <c r="K398" s="1">
        <v>0.71890623394433995</v>
      </c>
      <c r="L398" s="1">
        <v>0.40417592236690097</v>
      </c>
      <c r="M398" s="2"/>
      <c r="N398" s="2"/>
      <c r="Q398" s="1">
        <f t="shared" si="25"/>
        <v>83.02</v>
      </c>
      <c r="R398">
        <f t="shared" si="24"/>
        <v>76.825999999999965</v>
      </c>
      <c r="S398" s="1">
        <f t="shared" si="26"/>
        <v>70.800042637540429</v>
      </c>
      <c r="T398" s="1">
        <f t="shared" si="27"/>
        <v>39.804457362459509</v>
      </c>
    </row>
    <row r="399" spans="1:20" x14ac:dyDescent="0.3">
      <c r="A399" t="s">
        <v>292</v>
      </c>
      <c r="B399" t="s">
        <v>705</v>
      </c>
      <c r="C399" t="s">
        <v>576</v>
      </c>
      <c r="D399" t="s">
        <v>577</v>
      </c>
      <c r="E399" s="2">
        <v>465.154</v>
      </c>
      <c r="F399" s="2">
        <v>0</v>
      </c>
      <c r="G399" s="2">
        <v>153.56399999999999</v>
      </c>
      <c r="H399" s="2">
        <v>-257.40499999999997</v>
      </c>
      <c r="I399" s="1">
        <v>0.66506791299225598</v>
      </c>
      <c r="J399" s="1">
        <v>0.77668793560842198</v>
      </c>
      <c r="K399" s="1">
        <v>0.66393407737755405</v>
      </c>
      <c r="L399" s="1">
        <v>0.27782177122312401</v>
      </c>
      <c r="M399" s="2"/>
      <c r="N399" s="2"/>
      <c r="Q399" s="1">
        <f t="shared" si="25"/>
        <v>309.35899999999981</v>
      </c>
      <c r="R399">
        <f t="shared" si="24"/>
        <v>361.27949999999993</v>
      </c>
      <c r="S399" s="1">
        <f t="shared" si="26"/>
        <v>308.83159182847879</v>
      </c>
      <c r="T399" s="1">
        <f t="shared" si="27"/>
        <v>129.22990817152103</v>
      </c>
    </row>
    <row r="400" spans="1:20" x14ac:dyDescent="0.3">
      <c r="A400" t="s">
        <v>292</v>
      </c>
      <c r="B400" t="s">
        <v>294</v>
      </c>
      <c r="C400" t="s">
        <v>574</v>
      </c>
      <c r="D400" t="s">
        <v>575</v>
      </c>
      <c r="E400" s="2">
        <v>0</v>
      </c>
      <c r="F400" s="2">
        <v>0</v>
      </c>
      <c r="G400" s="2">
        <v>0</v>
      </c>
      <c r="H400" s="2">
        <v>0</v>
      </c>
      <c r="I400" s="1">
        <v>0</v>
      </c>
      <c r="J400" s="1">
        <v>0</v>
      </c>
      <c r="K400" s="1">
        <v>0</v>
      </c>
      <c r="L400" s="1">
        <v>0</v>
      </c>
      <c r="M400" s="2"/>
      <c r="N400" s="2"/>
      <c r="Q400" s="1">
        <f t="shared" si="25"/>
        <v>0</v>
      </c>
      <c r="R400">
        <f t="shared" si="24"/>
        <v>0</v>
      </c>
      <c r="S400" s="1">
        <f t="shared" si="26"/>
        <v>0</v>
      </c>
      <c r="T400" s="1">
        <f t="shared" si="27"/>
        <v>0</v>
      </c>
    </row>
    <row r="401" spans="1:20" x14ac:dyDescent="0.3">
      <c r="A401" t="s">
        <v>292</v>
      </c>
      <c r="B401" t="s">
        <v>706</v>
      </c>
      <c r="C401" t="s">
        <v>574</v>
      </c>
      <c r="D401" t="s">
        <v>575</v>
      </c>
      <c r="E401" s="2">
        <v>331.76499999999999</v>
      </c>
      <c r="F401" s="2">
        <v>0</v>
      </c>
      <c r="G401" s="2">
        <v>239.64499999999899</v>
      </c>
      <c r="H401" s="2">
        <v>-263.56200000000001</v>
      </c>
      <c r="I401" s="1">
        <v>0.861166789745753</v>
      </c>
      <c r="J401" s="1">
        <v>0.89721188190435996</v>
      </c>
      <c r="K401" s="1">
        <v>0.584612547789778</v>
      </c>
      <c r="L401" s="1">
        <v>0.67376612386033496</v>
      </c>
      <c r="M401" s="2"/>
      <c r="N401" s="2"/>
      <c r="Q401" s="1">
        <f t="shared" si="25"/>
        <v>285.70499999999976</v>
      </c>
      <c r="R401">
        <f t="shared" si="24"/>
        <v>297.6635</v>
      </c>
      <c r="S401" s="1">
        <f t="shared" si="26"/>
        <v>193.95398191747569</v>
      </c>
      <c r="T401" s="1">
        <f t="shared" si="27"/>
        <v>223.53201808252402</v>
      </c>
    </row>
    <row r="402" spans="1:20" x14ac:dyDescent="0.3">
      <c r="A402" t="s">
        <v>292</v>
      </c>
      <c r="B402" t="s">
        <v>295</v>
      </c>
      <c r="C402" t="s">
        <v>576</v>
      </c>
      <c r="D402" t="s">
        <v>577</v>
      </c>
      <c r="E402" s="2">
        <v>9.6969999999999992</v>
      </c>
      <c r="F402" s="2">
        <v>0</v>
      </c>
      <c r="G402" s="2">
        <v>8.6069999999999993</v>
      </c>
      <c r="H402" s="2">
        <v>-9.1739999999999995</v>
      </c>
      <c r="I402" s="1">
        <v>0.94379705063421604</v>
      </c>
      <c r="J402" s="1">
        <v>0.97303289677219695</v>
      </c>
      <c r="K402" s="1">
        <v>0.81107938247341005</v>
      </c>
      <c r="L402" s="1">
        <v>0.60575056493300405</v>
      </c>
      <c r="M402" s="2"/>
      <c r="N402" s="2"/>
      <c r="Q402" s="1">
        <f t="shared" si="25"/>
        <v>9.1519999999999921</v>
      </c>
      <c r="R402">
        <f t="shared" si="24"/>
        <v>9.4354999999999922</v>
      </c>
      <c r="S402" s="1">
        <f t="shared" si="26"/>
        <v>7.8650367718446565</v>
      </c>
      <c r="T402" s="1">
        <f t="shared" si="27"/>
        <v>5.8739632281553398</v>
      </c>
    </row>
    <row r="403" spans="1:20" x14ac:dyDescent="0.3">
      <c r="A403" t="s">
        <v>292</v>
      </c>
      <c r="B403" t="s">
        <v>296</v>
      </c>
      <c r="C403" t="s">
        <v>574</v>
      </c>
      <c r="D403" t="s">
        <v>575</v>
      </c>
      <c r="E403" s="2">
        <v>692.64099999999996</v>
      </c>
      <c r="F403" s="2">
        <v>0</v>
      </c>
      <c r="G403" s="2">
        <v>646.41999999999996</v>
      </c>
      <c r="H403" s="2">
        <v>-596.02300000000002</v>
      </c>
      <c r="I403" s="1">
        <v>0.96663423043106</v>
      </c>
      <c r="J403" s="1">
        <v>0.93025391219982601</v>
      </c>
      <c r="K403" s="1">
        <v>0.67427283863957699</v>
      </c>
      <c r="L403" s="1">
        <v>0.72261530399130902</v>
      </c>
      <c r="M403" s="2"/>
      <c r="N403" s="2"/>
      <c r="Q403" s="1">
        <f t="shared" si="25"/>
        <v>669.53049999999985</v>
      </c>
      <c r="R403">
        <f t="shared" si="24"/>
        <v>644.33199999999965</v>
      </c>
      <c r="S403" s="1">
        <f t="shared" si="26"/>
        <v>467.02901322815524</v>
      </c>
      <c r="T403" s="1">
        <f t="shared" si="27"/>
        <v>500.51298677184423</v>
      </c>
    </row>
    <row r="404" spans="1:20" x14ac:dyDescent="0.3">
      <c r="A404" t="s">
        <v>292</v>
      </c>
      <c r="B404" t="s">
        <v>297</v>
      </c>
      <c r="C404" t="s">
        <v>576</v>
      </c>
      <c r="D404" t="s">
        <v>577</v>
      </c>
      <c r="E404" s="2">
        <v>0.1</v>
      </c>
      <c r="F404" s="2">
        <v>0</v>
      </c>
      <c r="G404" s="2">
        <v>0.1</v>
      </c>
      <c r="H404" s="2">
        <v>-0.1</v>
      </c>
      <c r="I404" s="1">
        <v>1</v>
      </c>
      <c r="J404" s="1">
        <v>1</v>
      </c>
      <c r="K404" s="1">
        <v>0.99991909385113198</v>
      </c>
      <c r="L404" s="1">
        <v>0.50008090614886702</v>
      </c>
      <c r="M404" s="2"/>
      <c r="N404" s="2"/>
      <c r="Q404" s="1">
        <f t="shared" si="25"/>
        <v>0.1</v>
      </c>
      <c r="R404">
        <f t="shared" si="24"/>
        <v>0.1</v>
      </c>
      <c r="S404" s="1">
        <f t="shared" si="26"/>
        <v>9.9991909385113209E-2</v>
      </c>
      <c r="T404" s="1">
        <f t="shared" si="27"/>
        <v>5.0008090614886702E-2</v>
      </c>
    </row>
    <row r="405" spans="1:20" x14ac:dyDescent="0.3">
      <c r="A405" t="s">
        <v>292</v>
      </c>
      <c r="B405" t="s">
        <v>298</v>
      </c>
      <c r="C405" t="s">
        <v>576</v>
      </c>
      <c r="D405" t="s">
        <v>598</v>
      </c>
      <c r="E405" s="2">
        <v>13.125999999999999</v>
      </c>
      <c r="F405" s="2">
        <v>0</v>
      </c>
      <c r="G405" s="2">
        <v>6.9219999999999997</v>
      </c>
      <c r="H405" s="2">
        <v>-6.758</v>
      </c>
      <c r="I405" s="1">
        <v>0.76367514856010899</v>
      </c>
      <c r="J405" s="1">
        <v>0.75742800548529599</v>
      </c>
      <c r="K405" s="1">
        <v>0.64460586636764705</v>
      </c>
      <c r="L405" s="1">
        <v>0.37649728767775797</v>
      </c>
      <c r="M405" s="2"/>
      <c r="N405" s="2"/>
      <c r="Q405" s="1">
        <f t="shared" si="25"/>
        <v>10.02399999999999</v>
      </c>
      <c r="R405">
        <f t="shared" si="24"/>
        <v>9.9419999999999948</v>
      </c>
      <c r="S405" s="1">
        <f t="shared" si="26"/>
        <v>8.4610966019417351</v>
      </c>
      <c r="T405" s="1">
        <f t="shared" si="27"/>
        <v>4.9419033980582512</v>
      </c>
    </row>
    <row r="406" spans="1:20" x14ac:dyDescent="0.3">
      <c r="A406" t="s">
        <v>292</v>
      </c>
      <c r="B406" t="s">
        <v>299</v>
      </c>
      <c r="C406" t="s">
        <v>576</v>
      </c>
      <c r="D406" t="s">
        <v>598</v>
      </c>
      <c r="E406" s="2">
        <v>31.344999999999999</v>
      </c>
      <c r="F406" s="2">
        <v>0</v>
      </c>
      <c r="G406" s="2">
        <v>19.215</v>
      </c>
      <c r="H406" s="2">
        <v>-23.544</v>
      </c>
      <c r="I406" s="1">
        <v>0.80650821502631997</v>
      </c>
      <c r="J406" s="1">
        <v>0.87556229063646496</v>
      </c>
      <c r="K406" s="1">
        <v>0.75374781957348003</v>
      </c>
      <c r="L406" s="1">
        <v>0.42832268608930402</v>
      </c>
      <c r="M406" s="2"/>
      <c r="N406" s="2"/>
      <c r="Q406" s="1">
        <f t="shared" si="25"/>
        <v>25.279999999999998</v>
      </c>
      <c r="R406">
        <f t="shared" si="24"/>
        <v>27.444499999999994</v>
      </c>
      <c r="S406" s="1">
        <f t="shared" si="26"/>
        <v>23.626225404530732</v>
      </c>
      <c r="T406" s="1">
        <f t="shared" si="27"/>
        <v>13.425774595469234</v>
      </c>
    </row>
    <row r="407" spans="1:20" x14ac:dyDescent="0.3">
      <c r="A407" t="s">
        <v>292</v>
      </c>
      <c r="B407" t="s">
        <v>300</v>
      </c>
      <c r="C407" t="s">
        <v>574</v>
      </c>
      <c r="D407" t="s">
        <v>575</v>
      </c>
      <c r="E407" s="2">
        <v>878.35400000000004</v>
      </c>
      <c r="F407" s="2">
        <v>0</v>
      </c>
      <c r="G407" s="2">
        <v>740.19399999999996</v>
      </c>
      <c r="H407" s="2">
        <v>-718.43600000000004</v>
      </c>
      <c r="I407" s="1">
        <v>0.92135289416340105</v>
      </c>
      <c r="J407" s="1">
        <v>0.90896722733658597</v>
      </c>
      <c r="K407" s="1">
        <v>0.63610296921183695</v>
      </c>
      <c r="L407" s="1">
        <v>0.69421715228814995</v>
      </c>
      <c r="M407" s="2"/>
      <c r="N407" s="2"/>
      <c r="Q407" s="1">
        <f t="shared" si="25"/>
        <v>809.274</v>
      </c>
      <c r="R407">
        <f t="shared" si="24"/>
        <v>798.39499999999964</v>
      </c>
      <c r="S407" s="1">
        <f t="shared" si="26"/>
        <v>558.72358741909386</v>
      </c>
      <c r="T407" s="1">
        <f t="shared" si="27"/>
        <v>609.76841258090565</v>
      </c>
    </row>
    <row r="408" spans="1:20" x14ac:dyDescent="0.3">
      <c r="A408" t="s">
        <v>292</v>
      </c>
      <c r="B408" t="s">
        <v>301</v>
      </c>
      <c r="C408" t="s">
        <v>574</v>
      </c>
      <c r="D408" t="s">
        <v>575</v>
      </c>
      <c r="E408" s="2">
        <v>38.875999999999998</v>
      </c>
      <c r="F408" s="2">
        <v>0</v>
      </c>
      <c r="G408" s="2">
        <v>23.974</v>
      </c>
      <c r="H408" s="2">
        <v>-29.384</v>
      </c>
      <c r="I408" s="1">
        <v>0.80833933532256397</v>
      </c>
      <c r="J408" s="1">
        <v>0.87791953904722697</v>
      </c>
      <c r="K408" s="1">
        <v>0.70256659752308503</v>
      </c>
      <c r="L408" s="1">
        <v>0.48369227684670602</v>
      </c>
      <c r="M408" s="2"/>
      <c r="N408" s="2"/>
      <c r="Q408" s="1">
        <f t="shared" si="25"/>
        <v>31.424999999999994</v>
      </c>
      <c r="R408">
        <f t="shared" si="24"/>
        <v>34.129999999999995</v>
      </c>
      <c r="S408" s="1">
        <f t="shared" si="26"/>
        <v>27.312979045307451</v>
      </c>
      <c r="T408" s="1">
        <f t="shared" si="27"/>
        <v>18.804020954692543</v>
      </c>
    </row>
    <row r="409" spans="1:20" x14ac:dyDescent="0.3">
      <c r="A409" t="s">
        <v>292</v>
      </c>
      <c r="B409" t="s">
        <v>302</v>
      </c>
      <c r="C409" t="s">
        <v>576</v>
      </c>
      <c r="D409" t="s">
        <v>595</v>
      </c>
      <c r="E409" s="2">
        <v>355.61599999999999</v>
      </c>
      <c r="F409" s="2">
        <v>0</v>
      </c>
      <c r="G409" s="2">
        <v>89.906999999999996</v>
      </c>
      <c r="H409" s="2">
        <v>-305.803</v>
      </c>
      <c r="I409" s="1">
        <v>0.62641022901106802</v>
      </c>
      <c r="J409" s="1">
        <v>0.92996237514622504</v>
      </c>
      <c r="K409" s="1">
        <v>0.44217714841480499</v>
      </c>
      <c r="L409" s="1">
        <v>0.61419545574248702</v>
      </c>
      <c r="M409" s="2"/>
      <c r="N409" s="2"/>
      <c r="Q409" s="1">
        <f t="shared" si="25"/>
        <v>222.76149999999996</v>
      </c>
      <c r="R409">
        <f t="shared" si="24"/>
        <v>330.70949999999993</v>
      </c>
      <c r="S409" s="1">
        <f t="shared" si="26"/>
        <v>157.24526881067928</v>
      </c>
      <c r="T409" s="1">
        <f t="shared" si="27"/>
        <v>218.41773118932025</v>
      </c>
    </row>
    <row r="410" spans="1:20" x14ac:dyDescent="0.3">
      <c r="A410" t="s">
        <v>292</v>
      </c>
      <c r="B410" t="s">
        <v>303</v>
      </c>
      <c r="C410" t="s">
        <v>576</v>
      </c>
      <c r="D410" t="s">
        <v>589</v>
      </c>
      <c r="E410" s="2">
        <v>251.523</v>
      </c>
      <c r="F410" s="2">
        <v>0</v>
      </c>
      <c r="G410" s="2">
        <v>164.79999999999899</v>
      </c>
      <c r="H410" s="2">
        <v>-195.4</v>
      </c>
      <c r="I410" s="1">
        <v>0.82760423500037705</v>
      </c>
      <c r="J410" s="1">
        <v>0.88843366213030195</v>
      </c>
      <c r="K410" s="1">
        <v>0.81391489244930804</v>
      </c>
      <c r="L410" s="1">
        <v>0.40212300468137102</v>
      </c>
      <c r="M410" s="2"/>
      <c r="N410" s="2"/>
      <c r="Q410" s="1">
        <f t="shared" si="25"/>
        <v>208.16149999999985</v>
      </c>
      <c r="R410">
        <f t="shared" si="24"/>
        <v>223.46149999999994</v>
      </c>
      <c r="S410" s="1">
        <f t="shared" si="26"/>
        <v>204.71831549352731</v>
      </c>
      <c r="T410" s="1">
        <f t="shared" si="27"/>
        <v>101.14318450647248</v>
      </c>
    </row>
    <row r="411" spans="1:20" x14ac:dyDescent="0.3">
      <c r="A411" t="s">
        <v>292</v>
      </c>
      <c r="B411" t="s">
        <v>304</v>
      </c>
      <c r="C411" t="s">
        <v>574</v>
      </c>
      <c r="D411" t="s">
        <v>575</v>
      </c>
      <c r="E411" s="2">
        <v>128.816</v>
      </c>
      <c r="F411" s="2">
        <v>0</v>
      </c>
      <c r="G411" s="2">
        <v>126.014</v>
      </c>
      <c r="H411" s="2">
        <v>-121.371</v>
      </c>
      <c r="I411" s="1">
        <v>0.98912402186063797</v>
      </c>
      <c r="J411" s="1">
        <v>0.97110219227425099</v>
      </c>
      <c r="K411" s="1">
        <v>0.74848496176679402</v>
      </c>
      <c r="L411" s="1">
        <v>0.71174125236809505</v>
      </c>
      <c r="M411" s="2"/>
      <c r="N411" s="2"/>
      <c r="Q411" s="1">
        <f t="shared" si="25"/>
        <v>127.41499999999995</v>
      </c>
      <c r="R411">
        <f t="shared" si="24"/>
        <v>125.09349999999992</v>
      </c>
      <c r="S411" s="1">
        <f t="shared" si="26"/>
        <v>96.416838834951335</v>
      </c>
      <c r="T411" s="1">
        <f t="shared" si="27"/>
        <v>91.683661165048534</v>
      </c>
    </row>
    <row r="412" spans="1:20" x14ac:dyDescent="0.3">
      <c r="A412" t="s">
        <v>292</v>
      </c>
      <c r="B412" t="s">
        <v>707</v>
      </c>
      <c r="C412" t="s">
        <v>580</v>
      </c>
      <c r="D412" t="s">
        <v>581</v>
      </c>
      <c r="E412" s="2">
        <v>118.60299999999999</v>
      </c>
      <c r="F412" s="2">
        <v>0</v>
      </c>
      <c r="G412" s="2">
        <v>86.01</v>
      </c>
      <c r="H412" s="2">
        <v>-95.7</v>
      </c>
      <c r="I412" s="1">
        <v>0.86259622437881001</v>
      </c>
      <c r="J412" s="1">
        <v>0.90344679308280496</v>
      </c>
      <c r="K412" s="1">
        <v>0.66799762578520905</v>
      </c>
      <c r="L412" s="1">
        <v>0.59804539167640502</v>
      </c>
      <c r="M412" s="2"/>
      <c r="N412" s="2"/>
      <c r="Q412" s="1">
        <f t="shared" si="25"/>
        <v>102.3065</v>
      </c>
      <c r="R412">
        <f t="shared" si="24"/>
        <v>107.15149999999991</v>
      </c>
      <c r="S412" s="1">
        <f t="shared" si="26"/>
        <v>79.226522411003145</v>
      </c>
      <c r="T412" s="1">
        <f t="shared" si="27"/>
        <v>70.929977588996664</v>
      </c>
    </row>
    <row r="413" spans="1:20" x14ac:dyDescent="0.3">
      <c r="A413" t="s">
        <v>292</v>
      </c>
      <c r="B413" t="s">
        <v>305</v>
      </c>
      <c r="C413" t="s">
        <v>574</v>
      </c>
      <c r="D413" t="s">
        <v>575</v>
      </c>
      <c r="E413" s="2">
        <v>30.146999999999998</v>
      </c>
      <c r="F413" s="2">
        <v>0</v>
      </c>
      <c r="G413" s="2">
        <v>13.5129999999999</v>
      </c>
      <c r="H413" s="2">
        <v>-11.878</v>
      </c>
      <c r="I413" s="1">
        <v>0.72411848608484997</v>
      </c>
      <c r="J413" s="1">
        <v>0.697001360002653</v>
      </c>
      <c r="K413" s="1">
        <v>0.645781459682507</v>
      </c>
      <c r="L413" s="1">
        <v>0.27533838640499703</v>
      </c>
      <c r="M413" s="2"/>
      <c r="N413" s="2"/>
      <c r="Q413" s="1">
        <f t="shared" si="25"/>
        <v>21.82999999999997</v>
      </c>
      <c r="R413">
        <f t="shared" si="24"/>
        <v>21.012499999999978</v>
      </c>
      <c r="S413" s="1">
        <f t="shared" si="26"/>
        <v>19.468373665048539</v>
      </c>
      <c r="T413" s="1">
        <f t="shared" si="27"/>
        <v>8.3006263349514455</v>
      </c>
    </row>
    <row r="414" spans="1:20" x14ac:dyDescent="0.3">
      <c r="A414" t="s">
        <v>292</v>
      </c>
      <c r="B414" t="s">
        <v>306</v>
      </c>
      <c r="C414" t="s">
        <v>580</v>
      </c>
      <c r="D414" t="s">
        <v>581</v>
      </c>
      <c r="E414" s="2">
        <v>90.988</v>
      </c>
      <c r="F414" s="2">
        <v>0</v>
      </c>
      <c r="G414" s="2">
        <v>73.162000000000006</v>
      </c>
      <c r="H414" s="2">
        <v>-75.209000000000003</v>
      </c>
      <c r="I414" s="1">
        <v>0.90204202752011198</v>
      </c>
      <c r="J414" s="1">
        <v>0.91329076361717998</v>
      </c>
      <c r="K414" s="1">
        <v>0.78091440193827599</v>
      </c>
      <c r="L414" s="1">
        <v>0.53441838919901596</v>
      </c>
      <c r="M414" s="2"/>
      <c r="N414" s="2"/>
      <c r="Q414" s="1">
        <f t="shared" si="25"/>
        <v>82.074999999999946</v>
      </c>
      <c r="R414">
        <f t="shared" si="24"/>
        <v>83.098499999999973</v>
      </c>
      <c r="S414" s="1">
        <f t="shared" si="26"/>
        <v>71.053839603559851</v>
      </c>
      <c r="T414" s="1">
        <f t="shared" si="27"/>
        <v>48.625660396440061</v>
      </c>
    </row>
    <row r="415" spans="1:20" x14ac:dyDescent="0.3">
      <c r="A415" t="s">
        <v>292</v>
      </c>
      <c r="B415" t="s">
        <v>307</v>
      </c>
      <c r="C415" t="s">
        <v>580</v>
      </c>
      <c r="D415" t="s">
        <v>581</v>
      </c>
      <c r="E415" s="2">
        <v>151.41399999999999</v>
      </c>
      <c r="F415" s="2">
        <v>0</v>
      </c>
      <c r="G415" s="2">
        <v>116.675</v>
      </c>
      <c r="H415" s="2">
        <v>-114.181</v>
      </c>
      <c r="I415" s="1">
        <v>0.88528471607645198</v>
      </c>
      <c r="J415" s="1">
        <v>0.87704901792436596</v>
      </c>
      <c r="K415" s="1">
        <v>0.69429394976707803</v>
      </c>
      <c r="L415" s="1">
        <v>0.56803978423374002</v>
      </c>
      <c r="M415" s="2"/>
      <c r="N415" s="2"/>
      <c r="Q415" s="1">
        <f t="shared" si="25"/>
        <v>134.04449999999989</v>
      </c>
      <c r="R415">
        <f t="shared" si="24"/>
        <v>132.79749999999993</v>
      </c>
      <c r="S415" s="1">
        <f t="shared" si="26"/>
        <v>105.12582411003234</v>
      </c>
      <c r="T415" s="1">
        <f t="shared" si="27"/>
        <v>86.009175889967509</v>
      </c>
    </row>
    <row r="416" spans="1:20" x14ac:dyDescent="0.3">
      <c r="A416" t="s">
        <v>292</v>
      </c>
      <c r="B416" t="s">
        <v>708</v>
      </c>
      <c r="C416" t="s">
        <v>580</v>
      </c>
      <c r="D416" t="s">
        <v>581</v>
      </c>
      <c r="E416" s="2">
        <v>127.265</v>
      </c>
      <c r="F416" s="2">
        <v>0</v>
      </c>
      <c r="G416" s="2">
        <v>77.032999999999902</v>
      </c>
      <c r="H416" s="2">
        <v>-81.709000000000003</v>
      </c>
      <c r="I416" s="1">
        <v>0.80264801791537299</v>
      </c>
      <c r="J416" s="1">
        <v>0.82101913330452203</v>
      </c>
      <c r="K416" s="1">
        <v>0.690775606285425</v>
      </c>
      <c r="L416" s="1">
        <v>0.43289154493446902</v>
      </c>
      <c r="M416" s="2"/>
      <c r="N416" s="2"/>
      <c r="Q416" s="1">
        <f t="shared" si="25"/>
        <v>102.14899999999994</v>
      </c>
      <c r="R416">
        <f t="shared" si="24"/>
        <v>104.48699999999999</v>
      </c>
      <c r="S416" s="1">
        <f t="shared" si="26"/>
        <v>87.911557533914618</v>
      </c>
      <c r="T416" s="1">
        <f t="shared" si="27"/>
        <v>55.0919424660852</v>
      </c>
    </row>
    <row r="417" spans="1:20" x14ac:dyDescent="0.3">
      <c r="A417" t="s">
        <v>292</v>
      </c>
      <c r="B417" t="s">
        <v>308</v>
      </c>
      <c r="C417" t="s">
        <v>576</v>
      </c>
      <c r="D417" t="s">
        <v>598</v>
      </c>
      <c r="E417" s="2">
        <v>109.166</v>
      </c>
      <c r="F417" s="2">
        <v>0</v>
      </c>
      <c r="G417" s="2">
        <v>63.456000000000003</v>
      </c>
      <c r="H417" s="2">
        <v>-76.819000000000003</v>
      </c>
      <c r="I417" s="1">
        <v>0.79063994283934502</v>
      </c>
      <c r="J417" s="1">
        <v>0.85184489676272801</v>
      </c>
      <c r="K417" s="1">
        <v>0.72526116293780596</v>
      </c>
      <c r="L417" s="1">
        <v>0.41722367666426702</v>
      </c>
      <c r="M417" s="2"/>
      <c r="N417" s="2"/>
      <c r="Q417" s="1">
        <f t="shared" si="25"/>
        <v>86.310999999999936</v>
      </c>
      <c r="R417">
        <f t="shared" si="24"/>
        <v>92.992499999999964</v>
      </c>
      <c r="S417" s="1">
        <f t="shared" si="26"/>
        <v>79.173860113268518</v>
      </c>
      <c r="T417" s="1">
        <f t="shared" si="27"/>
        <v>45.54663988673137</v>
      </c>
    </row>
    <row r="418" spans="1:20" x14ac:dyDescent="0.3">
      <c r="A418" t="s">
        <v>292</v>
      </c>
      <c r="B418" t="s">
        <v>309</v>
      </c>
      <c r="C418" t="s">
        <v>580</v>
      </c>
      <c r="D418" t="s">
        <v>581</v>
      </c>
      <c r="E418" s="2">
        <v>313.82400000000001</v>
      </c>
      <c r="F418" s="2">
        <v>0</v>
      </c>
      <c r="G418" s="2">
        <v>236.07400000000001</v>
      </c>
      <c r="H418" s="2">
        <v>-166.35499999999999</v>
      </c>
      <c r="I418" s="1">
        <v>0.87612483430202903</v>
      </c>
      <c r="J418" s="1">
        <v>0.76504505710206905</v>
      </c>
      <c r="K418" s="1">
        <v>0.73116154164121605</v>
      </c>
      <c r="L418" s="1">
        <v>0.41000834976288297</v>
      </c>
      <c r="M418" s="2"/>
      <c r="N418" s="2"/>
      <c r="Q418" s="1">
        <f t="shared" si="25"/>
        <v>274.94899999999996</v>
      </c>
      <c r="R418">
        <f t="shared" si="24"/>
        <v>240.08949999999973</v>
      </c>
      <c r="S418" s="1">
        <f t="shared" si="26"/>
        <v>229.456039644013</v>
      </c>
      <c r="T418" s="1">
        <f t="shared" si="27"/>
        <v>128.67046035598699</v>
      </c>
    </row>
    <row r="419" spans="1:20" x14ac:dyDescent="0.3">
      <c r="A419" t="s">
        <v>292</v>
      </c>
      <c r="B419" t="s">
        <v>310</v>
      </c>
      <c r="C419" t="s">
        <v>574</v>
      </c>
      <c r="D419" t="s">
        <v>575</v>
      </c>
      <c r="E419" s="2">
        <v>96.665000000000006</v>
      </c>
      <c r="F419" s="2">
        <v>0</v>
      </c>
      <c r="G419" s="2">
        <v>36.152000000000001</v>
      </c>
      <c r="H419" s="2">
        <v>-49.750999999999998</v>
      </c>
      <c r="I419" s="1">
        <v>0.68699632752288797</v>
      </c>
      <c r="J419" s="1">
        <v>0.757337195468887</v>
      </c>
      <c r="K419" s="1">
        <v>0.44781805034469102</v>
      </c>
      <c r="L419" s="1">
        <v>0.49651547264708401</v>
      </c>
      <c r="M419" s="2"/>
      <c r="N419" s="2"/>
      <c r="Q419" s="1">
        <f t="shared" si="25"/>
        <v>66.408499999999975</v>
      </c>
      <c r="R419">
        <f t="shared" si="24"/>
        <v>73.20799999999997</v>
      </c>
      <c r="S419" s="1">
        <f t="shared" si="26"/>
        <v>43.288331836569562</v>
      </c>
      <c r="T419" s="1">
        <f t="shared" si="27"/>
        <v>47.995668163430381</v>
      </c>
    </row>
    <row r="420" spans="1:20" x14ac:dyDescent="0.3">
      <c r="A420" t="s">
        <v>292</v>
      </c>
      <c r="B420" t="s">
        <v>311</v>
      </c>
      <c r="C420" t="s">
        <v>580</v>
      </c>
      <c r="D420" t="s">
        <v>581</v>
      </c>
      <c r="E420" s="2">
        <v>237.26400000000001</v>
      </c>
      <c r="F420" s="2">
        <v>0</v>
      </c>
      <c r="G420" s="2">
        <v>143.96899999999999</v>
      </c>
      <c r="H420" s="2">
        <v>-136.327</v>
      </c>
      <c r="I420" s="1">
        <v>0.80339410951513901</v>
      </c>
      <c r="J420" s="1">
        <v>0.78728968575089298</v>
      </c>
      <c r="K420" s="1">
        <v>0.66025137872356898</v>
      </c>
      <c r="L420" s="1">
        <v>0.430432416542463</v>
      </c>
      <c r="M420" s="2"/>
      <c r="N420" s="2"/>
      <c r="Q420" s="1">
        <f t="shared" si="25"/>
        <v>190.61649999999995</v>
      </c>
      <c r="R420">
        <f t="shared" si="24"/>
        <v>186.79549999999989</v>
      </c>
      <c r="S420" s="1">
        <f t="shared" si="26"/>
        <v>156.65388312146888</v>
      </c>
      <c r="T420" s="1">
        <f t="shared" si="27"/>
        <v>102.12611687853095</v>
      </c>
    </row>
    <row r="421" spans="1:20" x14ac:dyDescent="0.3">
      <c r="A421" t="s">
        <v>292</v>
      </c>
      <c r="B421" t="s">
        <v>312</v>
      </c>
      <c r="C421" t="s">
        <v>580</v>
      </c>
      <c r="D421" t="s">
        <v>581</v>
      </c>
      <c r="E421" s="2">
        <v>200.74199999999999</v>
      </c>
      <c r="F421" s="2">
        <v>0</v>
      </c>
      <c r="G421" s="2">
        <v>156.399</v>
      </c>
      <c r="H421" s="2">
        <v>-184.102</v>
      </c>
      <c r="I421" s="1">
        <v>0.88955226111127705</v>
      </c>
      <c r="J421" s="1">
        <v>0.95855376552988403</v>
      </c>
      <c r="K421" s="1">
        <v>0.68984230599943397</v>
      </c>
      <c r="L421" s="1">
        <v>0.658263720641726</v>
      </c>
      <c r="M421" s="2"/>
      <c r="N421" s="2"/>
      <c r="Q421" s="1">
        <f t="shared" si="25"/>
        <v>178.57049999999998</v>
      </c>
      <c r="R421">
        <f t="shared" si="24"/>
        <v>192.42199999999997</v>
      </c>
      <c r="S421" s="1">
        <f t="shared" si="26"/>
        <v>138.48032419093838</v>
      </c>
      <c r="T421" s="1">
        <f t="shared" si="27"/>
        <v>132.14117580906137</v>
      </c>
    </row>
    <row r="422" spans="1:20" x14ac:dyDescent="0.3">
      <c r="A422" t="s">
        <v>292</v>
      </c>
      <c r="B422" t="s">
        <v>313</v>
      </c>
      <c r="C422" t="s">
        <v>580</v>
      </c>
      <c r="D422" t="s">
        <v>581</v>
      </c>
      <c r="E422" s="2">
        <v>102.246</v>
      </c>
      <c r="F422" s="2">
        <v>1.7000000000000001E-2</v>
      </c>
      <c r="G422" s="2">
        <v>81.772000000000006</v>
      </c>
      <c r="H422" s="2">
        <v>-71.688999999999993</v>
      </c>
      <c r="I422" s="1">
        <v>0.89979559102556494</v>
      </c>
      <c r="J422" s="1">
        <v>0.85048803865187805</v>
      </c>
      <c r="K422" s="1">
        <v>0.72145335347385697</v>
      </c>
      <c r="L422" s="1">
        <v>0.528913409040079</v>
      </c>
      <c r="M422" s="2"/>
      <c r="N422" s="2"/>
      <c r="Q422" s="1">
        <f t="shared" si="25"/>
        <v>92.000499999999903</v>
      </c>
      <c r="R422">
        <f t="shared" si="24"/>
        <v>86.958999999999918</v>
      </c>
      <c r="S422" s="1">
        <f t="shared" si="26"/>
        <v>73.765719579287975</v>
      </c>
      <c r="T422" s="1">
        <f t="shared" si="27"/>
        <v>54.079280420711918</v>
      </c>
    </row>
    <row r="423" spans="1:20" x14ac:dyDescent="0.3">
      <c r="A423" t="s">
        <v>292</v>
      </c>
      <c r="B423" t="s">
        <v>314</v>
      </c>
      <c r="C423" t="s">
        <v>580</v>
      </c>
      <c r="D423" t="s">
        <v>581</v>
      </c>
      <c r="E423" s="2">
        <v>64.103999999999999</v>
      </c>
      <c r="F423" s="2">
        <v>0</v>
      </c>
      <c r="G423" s="2">
        <v>47.063000000000002</v>
      </c>
      <c r="H423" s="2">
        <v>-52.036999999999999</v>
      </c>
      <c r="I423" s="1">
        <v>0.86708317733682705</v>
      </c>
      <c r="J423" s="1">
        <v>0.90587950829901398</v>
      </c>
      <c r="K423" s="1">
        <v>0.69272889874645405</v>
      </c>
      <c r="L423" s="1">
        <v>0.58023378688938698</v>
      </c>
      <c r="M423" s="2"/>
      <c r="N423" s="2"/>
      <c r="Q423" s="1">
        <f t="shared" si="25"/>
        <v>55.583499999999958</v>
      </c>
      <c r="R423">
        <f t="shared" si="24"/>
        <v>58.070499999999988</v>
      </c>
      <c r="S423" s="1">
        <f t="shared" si="26"/>
        <v>44.406693325242692</v>
      </c>
      <c r="T423" s="1">
        <f t="shared" si="27"/>
        <v>37.195306674757262</v>
      </c>
    </row>
    <row r="424" spans="1:20" x14ac:dyDescent="0.3">
      <c r="A424" t="s">
        <v>292</v>
      </c>
      <c r="B424" t="s">
        <v>709</v>
      </c>
      <c r="C424" t="s">
        <v>580</v>
      </c>
      <c r="D424" t="s">
        <v>581</v>
      </c>
      <c r="E424" s="2">
        <v>560.98400000000004</v>
      </c>
      <c r="F424" s="2">
        <v>0</v>
      </c>
      <c r="G424" s="2">
        <v>447.08499999999998</v>
      </c>
      <c r="H424" s="2">
        <v>-423.71199999999999</v>
      </c>
      <c r="I424" s="1">
        <v>0.89848284443049997</v>
      </c>
      <c r="J424" s="1">
        <v>0.87765069948519003</v>
      </c>
      <c r="K424" s="1">
        <v>0.72823769336515298</v>
      </c>
      <c r="L424" s="1">
        <v>0.54789585055053702</v>
      </c>
      <c r="M424" s="2"/>
      <c r="N424" s="2"/>
      <c r="Q424" s="1">
        <f t="shared" si="25"/>
        <v>504.03449999999964</v>
      </c>
      <c r="R424">
        <f t="shared" si="24"/>
        <v>492.3479999999999</v>
      </c>
      <c r="S424" s="1">
        <f t="shared" si="26"/>
        <v>408.52969417475703</v>
      </c>
      <c r="T424" s="1">
        <f t="shared" si="27"/>
        <v>307.36080582524249</v>
      </c>
    </row>
    <row r="425" spans="1:20" x14ac:dyDescent="0.3">
      <c r="A425" t="s">
        <v>292</v>
      </c>
      <c r="B425" t="s">
        <v>710</v>
      </c>
      <c r="C425" t="s">
        <v>580</v>
      </c>
      <c r="D425" t="s">
        <v>581</v>
      </c>
      <c r="E425" s="2">
        <v>58.96</v>
      </c>
      <c r="F425" s="2">
        <v>0</v>
      </c>
      <c r="G425" s="2">
        <v>49.771999999999998</v>
      </c>
      <c r="H425" s="2">
        <v>-46.878999999999998</v>
      </c>
      <c r="I425" s="1">
        <v>0.92208276797829003</v>
      </c>
      <c r="J425" s="1">
        <v>0.897549185888738</v>
      </c>
      <c r="K425" s="1">
        <v>0.73857051349606695</v>
      </c>
      <c r="L425" s="1">
        <v>0.58106144037095997</v>
      </c>
      <c r="M425" s="2"/>
      <c r="N425" s="2"/>
      <c r="Q425" s="1">
        <f t="shared" si="25"/>
        <v>54.365999999999978</v>
      </c>
      <c r="R425">
        <f t="shared" si="24"/>
        <v>52.919499999999992</v>
      </c>
      <c r="S425" s="1">
        <f t="shared" si="26"/>
        <v>43.54611747572811</v>
      </c>
      <c r="T425" s="1">
        <f t="shared" si="27"/>
        <v>34.2593825242718</v>
      </c>
    </row>
    <row r="426" spans="1:20" x14ac:dyDescent="0.3">
      <c r="A426" t="s">
        <v>292</v>
      </c>
      <c r="B426" t="s">
        <v>711</v>
      </c>
      <c r="C426" t="s">
        <v>580</v>
      </c>
      <c r="D426" t="s">
        <v>581</v>
      </c>
      <c r="E426" s="2">
        <v>127.253</v>
      </c>
      <c r="F426" s="2">
        <v>0</v>
      </c>
      <c r="G426" s="2">
        <v>93.277000000000001</v>
      </c>
      <c r="H426" s="2">
        <v>-85.602000000000004</v>
      </c>
      <c r="I426" s="1">
        <v>0.86650216497842802</v>
      </c>
      <c r="J426" s="1">
        <v>0.836345705012848</v>
      </c>
      <c r="K426" s="1">
        <v>0.70966681230065898</v>
      </c>
      <c r="L426" s="1">
        <v>0.49318105769061799</v>
      </c>
      <c r="M426" s="2"/>
      <c r="N426" s="2"/>
      <c r="Q426" s="1">
        <f t="shared" si="25"/>
        <v>110.2649999999999</v>
      </c>
      <c r="R426">
        <f t="shared" si="24"/>
        <v>106.42749999999995</v>
      </c>
      <c r="S426" s="1">
        <f t="shared" si="26"/>
        <v>90.307230865695757</v>
      </c>
      <c r="T426" s="1">
        <f t="shared" si="27"/>
        <v>62.75876913430421</v>
      </c>
    </row>
    <row r="427" spans="1:20" x14ac:dyDescent="0.3">
      <c r="A427" t="s">
        <v>292</v>
      </c>
      <c r="B427" t="s">
        <v>315</v>
      </c>
      <c r="C427" t="s">
        <v>574</v>
      </c>
      <c r="D427" t="s">
        <v>575</v>
      </c>
      <c r="E427" s="2">
        <v>124.45699999999999</v>
      </c>
      <c r="F427" s="2">
        <v>0</v>
      </c>
      <c r="G427" s="2">
        <v>120.283</v>
      </c>
      <c r="H427" s="2">
        <v>-96.132999999999996</v>
      </c>
      <c r="I427" s="1">
        <v>0.98323115614228196</v>
      </c>
      <c r="J427" s="1">
        <v>0.88620969491470902</v>
      </c>
      <c r="K427" s="1">
        <v>0.64070242525114796</v>
      </c>
      <c r="L427" s="1">
        <v>0.72873842580584303</v>
      </c>
      <c r="M427" s="2"/>
      <c r="N427" s="2"/>
      <c r="Q427" s="1">
        <f t="shared" si="25"/>
        <v>122.36999999999998</v>
      </c>
      <c r="R427">
        <f t="shared" si="24"/>
        <v>110.29499999999993</v>
      </c>
      <c r="S427" s="1">
        <f t="shared" si="26"/>
        <v>79.739901739482121</v>
      </c>
      <c r="T427" s="1">
        <f t="shared" si="27"/>
        <v>90.696598260517803</v>
      </c>
    </row>
    <row r="428" spans="1:20" x14ac:dyDescent="0.3">
      <c r="A428" t="s">
        <v>292</v>
      </c>
      <c r="B428" t="s">
        <v>712</v>
      </c>
      <c r="C428" t="s">
        <v>580</v>
      </c>
      <c r="D428" t="s">
        <v>581</v>
      </c>
      <c r="E428" s="2">
        <v>71.594999999999999</v>
      </c>
      <c r="F428" s="2">
        <v>0</v>
      </c>
      <c r="G428" s="2">
        <v>57.411000000000001</v>
      </c>
      <c r="H428" s="2">
        <v>-50.661999999999999</v>
      </c>
      <c r="I428" s="1">
        <v>0.90094280326838405</v>
      </c>
      <c r="J428" s="1">
        <v>0.85380962357706502</v>
      </c>
      <c r="K428" s="1">
        <v>0.74317132666647201</v>
      </c>
      <c r="L428" s="1">
        <v>0.51158110017897696</v>
      </c>
      <c r="M428" s="2"/>
      <c r="N428" s="2"/>
      <c r="Q428" s="1">
        <f t="shared" si="25"/>
        <v>64.502999999999957</v>
      </c>
      <c r="R428">
        <f t="shared" si="24"/>
        <v>61.128499999999967</v>
      </c>
      <c r="S428" s="1">
        <f t="shared" si="26"/>
        <v>53.207351132686064</v>
      </c>
      <c r="T428" s="1">
        <f t="shared" si="27"/>
        <v>36.626648867313854</v>
      </c>
    </row>
    <row r="429" spans="1:20" x14ac:dyDescent="0.3">
      <c r="A429" t="s">
        <v>292</v>
      </c>
      <c r="B429" t="s">
        <v>316</v>
      </c>
      <c r="C429" t="s">
        <v>576</v>
      </c>
      <c r="D429" t="s">
        <v>14</v>
      </c>
      <c r="E429" s="2">
        <v>1.3360000000000001</v>
      </c>
      <c r="F429" s="2">
        <v>0</v>
      </c>
      <c r="G429" s="2">
        <v>0.97</v>
      </c>
      <c r="H429" s="2">
        <v>-0.97</v>
      </c>
      <c r="I429" s="1">
        <v>0.86302395209580796</v>
      </c>
      <c r="J429" s="1">
        <v>0.86302395209580796</v>
      </c>
      <c r="K429" s="1">
        <v>0.77588138506092796</v>
      </c>
      <c r="L429" s="1">
        <v>0.450166519130688</v>
      </c>
      <c r="M429" s="2"/>
      <c r="N429" s="2"/>
      <c r="Q429" s="1">
        <f t="shared" si="25"/>
        <v>1.1529999999999996</v>
      </c>
      <c r="R429">
        <f t="shared" si="24"/>
        <v>1.1529999999999996</v>
      </c>
      <c r="S429" s="1">
        <f t="shared" si="26"/>
        <v>1.0365775304413998</v>
      </c>
      <c r="T429" s="1">
        <f t="shared" si="27"/>
        <v>0.60142246955859924</v>
      </c>
    </row>
    <row r="430" spans="1:20" x14ac:dyDescent="0.3">
      <c r="A430" t="s">
        <v>292</v>
      </c>
      <c r="B430" t="s">
        <v>317</v>
      </c>
      <c r="C430" t="s">
        <v>574</v>
      </c>
      <c r="D430" t="s">
        <v>575</v>
      </c>
      <c r="E430" s="2">
        <v>17.3</v>
      </c>
      <c r="F430" s="2">
        <v>17.3</v>
      </c>
      <c r="G430" s="2">
        <v>0</v>
      </c>
      <c r="H430" s="2">
        <v>0</v>
      </c>
      <c r="I430" s="1">
        <v>0</v>
      </c>
      <c r="J430" s="1">
        <v>0</v>
      </c>
      <c r="K430" s="1">
        <v>0</v>
      </c>
      <c r="L430" s="1">
        <v>0</v>
      </c>
      <c r="M430" s="2"/>
      <c r="N430" s="2"/>
      <c r="Q430" s="1">
        <f t="shared" si="25"/>
        <v>0</v>
      </c>
      <c r="R430">
        <f t="shared" si="24"/>
        <v>0</v>
      </c>
      <c r="S430" s="1">
        <f t="shared" si="26"/>
        <v>0</v>
      </c>
      <c r="T430" s="1">
        <f t="shared" si="27"/>
        <v>0</v>
      </c>
    </row>
    <row r="431" spans="1:20" x14ac:dyDescent="0.3">
      <c r="A431" t="s">
        <v>292</v>
      </c>
      <c r="B431" t="s">
        <v>318</v>
      </c>
      <c r="C431" t="s">
        <v>574</v>
      </c>
      <c r="D431" t="s">
        <v>575</v>
      </c>
      <c r="E431" s="2">
        <v>0</v>
      </c>
      <c r="F431" s="2">
        <v>0</v>
      </c>
      <c r="G431" s="2">
        <v>0</v>
      </c>
      <c r="H431" s="2">
        <v>0</v>
      </c>
      <c r="I431" s="1">
        <v>0</v>
      </c>
      <c r="J431" s="1">
        <v>0</v>
      </c>
      <c r="K431" s="1">
        <v>0</v>
      </c>
      <c r="L431" s="1">
        <v>0</v>
      </c>
      <c r="M431" s="2"/>
      <c r="N431" s="2"/>
      <c r="Q431" s="1">
        <f t="shared" si="25"/>
        <v>0</v>
      </c>
      <c r="R431">
        <f t="shared" si="24"/>
        <v>0</v>
      </c>
      <c r="S431" s="1">
        <f t="shared" si="26"/>
        <v>0</v>
      </c>
      <c r="T431" s="1">
        <f t="shared" si="27"/>
        <v>0</v>
      </c>
    </row>
    <row r="432" spans="1:20" x14ac:dyDescent="0.3">
      <c r="A432" t="s">
        <v>292</v>
      </c>
      <c r="B432" t="s">
        <v>319</v>
      </c>
      <c r="C432" t="s">
        <v>576</v>
      </c>
      <c r="D432" t="s">
        <v>595</v>
      </c>
      <c r="E432" s="2">
        <v>18.574000000000002</v>
      </c>
      <c r="F432" s="2">
        <v>0</v>
      </c>
      <c r="G432" s="2">
        <v>3.9749999999999899</v>
      </c>
      <c r="H432" s="2">
        <v>-11.567</v>
      </c>
      <c r="I432" s="1">
        <v>0.607004414773339</v>
      </c>
      <c r="J432" s="1">
        <v>0.81137611715300895</v>
      </c>
      <c r="K432" s="1">
        <v>0.60135888049307096</v>
      </c>
      <c r="L432" s="1">
        <v>0.31702165143327599</v>
      </c>
      <c r="M432" s="2"/>
      <c r="N432" s="2"/>
      <c r="Q432" s="1">
        <f t="shared" si="25"/>
        <v>11.2745</v>
      </c>
      <c r="R432">
        <f t="shared" si="24"/>
        <v>15.07049999999999</v>
      </c>
      <c r="S432" s="1">
        <f t="shared" si="26"/>
        <v>11.169639846278301</v>
      </c>
      <c r="T432" s="1">
        <f t="shared" si="27"/>
        <v>5.8883601537216688</v>
      </c>
    </row>
    <row r="433" spans="1:20" x14ac:dyDescent="0.3">
      <c r="A433" t="s">
        <v>292</v>
      </c>
      <c r="B433" t="s">
        <v>713</v>
      </c>
      <c r="C433" t="s">
        <v>574</v>
      </c>
      <c r="D433" t="s">
        <v>575</v>
      </c>
      <c r="E433" s="2">
        <v>853.37199999999996</v>
      </c>
      <c r="F433" s="2">
        <v>0</v>
      </c>
      <c r="G433" s="2">
        <v>689.89</v>
      </c>
      <c r="H433" s="2">
        <v>-490.909999999999</v>
      </c>
      <c r="I433" s="1">
        <v>0.90421410592332496</v>
      </c>
      <c r="J433" s="1">
        <v>0.78762954491124604</v>
      </c>
      <c r="K433" s="1">
        <v>0.60872960856392899</v>
      </c>
      <c r="L433" s="1">
        <v>0.58311404227064201</v>
      </c>
      <c r="M433" s="2"/>
      <c r="N433" s="2"/>
      <c r="Q433" s="1">
        <f t="shared" si="25"/>
        <v>771.63099999999963</v>
      </c>
      <c r="R433">
        <f t="shared" si="24"/>
        <v>672.14099999999985</v>
      </c>
      <c r="S433" s="1">
        <f t="shared" si="26"/>
        <v>519.4728035194172</v>
      </c>
      <c r="T433" s="1">
        <f t="shared" si="27"/>
        <v>497.6131964805823</v>
      </c>
    </row>
    <row r="434" spans="1:20" x14ac:dyDescent="0.3">
      <c r="A434" t="s">
        <v>292</v>
      </c>
      <c r="B434" t="s">
        <v>714</v>
      </c>
      <c r="C434" t="s">
        <v>574</v>
      </c>
      <c r="D434" t="s">
        <v>575</v>
      </c>
      <c r="E434" s="2">
        <v>120.229</v>
      </c>
      <c r="F434" s="2">
        <v>0</v>
      </c>
      <c r="G434" s="2">
        <v>113.36499999999999</v>
      </c>
      <c r="H434" s="2">
        <v>-117.66800000000001</v>
      </c>
      <c r="I434" s="1">
        <v>0.97145447437806098</v>
      </c>
      <c r="J434" s="1">
        <v>0.98934949138726902</v>
      </c>
      <c r="K434" s="1">
        <v>0.70748612794230503</v>
      </c>
      <c r="L434" s="1">
        <v>0.75331783782302597</v>
      </c>
      <c r="M434" s="2"/>
      <c r="N434" s="2"/>
      <c r="Q434" s="1">
        <f t="shared" si="25"/>
        <v>116.7969999999999</v>
      </c>
      <c r="R434">
        <f t="shared" si="24"/>
        <v>118.94849999999997</v>
      </c>
      <c r="S434" s="1">
        <f t="shared" si="26"/>
        <v>85.060349676375395</v>
      </c>
      <c r="T434" s="1">
        <f t="shared" si="27"/>
        <v>90.570650323624591</v>
      </c>
    </row>
    <row r="435" spans="1:20" x14ac:dyDescent="0.3">
      <c r="A435" t="s">
        <v>292</v>
      </c>
      <c r="B435" t="s">
        <v>320</v>
      </c>
      <c r="C435" t="s">
        <v>574</v>
      </c>
      <c r="D435" t="s">
        <v>575</v>
      </c>
      <c r="E435" s="2">
        <v>189.28100000000001</v>
      </c>
      <c r="F435" s="2">
        <v>0</v>
      </c>
      <c r="G435" s="2">
        <v>139.29</v>
      </c>
      <c r="H435" s="2">
        <v>-139.178</v>
      </c>
      <c r="I435" s="1">
        <v>0.86794501297013404</v>
      </c>
      <c r="J435" s="1">
        <v>0.86764915654503005</v>
      </c>
      <c r="K435" s="1">
        <v>0.59806683455458698</v>
      </c>
      <c r="L435" s="1">
        <v>0.63752733496057701</v>
      </c>
      <c r="M435" s="2"/>
      <c r="N435" s="2"/>
      <c r="Q435" s="1">
        <f t="shared" si="25"/>
        <v>164.28549999999996</v>
      </c>
      <c r="R435">
        <f t="shared" si="24"/>
        <v>164.22949999999983</v>
      </c>
      <c r="S435" s="1">
        <f t="shared" si="26"/>
        <v>113.20268851132678</v>
      </c>
      <c r="T435" s="1">
        <f t="shared" si="27"/>
        <v>120.67181148867299</v>
      </c>
    </row>
    <row r="436" spans="1:20" x14ac:dyDescent="0.3">
      <c r="A436" t="s">
        <v>292</v>
      </c>
      <c r="B436" t="s">
        <v>321</v>
      </c>
      <c r="C436" t="s">
        <v>574</v>
      </c>
      <c r="D436" t="s">
        <v>575</v>
      </c>
      <c r="E436" s="2">
        <v>1674.9829999999999</v>
      </c>
      <c r="F436" s="2">
        <v>0</v>
      </c>
      <c r="G436" s="2">
        <v>1241.6869999999999</v>
      </c>
      <c r="H436" s="2">
        <v>-1175.932</v>
      </c>
      <c r="I436" s="1">
        <v>0.87065659770875203</v>
      </c>
      <c r="J436" s="1">
        <v>0.85102804028458801</v>
      </c>
      <c r="K436" s="1">
        <v>0.64597751054410002</v>
      </c>
      <c r="L436" s="1">
        <v>0.57570712744924002</v>
      </c>
      <c r="M436" s="2"/>
      <c r="N436" s="2"/>
      <c r="Q436" s="1">
        <f t="shared" si="25"/>
        <v>1458.3349999999987</v>
      </c>
      <c r="R436">
        <f t="shared" si="24"/>
        <v>1425.4575</v>
      </c>
      <c r="S436" s="1">
        <f t="shared" si="26"/>
        <v>1082.0013485436882</v>
      </c>
      <c r="T436" s="1">
        <f t="shared" si="27"/>
        <v>964.29965145631036</v>
      </c>
    </row>
    <row r="437" spans="1:20" x14ac:dyDescent="0.3">
      <c r="A437" t="s">
        <v>292</v>
      </c>
      <c r="B437" t="s">
        <v>322</v>
      </c>
      <c r="C437" t="s">
        <v>574</v>
      </c>
      <c r="D437" t="s">
        <v>575</v>
      </c>
      <c r="E437" s="2">
        <v>363.28399999999999</v>
      </c>
      <c r="F437" s="2">
        <v>10.6</v>
      </c>
      <c r="G437" s="2">
        <v>123.7</v>
      </c>
      <c r="H437" s="2">
        <v>-132.707999999999</v>
      </c>
      <c r="I437" s="1">
        <v>0.65566333777430297</v>
      </c>
      <c r="J437" s="1">
        <v>0.66806135144955403</v>
      </c>
      <c r="K437" s="1">
        <v>0.43382460383237498</v>
      </c>
      <c r="L437" s="1">
        <v>0.40448922226511203</v>
      </c>
      <c r="M437" s="2"/>
      <c r="N437" s="2"/>
      <c r="Q437" s="1">
        <f t="shared" si="25"/>
        <v>238.19199999999987</v>
      </c>
      <c r="R437">
        <f t="shared" si="24"/>
        <v>242.69599999999977</v>
      </c>
      <c r="S437" s="1">
        <f t="shared" si="26"/>
        <v>157.6015373786405</v>
      </c>
      <c r="T437" s="1">
        <f t="shared" si="27"/>
        <v>146.94446262135895</v>
      </c>
    </row>
    <row r="438" spans="1:20" x14ac:dyDescent="0.3">
      <c r="A438" t="s">
        <v>292</v>
      </c>
      <c r="B438" t="s">
        <v>715</v>
      </c>
      <c r="C438" t="s">
        <v>574</v>
      </c>
      <c r="D438" t="s">
        <v>575</v>
      </c>
      <c r="E438" s="2">
        <v>1236.364</v>
      </c>
      <c r="F438" s="2">
        <v>0</v>
      </c>
      <c r="G438" s="2">
        <v>784.27200000000005</v>
      </c>
      <c r="H438" s="2">
        <v>-925.96599999999899</v>
      </c>
      <c r="I438" s="1">
        <v>0.81716873024449099</v>
      </c>
      <c r="J438" s="1">
        <v>0.87447143397898996</v>
      </c>
      <c r="K438" s="1">
        <v>0.520185786526834</v>
      </c>
      <c r="L438" s="1">
        <v>0.67145437769664595</v>
      </c>
      <c r="M438" s="2"/>
      <c r="N438" s="2"/>
      <c r="Q438" s="1">
        <f t="shared" si="25"/>
        <v>1010.3179999999999</v>
      </c>
      <c r="R438">
        <f t="shared" si="24"/>
        <v>1081.165</v>
      </c>
      <c r="S438" s="1">
        <f t="shared" si="26"/>
        <v>643.13897977346267</v>
      </c>
      <c r="T438" s="1">
        <f t="shared" si="27"/>
        <v>830.16202022653601</v>
      </c>
    </row>
    <row r="439" spans="1:20" x14ac:dyDescent="0.3">
      <c r="A439" t="s">
        <v>292</v>
      </c>
      <c r="B439" t="s">
        <v>323</v>
      </c>
      <c r="C439" t="s">
        <v>574</v>
      </c>
      <c r="D439" t="s">
        <v>575</v>
      </c>
      <c r="E439" s="2">
        <v>1228.673</v>
      </c>
      <c r="F439" s="2">
        <v>0</v>
      </c>
      <c r="G439" s="2">
        <v>954.351</v>
      </c>
      <c r="H439" s="2">
        <v>-709.97799999999995</v>
      </c>
      <c r="I439" s="1">
        <v>0.88836655481157301</v>
      </c>
      <c r="J439" s="1">
        <v>0.78892064853707999</v>
      </c>
      <c r="K439" s="1">
        <v>0.57584058186573495</v>
      </c>
      <c r="L439" s="1">
        <v>0.60144662148291805</v>
      </c>
      <c r="M439" s="2"/>
      <c r="N439" s="2"/>
      <c r="Q439" s="1">
        <f t="shared" si="25"/>
        <v>1091.5119999999999</v>
      </c>
      <c r="R439">
        <f t="shared" si="24"/>
        <v>969.32549999999969</v>
      </c>
      <c r="S439" s="1">
        <f t="shared" si="26"/>
        <v>707.5197752427182</v>
      </c>
      <c r="T439" s="1">
        <f t="shared" si="27"/>
        <v>738.98122475728132</v>
      </c>
    </row>
    <row r="440" spans="1:20" x14ac:dyDescent="0.3">
      <c r="A440" t="s">
        <v>292</v>
      </c>
      <c r="B440" t="s">
        <v>324</v>
      </c>
      <c r="C440" t="s">
        <v>574</v>
      </c>
      <c r="D440" t="s">
        <v>575</v>
      </c>
      <c r="E440" s="2">
        <v>261.23099999999999</v>
      </c>
      <c r="F440" s="2">
        <v>4.9729999999999999</v>
      </c>
      <c r="G440" s="2">
        <v>234.14400000000001</v>
      </c>
      <c r="H440" s="2">
        <v>-231.69499999999999</v>
      </c>
      <c r="I440" s="1">
        <v>0.93863668553885204</v>
      </c>
      <c r="J440" s="1">
        <v>0.93394926329570305</v>
      </c>
      <c r="K440" s="1">
        <v>0.68098306872419401</v>
      </c>
      <c r="L440" s="1">
        <v>0.70112127570659699</v>
      </c>
      <c r="M440" s="2"/>
      <c r="N440" s="2"/>
      <c r="Q440" s="1">
        <f t="shared" si="25"/>
        <v>245.20099999999985</v>
      </c>
      <c r="R440">
        <f t="shared" si="24"/>
        <v>243.97649999999979</v>
      </c>
      <c r="S440" s="1">
        <f t="shared" si="26"/>
        <v>177.89388802588991</v>
      </c>
      <c r="T440" s="1">
        <f t="shared" si="27"/>
        <v>183.15461197411003</v>
      </c>
    </row>
    <row r="441" spans="1:20" x14ac:dyDescent="0.3">
      <c r="A441" t="s">
        <v>292</v>
      </c>
      <c r="B441" t="s">
        <v>716</v>
      </c>
      <c r="C441" t="s">
        <v>574</v>
      </c>
      <c r="D441" t="s">
        <v>575</v>
      </c>
      <c r="E441" s="2">
        <v>498.84</v>
      </c>
      <c r="F441" s="2">
        <v>4.5999999999999999E-2</v>
      </c>
      <c r="G441" s="2">
        <v>450.32499999999999</v>
      </c>
      <c r="H441" s="2">
        <v>-454.30500000000001</v>
      </c>
      <c r="I441" s="1">
        <v>0.95132607649747403</v>
      </c>
      <c r="J441" s="1">
        <v>0.95531533156923998</v>
      </c>
      <c r="K441" s="1">
        <v>0.72351111982712502</v>
      </c>
      <c r="L441" s="1">
        <v>0.68317639520775497</v>
      </c>
      <c r="M441" s="2"/>
      <c r="N441" s="2"/>
      <c r="Q441" s="1">
        <f t="shared" si="25"/>
        <v>474.5594999999999</v>
      </c>
      <c r="R441">
        <f t="shared" si="24"/>
        <v>476.54949999999963</v>
      </c>
      <c r="S441" s="1">
        <f t="shared" si="26"/>
        <v>360.91628701456301</v>
      </c>
      <c r="T441" s="1">
        <f t="shared" si="27"/>
        <v>340.79571298543647</v>
      </c>
    </row>
    <row r="442" spans="1:20" x14ac:dyDescent="0.3">
      <c r="A442" t="s">
        <v>292</v>
      </c>
      <c r="B442" t="s">
        <v>717</v>
      </c>
      <c r="C442" t="s">
        <v>574</v>
      </c>
      <c r="D442" t="s">
        <v>575</v>
      </c>
      <c r="E442" s="2">
        <v>1452.2370000000001</v>
      </c>
      <c r="F442" s="2">
        <v>0</v>
      </c>
      <c r="G442" s="2">
        <v>912.25099999999998</v>
      </c>
      <c r="H442" s="2">
        <v>-792.72500000000002</v>
      </c>
      <c r="I442" s="1">
        <v>0.81408475338391695</v>
      </c>
      <c r="J442" s="1">
        <v>0.77293237949453097</v>
      </c>
      <c r="K442" s="1">
        <v>0.50215271952176499</v>
      </c>
      <c r="L442" s="1">
        <v>0.58486441335668304</v>
      </c>
      <c r="M442" s="2"/>
      <c r="N442" s="2"/>
      <c r="Q442" s="1">
        <f t="shared" si="25"/>
        <v>1182.2439999999995</v>
      </c>
      <c r="R442">
        <f t="shared" si="24"/>
        <v>1122.4809999999993</v>
      </c>
      <c r="S442" s="1">
        <f t="shared" si="26"/>
        <v>729.24475894012949</v>
      </c>
      <c r="T442" s="1">
        <f t="shared" si="27"/>
        <v>849.36174105986936</v>
      </c>
    </row>
    <row r="443" spans="1:20" x14ac:dyDescent="0.3">
      <c r="A443" t="s">
        <v>292</v>
      </c>
      <c r="B443" t="s">
        <v>718</v>
      </c>
      <c r="C443" t="s">
        <v>574</v>
      </c>
      <c r="D443" t="s">
        <v>575</v>
      </c>
      <c r="E443" s="2">
        <v>176.815</v>
      </c>
      <c r="F443" s="2">
        <v>0</v>
      </c>
      <c r="G443" s="2">
        <v>153.857</v>
      </c>
      <c r="H443" s="2">
        <v>-155.49499999999901</v>
      </c>
      <c r="I443" s="1">
        <v>0.93507903741198395</v>
      </c>
      <c r="J443" s="1">
        <v>0.93971099737013197</v>
      </c>
      <c r="K443" s="1">
        <v>0.83981961426964502</v>
      </c>
      <c r="L443" s="1">
        <v>0.53497042051247101</v>
      </c>
      <c r="M443" s="2"/>
      <c r="N443" s="2"/>
      <c r="Q443" s="1">
        <f t="shared" si="25"/>
        <v>165.33599999999993</v>
      </c>
      <c r="R443">
        <f t="shared" si="24"/>
        <v>166.15499999999989</v>
      </c>
      <c r="S443" s="1">
        <f t="shared" si="26"/>
        <v>148.49270509708728</v>
      </c>
      <c r="T443" s="1">
        <f t="shared" si="27"/>
        <v>94.590794902912563</v>
      </c>
    </row>
    <row r="444" spans="1:20" x14ac:dyDescent="0.3">
      <c r="A444" t="s">
        <v>292</v>
      </c>
      <c r="B444" t="s">
        <v>325</v>
      </c>
      <c r="C444" t="s">
        <v>576</v>
      </c>
      <c r="D444" t="s">
        <v>595</v>
      </c>
      <c r="E444" s="2">
        <v>182.553</v>
      </c>
      <c r="F444" s="2">
        <v>0</v>
      </c>
      <c r="G444" s="2">
        <v>14.442</v>
      </c>
      <c r="H444" s="2">
        <v>-51.104999999999997</v>
      </c>
      <c r="I444" s="1">
        <v>0.53955563589751998</v>
      </c>
      <c r="J444" s="1">
        <v>0.63997304892277795</v>
      </c>
      <c r="K444" s="1">
        <v>0.450900401774814</v>
      </c>
      <c r="L444" s="1">
        <v>0.22862828304548399</v>
      </c>
      <c r="M444" s="2"/>
      <c r="N444" s="2"/>
      <c r="Q444" s="1">
        <f t="shared" si="25"/>
        <v>98.49749999999996</v>
      </c>
      <c r="R444">
        <f t="shared" si="24"/>
        <v>116.82899999999988</v>
      </c>
      <c r="S444" s="1">
        <f t="shared" si="26"/>
        <v>82.313221045197622</v>
      </c>
      <c r="T444" s="1">
        <f t="shared" si="27"/>
        <v>41.73677895480224</v>
      </c>
    </row>
    <row r="445" spans="1:20" x14ac:dyDescent="0.3">
      <c r="A445" t="s">
        <v>292</v>
      </c>
      <c r="B445" t="s">
        <v>326</v>
      </c>
      <c r="C445" t="s">
        <v>576</v>
      </c>
      <c r="D445" t="s">
        <v>595</v>
      </c>
      <c r="E445" s="2">
        <v>221.489</v>
      </c>
      <c r="F445" s="2">
        <v>0</v>
      </c>
      <c r="G445" s="2">
        <v>58.720999999999997</v>
      </c>
      <c r="H445" s="2">
        <v>-72.304000000000002</v>
      </c>
      <c r="I445" s="1">
        <v>0.63255963050083697</v>
      </c>
      <c r="J445" s="1">
        <v>0.66322255281300602</v>
      </c>
      <c r="K445" s="1">
        <v>0.50707072710986101</v>
      </c>
      <c r="L445" s="1">
        <v>0.28871145620398198</v>
      </c>
      <c r="M445" s="2"/>
      <c r="N445" s="2"/>
      <c r="Q445" s="1">
        <f t="shared" si="25"/>
        <v>140.10499999999988</v>
      </c>
      <c r="R445">
        <f t="shared" si="24"/>
        <v>146.89649999999989</v>
      </c>
      <c r="S445" s="1">
        <f t="shared" si="26"/>
        <v>112.310588276836</v>
      </c>
      <c r="T445" s="1">
        <f t="shared" si="27"/>
        <v>63.946411723163763</v>
      </c>
    </row>
    <row r="446" spans="1:20" x14ac:dyDescent="0.3">
      <c r="A446" t="s">
        <v>292</v>
      </c>
      <c r="B446" t="s">
        <v>327</v>
      </c>
      <c r="C446" t="s">
        <v>576</v>
      </c>
      <c r="D446" t="s">
        <v>595</v>
      </c>
      <c r="E446" s="2">
        <v>336.35899999999998</v>
      </c>
      <c r="F446" s="2">
        <v>0</v>
      </c>
      <c r="G446" s="2">
        <v>99.744</v>
      </c>
      <c r="H446" s="2">
        <v>-235.65299999999999</v>
      </c>
      <c r="I446" s="1">
        <v>0.64827015183182202</v>
      </c>
      <c r="J446" s="1">
        <v>0.85029982845709495</v>
      </c>
      <c r="K446" s="1">
        <v>0.27453090920830198</v>
      </c>
      <c r="L446" s="1">
        <v>0.72403907108061405</v>
      </c>
      <c r="M446" s="2"/>
      <c r="N446" s="2"/>
      <c r="Q446" s="1">
        <f t="shared" si="25"/>
        <v>218.05149999999981</v>
      </c>
      <c r="R446">
        <f t="shared" si="24"/>
        <v>286.00599999999997</v>
      </c>
      <c r="S446" s="1">
        <f t="shared" si="26"/>
        <v>92.340942090395245</v>
      </c>
      <c r="T446" s="1">
        <f t="shared" si="27"/>
        <v>243.53705790960424</v>
      </c>
    </row>
    <row r="447" spans="1:20" x14ac:dyDescent="0.3">
      <c r="A447" t="s">
        <v>292</v>
      </c>
      <c r="B447" t="s">
        <v>328</v>
      </c>
      <c r="C447" t="s">
        <v>576</v>
      </c>
      <c r="D447" t="s">
        <v>595</v>
      </c>
      <c r="E447" s="2">
        <v>192.94800000000001</v>
      </c>
      <c r="F447" s="2">
        <v>0</v>
      </c>
      <c r="G447" s="2">
        <v>23.181999999999999</v>
      </c>
      <c r="H447" s="2">
        <v>-82.277999999999906</v>
      </c>
      <c r="I447" s="1">
        <v>0.56007318033874398</v>
      </c>
      <c r="J447" s="1">
        <v>0.71321288637352998</v>
      </c>
      <c r="K447" s="1">
        <v>0.34429093630709701</v>
      </c>
      <c r="L447" s="1">
        <v>0.42899513040517701</v>
      </c>
      <c r="M447" s="2"/>
      <c r="N447" s="2"/>
      <c r="Q447" s="1">
        <f t="shared" si="25"/>
        <v>108.06499999999998</v>
      </c>
      <c r="R447">
        <f t="shared" si="24"/>
        <v>137.61299999999986</v>
      </c>
      <c r="S447" s="1">
        <f t="shared" si="26"/>
        <v>66.430247578581756</v>
      </c>
      <c r="T447" s="1">
        <f t="shared" si="27"/>
        <v>82.773752421418095</v>
      </c>
    </row>
    <row r="448" spans="1:20" x14ac:dyDescent="0.3">
      <c r="A448" t="s">
        <v>292</v>
      </c>
      <c r="B448" t="s">
        <v>329</v>
      </c>
      <c r="C448" t="s">
        <v>576</v>
      </c>
      <c r="D448" t="s">
        <v>595</v>
      </c>
      <c r="E448" s="2">
        <v>224.57400000000001</v>
      </c>
      <c r="F448" s="2">
        <v>0</v>
      </c>
      <c r="G448" s="2">
        <v>83.354999999999905</v>
      </c>
      <c r="H448" s="2">
        <v>-121.33</v>
      </c>
      <c r="I448" s="1">
        <v>0.68558470704533903</v>
      </c>
      <c r="J448" s="1">
        <v>0.77013367531415</v>
      </c>
      <c r="K448" s="1">
        <v>0.390960011318635</v>
      </c>
      <c r="L448" s="1">
        <v>0.56475837104085302</v>
      </c>
      <c r="M448" s="2"/>
      <c r="N448" s="2"/>
      <c r="Q448" s="1">
        <f t="shared" si="25"/>
        <v>153.96449999999999</v>
      </c>
      <c r="R448">
        <f t="shared" si="24"/>
        <v>172.95199999999994</v>
      </c>
      <c r="S448" s="1">
        <f t="shared" si="26"/>
        <v>87.799453581871148</v>
      </c>
      <c r="T448" s="1">
        <f t="shared" si="27"/>
        <v>126.83004641812853</v>
      </c>
    </row>
    <row r="449" spans="1:20" x14ac:dyDescent="0.3">
      <c r="A449" t="s">
        <v>292</v>
      </c>
      <c r="B449" t="s">
        <v>330</v>
      </c>
      <c r="C449" t="s">
        <v>576</v>
      </c>
      <c r="D449" t="s">
        <v>595</v>
      </c>
      <c r="E449" s="2">
        <v>335.33499999999998</v>
      </c>
      <c r="F449" s="2">
        <v>0</v>
      </c>
      <c r="G449" s="2">
        <v>156.11600000000001</v>
      </c>
      <c r="H449" s="2">
        <v>-252.45099999999999</v>
      </c>
      <c r="I449" s="1">
        <v>0.73277617904483505</v>
      </c>
      <c r="J449" s="1">
        <v>0.87641612119223999</v>
      </c>
      <c r="K449" s="1">
        <v>0.38490163498018898</v>
      </c>
      <c r="L449" s="1">
        <v>0.72429066525688601</v>
      </c>
      <c r="M449" s="2"/>
      <c r="N449" s="2"/>
      <c r="Q449" s="1">
        <f t="shared" si="25"/>
        <v>245.72549999999976</v>
      </c>
      <c r="R449">
        <f t="shared" si="24"/>
        <v>293.8929999999998</v>
      </c>
      <c r="S449" s="1">
        <f t="shared" si="26"/>
        <v>129.07098976608165</v>
      </c>
      <c r="T449" s="1">
        <f t="shared" si="27"/>
        <v>242.88001023391786</v>
      </c>
    </row>
    <row r="450" spans="1:20" x14ac:dyDescent="0.3">
      <c r="A450" t="s">
        <v>292</v>
      </c>
      <c r="B450" t="s">
        <v>331</v>
      </c>
      <c r="C450" t="s">
        <v>576</v>
      </c>
      <c r="D450" t="s">
        <v>598</v>
      </c>
      <c r="E450" s="2">
        <v>82.944999999999993</v>
      </c>
      <c r="F450" s="2">
        <v>0</v>
      </c>
      <c r="G450" s="2">
        <v>55.161000000000001</v>
      </c>
      <c r="H450" s="2">
        <v>-76.655000000000001</v>
      </c>
      <c r="I450" s="1">
        <v>0.832515522334076</v>
      </c>
      <c r="J450" s="1">
        <v>0.96208330821628796</v>
      </c>
      <c r="K450" s="1">
        <v>0.75324508821276603</v>
      </c>
      <c r="L450" s="1">
        <v>0.54135374233759803</v>
      </c>
      <c r="M450" s="2"/>
      <c r="N450" s="2"/>
      <c r="Q450" s="1">
        <f t="shared" si="25"/>
        <v>69.052999999999926</v>
      </c>
      <c r="R450">
        <f t="shared" ref="R450:R513" si="28">J450*E450</f>
        <v>79.8</v>
      </c>
      <c r="S450" s="1">
        <f t="shared" si="26"/>
        <v>62.477913841807876</v>
      </c>
      <c r="T450" s="1">
        <f t="shared" si="27"/>
        <v>44.902586158192065</v>
      </c>
    </row>
    <row r="451" spans="1:20" x14ac:dyDescent="0.3">
      <c r="A451" t="s">
        <v>292</v>
      </c>
      <c r="B451" t="s">
        <v>332</v>
      </c>
      <c r="C451" t="s">
        <v>574</v>
      </c>
      <c r="D451" t="s">
        <v>575</v>
      </c>
      <c r="E451" s="2">
        <v>1142.3309999999999</v>
      </c>
      <c r="F451" s="2">
        <v>0</v>
      </c>
      <c r="G451" s="2">
        <v>676.26</v>
      </c>
      <c r="H451" s="2">
        <v>-683.06799999999998</v>
      </c>
      <c r="I451" s="1">
        <v>0.79600002100967204</v>
      </c>
      <c r="J451" s="1">
        <v>0.79897989286817905</v>
      </c>
      <c r="K451" s="1">
        <v>0.50603693276728301</v>
      </c>
      <c r="L451" s="1">
        <v>0.58894298111056798</v>
      </c>
      <c r="M451" s="2"/>
      <c r="N451" s="2"/>
      <c r="Q451" s="1">
        <f t="shared" ref="Q451:Q514" si="29">I451*E451</f>
        <v>909.29549999999961</v>
      </c>
      <c r="R451">
        <f t="shared" si="28"/>
        <v>912.69949999999972</v>
      </c>
      <c r="S451" s="1">
        <f t="shared" ref="S451:S514" si="30">K451*E451</f>
        <v>578.06167544498317</v>
      </c>
      <c r="T451" s="1">
        <f t="shared" ref="T451:T514" si="31">L451*E451</f>
        <v>672.7678245550162</v>
      </c>
    </row>
    <row r="452" spans="1:20" x14ac:dyDescent="0.3">
      <c r="A452" t="s">
        <v>292</v>
      </c>
      <c r="B452" t="s">
        <v>333</v>
      </c>
      <c r="C452" t="s">
        <v>574</v>
      </c>
      <c r="D452" t="s">
        <v>575</v>
      </c>
      <c r="E452" s="2">
        <v>76.515000000000001</v>
      </c>
      <c r="F452" s="2">
        <v>0</v>
      </c>
      <c r="G452" s="2">
        <v>73.77</v>
      </c>
      <c r="H452" s="2">
        <v>-75.513000000000005</v>
      </c>
      <c r="I452" s="1">
        <v>0.98206234071750598</v>
      </c>
      <c r="J452" s="1">
        <v>0.99345226426190902</v>
      </c>
      <c r="K452" s="1">
        <v>0.619497534379429</v>
      </c>
      <c r="L452" s="1">
        <v>0.856017070599986</v>
      </c>
      <c r="M452" s="2"/>
      <c r="N452" s="2"/>
      <c r="Q452" s="1">
        <f t="shared" si="29"/>
        <v>75.14249999999997</v>
      </c>
      <c r="R452">
        <f t="shared" si="28"/>
        <v>76.013999999999967</v>
      </c>
      <c r="S452" s="1">
        <f t="shared" si="30"/>
        <v>47.400853843042007</v>
      </c>
      <c r="T452" s="1">
        <f t="shared" si="31"/>
        <v>65.49814615695793</v>
      </c>
    </row>
    <row r="453" spans="1:20" x14ac:dyDescent="0.3">
      <c r="A453" t="s">
        <v>292</v>
      </c>
      <c r="B453" t="s">
        <v>334</v>
      </c>
      <c r="C453" t="s">
        <v>574</v>
      </c>
      <c r="D453" t="s">
        <v>575</v>
      </c>
      <c r="E453" s="2">
        <v>128.464</v>
      </c>
      <c r="F453" s="2">
        <v>0</v>
      </c>
      <c r="G453" s="2">
        <v>99.432999999999893</v>
      </c>
      <c r="H453" s="2">
        <v>-90.281999999999996</v>
      </c>
      <c r="I453" s="1">
        <v>0.88700725495080301</v>
      </c>
      <c r="J453" s="1">
        <v>0.85139027276124002</v>
      </c>
      <c r="K453" s="1">
        <v>0.83069702092001796</v>
      </c>
      <c r="L453" s="1">
        <v>0.40770050679202502</v>
      </c>
      <c r="M453" s="2"/>
      <c r="N453" s="2"/>
      <c r="Q453" s="1">
        <f t="shared" si="29"/>
        <v>113.94849999999995</v>
      </c>
      <c r="R453">
        <f t="shared" si="28"/>
        <v>109.37299999999993</v>
      </c>
      <c r="S453" s="1">
        <f t="shared" si="30"/>
        <v>106.71466209546918</v>
      </c>
      <c r="T453" s="1">
        <f t="shared" si="31"/>
        <v>52.3748379045307</v>
      </c>
    </row>
    <row r="454" spans="1:20" x14ac:dyDescent="0.3">
      <c r="A454" t="s">
        <v>292</v>
      </c>
      <c r="B454" t="s">
        <v>335</v>
      </c>
      <c r="C454" t="s">
        <v>580</v>
      </c>
      <c r="D454" t="s">
        <v>581</v>
      </c>
      <c r="E454" s="2">
        <v>1</v>
      </c>
      <c r="F454" s="2">
        <v>0</v>
      </c>
      <c r="G454" s="2">
        <v>1</v>
      </c>
      <c r="H454" s="2">
        <v>-1</v>
      </c>
      <c r="I454" s="1">
        <v>1</v>
      </c>
      <c r="J454" s="1">
        <v>1</v>
      </c>
      <c r="K454" s="1">
        <v>0.98153058252427094</v>
      </c>
      <c r="L454" s="1">
        <v>0.51846941747572795</v>
      </c>
      <c r="M454" s="2"/>
      <c r="N454" s="2"/>
      <c r="Q454" s="1">
        <f t="shared" si="29"/>
        <v>1</v>
      </c>
      <c r="R454">
        <f t="shared" si="28"/>
        <v>1</v>
      </c>
      <c r="S454" s="1">
        <f t="shared" si="30"/>
        <v>0.98153058252427094</v>
      </c>
      <c r="T454" s="1">
        <f t="shared" si="31"/>
        <v>0.51846941747572795</v>
      </c>
    </row>
    <row r="455" spans="1:20" x14ac:dyDescent="0.3">
      <c r="A455" t="s">
        <v>292</v>
      </c>
      <c r="B455" t="s">
        <v>336</v>
      </c>
      <c r="C455" t="s">
        <v>34</v>
      </c>
      <c r="D455" t="s">
        <v>35</v>
      </c>
      <c r="E455" s="2">
        <v>2488.42</v>
      </c>
      <c r="F455" s="2">
        <v>0</v>
      </c>
      <c r="G455" s="2">
        <v>886.5</v>
      </c>
      <c r="H455" s="2">
        <v>-812.67099999999903</v>
      </c>
      <c r="I455" s="1">
        <v>0.678125075349016</v>
      </c>
      <c r="J455" s="1">
        <v>0.66329056188264002</v>
      </c>
      <c r="K455" s="1">
        <v>0.58250140288977104</v>
      </c>
      <c r="L455" s="1">
        <v>0.25891423434188499</v>
      </c>
      <c r="M455" s="2"/>
      <c r="N455" s="2"/>
      <c r="Q455" s="1">
        <f t="shared" si="29"/>
        <v>1687.4599999999984</v>
      </c>
      <c r="R455">
        <f t="shared" si="28"/>
        <v>1650.545499999999</v>
      </c>
      <c r="S455" s="1">
        <f t="shared" si="30"/>
        <v>1449.5081409789641</v>
      </c>
      <c r="T455" s="1">
        <f t="shared" si="31"/>
        <v>644.28735902103347</v>
      </c>
    </row>
    <row r="456" spans="1:20" x14ac:dyDescent="0.3">
      <c r="A456" t="s">
        <v>292</v>
      </c>
      <c r="B456" t="s">
        <v>337</v>
      </c>
      <c r="C456" t="s">
        <v>574</v>
      </c>
      <c r="D456" t="s">
        <v>575</v>
      </c>
      <c r="E456" s="2">
        <v>406</v>
      </c>
      <c r="F456" s="2">
        <v>1.224</v>
      </c>
      <c r="G456" s="2">
        <v>221.72899999999899</v>
      </c>
      <c r="H456" s="2">
        <v>-269.27600000000001</v>
      </c>
      <c r="I456" s="1">
        <v>0.77155788177339901</v>
      </c>
      <c r="J456" s="1">
        <v>0.83011330049261001</v>
      </c>
      <c r="K456" s="1">
        <v>0.46337695171138399</v>
      </c>
      <c r="L456" s="1">
        <v>0.63980161971718696</v>
      </c>
      <c r="M456" s="2"/>
      <c r="N456" s="2"/>
      <c r="Q456" s="1">
        <f t="shared" si="29"/>
        <v>313.2525</v>
      </c>
      <c r="R456">
        <f t="shared" si="28"/>
        <v>337.02599999999967</v>
      </c>
      <c r="S456" s="1">
        <f t="shared" si="30"/>
        <v>188.13104239482189</v>
      </c>
      <c r="T456" s="1">
        <f t="shared" si="31"/>
        <v>259.75945760517789</v>
      </c>
    </row>
    <row r="457" spans="1:20" x14ac:dyDescent="0.3">
      <c r="A457" t="s">
        <v>292</v>
      </c>
      <c r="B457" t="s">
        <v>338</v>
      </c>
      <c r="C457" t="s">
        <v>576</v>
      </c>
      <c r="D457" t="s">
        <v>591</v>
      </c>
      <c r="E457" s="2">
        <v>172</v>
      </c>
      <c r="F457" s="2">
        <v>0.15</v>
      </c>
      <c r="G457" s="2">
        <v>99.686999999999998</v>
      </c>
      <c r="H457" s="2">
        <v>-147.87700000000001</v>
      </c>
      <c r="I457" s="1">
        <v>0.78935174418604603</v>
      </c>
      <c r="J457" s="1">
        <v>0.92943895348837202</v>
      </c>
      <c r="K457" s="1">
        <v>0.57565130249491903</v>
      </c>
      <c r="L457" s="1">
        <v>0.64357544169112602</v>
      </c>
      <c r="M457" s="2"/>
      <c r="N457" s="2"/>
      <c r="Q457" s="1">
        <f t="shared" si="29"/>
        <v>135.7684999999999</v>
      </c>
      <c r="R457">
        <f t="shared" si="28"/>
        <v>159.86349999999999</v>
      </c>
      <c r="S457" s="1">
        <f t="shared" si="30"/>
        <v>99.012024029126067</v>
      </c>
      <c r="T457" s="1">
        <f t="shared" si="31"/>
        <v>110.69497597087367</v>
      </c>
    </row>
    <row r="458" spans="1:20" x14ac:dyDescent="0.3">
      <c r="A458" t="s">
        <v>292</v>
      </c>
      <c r="B458" t="s">
        <v>339</v>
      </c>
      <c r="C458" t="s">
        <v>580</v>
      </c>
      <c r="D458" t="s">
        <v>581</v>
      </c>
      <c r="E458" s="2">
        <v>16.82</v>
      </c>
      <c r="F458" s="2">
        <v>3.0000000000000001E-3</v>
      </c>
      <c r="G458" s="2">
        <v>15.82</v>
      </c>
      <c r="H458" s="2">
        <v>-15.82</v>
      </c>
      <c r="I458" s="1">
        <v>0.97018430439952397</v>
      </c>
      <c r="J458" s="1">
        <v>0.97018430439952397</v>
      </c>
      <c r="K458" s="1">
        <v>0.91511345139281697</v>
      </c>
      <c r="L458" s="1">
        <v>0.52534433695438798</v>
      </c>
      <c r="M458" s="2"/>
      <c r="N458" s="2"/>
      <c r="Q458" s="1">
        <f t="shared" si="29"/>
        <v>16.318499999999993</v>
      </c>
      <c r="R458">
        <f t="shared" si="28"/>
        <v>16.318499999999993</v>
      </c>
      <c r="S458" s="1">
        <f t="shared" si="30"/>
        <v>15.392208252427181</v>
      </c>
      <c r="T458" s="1">
        <f t="shared" si="31"/>
        <v>8.8362917475728064</v>
      </c>
    </row>
    <row r="459" spans="1:20" x14ac:dyDescent="0.3">
      <c r="A459" t="s">
        <v>292</v>
      </c>
      <c r="B459" t="s">
        <v>340</v>
      </c>
      <c r="C459" t="s">
        <v>574</v>
      </c>
      <c r="D459" t="s">
        <v>575</v>
      </c>
      <c r="E459" s="2">
        <v>108</v>
      </c>
      <c r="F459" s="2">
        <v>7.9000000000000001E-2</v>
      </c>
      <c r="G459" s="2">
        <v>80.849999999999994</v>
      </c>
      <c r="H459" s="2">
        <v>-94.921000000000006</v>
      </c>
      <c r="I459" s="1">
        <v>0.87393981481481398</v>
      </c>
      <c r="J459" s="1">
        <v>0.93908333333333305</v>
      </c>
      <c r="K459" s="1">
        <v>0.55181036984597798</v>
      </c>
      <c r="L459" s="1">
        <v>0.76157851904290996</v>
      </c>
      <c r="M459" s="2"/>
      <c r="N459" s="2"/>
      <c r="Q459" s="1">
        <f t="shared" si="29"/>
        <v>94.385499999999908</v>
      </c>
      <c r="R459">
        <f t="shared" si="28"/>
        <v>101.42099999999996</v>
      </c>
      <c r="S459" s="1">
        <f t="shared" si="30"/>
        <v>59.595519943365623</v>
      </c>
      <c r="T459" s="1">
        <f t="shared" si="31"/>
        <v>82.250480056634274</v>
      </c>
    </row>
    <row r="460" spans="1:20" x14ac:dyDescent="0.3">
      <c r="A460" t="s">
        <v>292</v>
      </c>
      <c r="B460" t="s">
        <v>341</v>
      </c>
      <c r="C460" t="s">
        <v>580</v>
      </c>
      <c r="D460" t="s">
        <v>581</v>
      </c>
      <c r="E460" s="2">
        <v>40</v>
      </c>
      <c r="F460" s="2">
        <v>0</v>
      </c>
      <c r="G460" s="2">
        <v>19.367999999999999</v>
      </c>
      <c r="H460" s="2">
        <v>-25.978999999999999</v>
      </c>
      <c r="I460" s="1">
        <v>0.74209999999999998</v>
      </c>
      <c r="J460" s="1">
        <v>0.82473750000000001</v>
      </c>
      <c r="K460" s="1">
        <v>0.53441509506472495</v>
      </c>
      <c r="L460" s="1">
        <v>0.53242240493527504</v>
      </c>
      <c r="M460" s="2"/>
      <c r="N460" s="2"/>
      <c r="Q460" s="1">
        <f t="shared" si="29"/>
        <v>29.683999999999997</v>
      </c>
      <c r="R460">
        <f t="shared" si="28"/>
        <v>32.9895</v>
      </c>
      <c r="S460" s="1">
        <f t="shared" si="30"/>
        <v>21.376603802588999</v>
      </c>
      <c r="T460" s="1">
        <f t="shared" si="31"/>
        <v>21.296896197411002</v>
      </c>
    </row>
    <row r="461" spans="1:20" x14ac:dyDescent="0.3">
      <c r="A461" t="s">
        <v>292</v>
      </c>
      <c r="B461" t="s">
        <v>342</v>
      </c>
      <c r="C461" t="s">
        <v>34</v>
      </c>
      <c r="D461" t="s">
        <v>35</v>
      </c>
      <c r="E461" s="2">
        <v>2556.5810000000001</v>
      </c>
      <c r="F461" s="2">
        <v>0</v>
      </c>
      <c r="G461" s="2">
        <v>1013.60099999999</v>
      </c>
      <c r="H461" s="2">
        <v>-791.99800000000005</v>
      </c>
      <c r="I461" s="1">
        <v>0.69823369570531801</v>
      </c>
      <c r="J461" s="1">
        <v>0.65489397754266299</v>
      </c>
      <c r="K461" s="1">
        <v>0.60872536286765999</v>
      </c>
      <c r="L461" s="1">
        <v>0.24440231038032101</v>
      </c>
      <c r="M461" s="2"/>
      <c r="N461" s="2"/>
      <c r="Q461" s="1">
        <f t="shared" si="29"/>
        <v>1785.0909999999976</v>
      </c>
      <c r="R461">
        <f t="shared" si="28"/>
        <v>1674.289499999999</v>
      </c>
      <c r="S461" s="1">
        <f t="shared" si="30"/>
        <v>1556.2556969255652</v>
      </c>
      <c r="T461" s="1">
        <f t="shared" si="31"/>
        <v>624.83430307443155</v>
      </c>
    </row>
    <row r="462" spans="1:20" x14ac:dyDescent="0.3">
      <c r="A462" t="s">
        <v>292</v>
      </c>
      <c r="B462" t="s">
        <v>343</v>
      </c>
      <c r="C462" t="s">
        <v>574</v>
      </c>
      <c r="D462" t="s">
        <v>575</v>
      </c>
      <c r="E462" s="2">
        <v>407</v>
      </c>
      <c r="F462" s="2">
        <v>6.2050000000000001</v>
      </c>
      <c r="G462" s="2">
        <v>239.70099999999999</v>
      </c>
      <c r="H462" s="2">
        <v>-245.79499999999999</v>
      </c>
      <c r="I462" s="1">
        <v>0.78685012285012201</v>
      </c>
      <c r="J462" s="1">
        <v>0.79433660933660899</v>
      </c>
      <c r="K462" s="1">
        <v>0.52253966568068499</v>
      </c>
      <c r="L462" s="1">
        <v>0.56626991662889703</v>
      </c>
      <c r="M462" s="2"/>
      <c r="N462" s="2"/>
      <c r="Q462" s="1">
        <f t="shared" si="29"/>
        <v>320.24799999999965</v>
      </c>
      <c r="R462">
        <f t="shared" si="28"/>
        <v>323.29499999999985</v>
      </c>
      <c r="S462" s="1">
        <f t="shared" si="30"/>
        <v>212.6736439320388</v>
      </c>
      <c r="T462" s="1">
        <f t="shared" si="31"/>
        <v>230.47185606796108</v>
      </c>
    </row>
    <row r="463" spans="1:20" x14ac:dyDescent="0.3">
      <c r="A463" t="s">
        <v>292</v>
      </c>
      <c r="B463" t="s">
        <v>344</v>
      </c>
      <c r="C463" t="s">
        <v>576</v>
      </c>
      <c r="D463" t="s">
        <v>591</v>
      </c>
      <c r="E463" s="2">
        <v>23</v>
      </c>
      <c r="F463" s="2">
        <v>0.01</v>
      </c>
      <c r="G463" s="2">
        <v>9.3249999999999993</v>
      </c>
      <c r="H463" s="2">
        <v>-11.99</v>
      </c>
      <c r="I463" s="1">
        <v>0.70249999999999901</v>
      </c>
      <c r="J463" s="1">
        <v>0.76043478260869501</v>
      </c>
      <c r="K463" s="1">
        <v>0.48717299669340097</v>
      </c>
      <c r="L463" s="1">
        <v>0.475979177219642</v>
      </c>
      <c r="M463" s="2"/>
      <c r="N463" s="2"/>
      <c r="Q463" s="1">
        <f t="shared" si="29"/>
        <v>16.157499999999978</v>
      </c>
      <c r="R463">
        <f t="shared" si="28"/>
        <v>17.489999999999984</v>
      </c>
      <c r="S463" s="1">
        <f t="shared" si="30"/>
        <v>11.204978923948222</v>
      </c>
      <c r="T463" s="1">
        <f t="shared" si="31"/>
        <v>10.947521076051766</v>
      </c>
    </row>
    <row r="464" spans="1:20" x14ac:dyDescent="0.3">
      <c r="A464" t="s">
        <v>292</v>
      </c>
      <c r="B464" t="s">
        <v>345</v>
      </c>
      <c r="C464" t="s">
        <v>574</v>
      </c>
      <c r="D464" t="s">
        <v>575</v>
      </c>
      <c r="E464" s="2">
        <v>34</v>
      </c>
      <c r="F464" s="2">
        <v>1.6E-2</v>
      </c>
      <c r="G464" s="2">
        <v>12.909000000000001</v>
      </c>
      <c r="H464" s="2">
        <v>-20.712</v>
      </c>
      <c r="I464" s="1">
        <v>0.68960294117647003</v>
      </c>
      <c r="J464" s="1">
        <v>0.80435294117647005</v>
      </c>
      <c r="K464" s="1">
        <v>0.46605353488482698</v>
      </c>
      <c r="L464" s="1">
        <v>0.52813764158576004</v>
      </c>
      <c r="M464" s="2"/>
      <c r="N464" s="2"/>
      <c r="Q464" s="1">
        <f t="shared" si="29"/>
        <v>23.446499999999983</v>
      </c>
      <c r="R464">
        <f t="shared" si="28"/>
        <v>27.347999999999981</v>
      </c>
      <c r="S464" s="1">
        <f t="shared" si="30"/>
        <v>15.845820186084117</v>
      </c>
      <c r="T464" s="1">
        <f t="shared" si="31"/>
        <v>17.956679813915841</v>
      </c>
    </row>
    <row r="465" spans="1:20" x14ac:dyDescent="0.3">
      <c r="A465" t="s">
        <v>292</v>
      </c>
      <c r="B465" t="s">
        <v>346</v>
      </c>
      <c r="C465" t="s">
        <v>580</v>
      </c>
      <c r="D465" t="s">
        <v>581</v>
      </c>
      <c r="E465" s="2">
        <v>0</v>
      </c>
      <c r="F465" s="2">
        <v>0</v>
      </c>
      <c r="G465" s="2">
        <v>0</v>
      </c>
      <c r="H465" s="2">
        <v>0</v>
      </c>
      <c r="I465" s="1">
        <v>0</v>
      </c>
      <c r="J465" s="1">
        <v>0</v>
      </c>
      <c r="K465" s="1">
        <v>0</v>
      </c>
      <c r="L465" s="1">
        <v>0</v>
      </c>
      <c r="M465" s="2"/>
      <c r="N465" s="2"/>
      <c r="Q465" s="1">
        <f t="shared" si="29"/>
        <v>0</v>
      </c>
      <c r="R465">
        <f t="shared" si="28"/>
        <v>0</v>
      </c>
      <c r="S465" s="1">
        <f t="shared" si="30"/>
        <v>0</v>
      </c>
      <c r="T465" s="1">
        <f t="shared" si="31"/>
        <v>0</v>
      </c>
    </row>
    <row r="466" spans="1:20" x14ac:dyDescent="0.3">
      <c r="A466" t="s">
        <v>292</v>
      </c>
      <c r="B466" t="s">
        <v>347</v>
      </c>
      <c r="C466" t="s">
        <v>34</v>
      </c>
      <c r="D466" t="s">
        <v>35</v>
      </c>
      <c r="E466" s="2">
        <v>3</v>
      </c>
      <c r="F466" s="2">
        <v>0</v>
      </c>
      <c r="G466" s="2">
        <v>3</v>
      </c>
      <c r="H466" s="2">
        <v>-3</v>
      </c>
      <c r="I466" s="1">
        <v>1</v>
      </c>
      <c r="J466" s="1">
        <v>1</v>
      </c>
      <c r="K466" s="1">
        <v>0.81837075242718404</v>
      </c>
      <c r="L466" s="1">
        <v>0.68162924757281496</v>
      </c>
      <c r="M466" s="2"/>
      <c r="N466" s="2"/>
      <c r="Q466" s="1">
        <f t="shared" si="29"/>
        <v>3</v>
      </c>
      <c r="R466">
        <f t="shared" si="28"/>
        <v>3</v>
      </c>
      <c r="S466" s="1">
        <f t="shared" si="30"/>
        <v>2.4551122572815522</v>
      </c>
      <c r="T466" s="1">
        <f t="shared" si="31"/>
        <v>2.0448877427184451</v>
      </c>
    </row>
    <row r="467" spans="1:20" x14ac:dyDescent="0.3">
      <c r="A467" t="s">
        <v>292</v>
      </c>
      <c r="B467" t="s">
        <v>348</v>
      </c>
      <c r="C467" t="s">
        <v>34</v>
      </c>
      <c r="D467" t="s">
        <v>35</v>
      </c>
      <c r="E467" s="2">
        <v>1126.22</v>
      </c>
      <c r="F467" s="2">
        <v>0</v>
      </c>
      <c r="G467" s="2">
        <v>450.21499999999997</v>
      </c>
      <c r="H467" s="2">
        <v>-491.69399999999899</v>
      </c>
      <c r="I467" s="1">
        <v>0.69987879810339004</v>
      </c>
      <c r="J467" s="1">
        <v>0.71829393901724303</v>
      </c>
      <c r="K467" s="1">
        <v>0.60266593968086002</v>
      </c>
      <c r="L467" s="1">
        <v>0.315506797439773</v>
      </c>
      <c r="M467" s="2"/>
      <c r="N467" s="2"/>
      <c r="Q467" s="1">
        <f t="shared" si="29"/>
        <v>788.21749999999997</v>
      </c>
      <c r="R467">
        <f t="shared" si="28"/>
        <v>808.95699999999943</v>
      </c>
      <c r="S467" s="1">
        <f t="shared" si="30"/>
        <v>678.73443458737813</v>
      </c>
      <c r="T467" s="1">
        <f t="shared" si="31"/>
        <v>355.33006541262114</v>
      </c>
    </row>
    <row r="468" spans="1:20" x14ac:dyDescent="0.3">
      <c r="A468" t="s">
        <v>292</v>
      </c>
      <c r="B468" t="s">
        <v>349</v>
      </c>
      <c r="C468" t="s">
        <v>574</v>
      </c>
      <c r="D468" t="s">
        <v>575</v>
      </c>
      <c r="E468" s="2">
        <v>618</v>
      </c>
      <c r="F468" s="2">
        <v>8.3940000000000001</v>
      </c>
      <c r="G468" s="2">
        <v>257.85599999999999</v>
      </c>
      <c r="H468" s="2">
        <v>-473.10599999999999</v>
      </c>
      <c r="I468" s="1">
        <v>0.70183009708737798</v>
      </c>
      <c r="J468" s="1">
        <v>0.87598058252427102</v>
      </c>
      <c r="K468" s="1">
        <v>0.419231211117918</v>
      </c>
      <c r="L468" s="1">
        <v>0.66537073062965402</v>
      </c>
      <c r="M468" s="2"/>
      <c r="N468" s="2"/>
      <c r="Q468" s="1">
        <f t="shared" si="29"/>
        <v>433.7309999999996</v>
      </c>
      <c r="R468">
        <f t="shared" si="28"/>
        <v>541.35599999999954</v>
      </c>
      <c r="S468" s="1">
        <f t="shared" si="30"/>
        <v>259.08488847087335</v>
      </c>
      <c r="T468" s="1">
        <f t="shared" si="31"/>
        <v>411.19911152912618</v>
      </c>
    </row>
    <row r="469" spans="1:20" x14ac:dyDescent="0.3">
      <c r="A469" t="s">
        <v>292</v>
      </c>
      <c r="B469" t="s">
        <v>350</v>
      </c>
      <c r="C469" t="s">
        <v>576</v>
      </c>
      <c r="D469" t="s">
        <v>591</v>
      </c>
      <c r="E469" s="2">
        <v>28</v>
      </c>
      <c r="F469" s="2">
        <v>0</v>
      </c>
      <c r="G469" s="2">
        <v>17.984999999999999</v>
      </c>
      <c r="H469" s="2">
        <v>-9.9920000000000009</v>
      </c>
      <c r="I469" s="1">
        <v>0.82116071428571402</v>
      </c>
      <c r="J469" s="1">
        <v>0.67842857142857105</v>
      </c>
      <c r="K469" s="1">
        <v>0.65643041493296295</v>
      </c>
      <c r="L469" s="1">
        <v>0.34315887078132201</v>
      </c>
      <c r="M469" s="2"/>
      <c r="N469" s="2"/>
      <c r="Q469" s="1">
        <f t="shared" si="29"/>
        <v>22.992499999999993</v>
      </c>
      <c r="R469">
        <f t="shared" si="28"/>
        <v>18.995999999999988</v>
      </c>
      <c r="S469" s="1">
        <f t="shared" si="30"/>
        <v>18.380051618122963</v>
      </c>
      <c r="T469" s="1">
        <f t="shared" si="31"/>
        <v>9.6084483818770163</v>
      </c>
    </row>
    <row r="470" spans="1:20" x14ac:dyDescent="0.3">
      <c r="A470" t="s">
        <v>292</v>
      </c>
      <c r="B470" t="s">
        <v>351</v>
      </c>
      <c r="C470" t="s">
        <v>576</v>
      </c>
      <c r="D470" t="s">
        <v>595</v>
      </c>
      <c r="E470" s="2">
        <v>347.46899999999999</v>
      </c>
      <c r="F470" s="2">
        <v>0</v>
      </c>
      <c r="G470" s="2">
        <v>99.525999999999996</v>
      </c>
      <c r="H470" s="2">
        <v>-257.803</v>
      </c>
      <c r="I470" s="1">
        <v>0.64321565377055201</v>
      </c>
      <c r="J470" s="1">
        <v>0.87097266230944304</v>
      </c>
      <c r="K470" s="1">
        <v>0.307842809026729</v>
      </c>
      <c r="L470" s="1">
        <v>0.70634550705326604</v>
      </c>
      <c r="M470" s="2"/>
      <c r="N470" s="2"/>
      <c r="Q470" s="1">
        <f t="shared" si="29"/>
        <v>223.49749999999995</v>
      </c>
      <c r="R470">
        <f t="shared" si="28"/>
        <v>302.63599999999985</v>
      </c>
      <c r="S470" s="1">
        <f t="shared" si="30"/>
        <v>106.9658330097085</v>
      </c>
      <c r="T470" s="1">
        <f t="shared" si="31"/>
        <v>245.43316699029128</v>
      </c>
    </row>
    <row r="471" spans="1:20" x14ac:dyDescent="0.3">
      <c r="A471" t="s">
        <v>292</v>
      </c>
      <c r="B471" t="s">
        <v>352</v>
      </c>
      <c r="C471" t="s">
        <v>574</v>
      </c>
      <c r="D471" t="s">
        <v>575</v>
      </c>
      <c r="E471" s="2">
        <v>226.97800000000001</v>
      </c>
      <c r="F471" s="2">
        <v>0</v>
      </c>
      <c r="G471" s="2">
        <v>218.07</v>
      </c>
      <c r="H471" s="2">
        <v>-211.41200000000001</v>
      </c>
      <c r="I471" s="1">
        <v>0.98037695283243298</v>
      </c>
      <c r="J471" s="1">
        <v>0.96571033316004096</v>
      </c>
      <c r="K471" s="1">
        <v>0.64201491192807902</v>
      </c>
      <c r="L471" s="1">
        <v>0.80407237406439502</v>
      </c>
      <c r="M471" s="2"/>
      <c r="N471" s="2"/>
      <c r="Q471" s="1">
        <f t="shared" si="29"/>
        <v>222.52399999999997</v>
      </c>
      <c r="R471">
        <f t="shared" si="28"/>
        <v>219.19499999999979</v>
      </c>
      <c r="S471" s="1">
        <f t="shared" si="30"/>
        <v>145.72326067961151</v>
      </c>
      <c r="T471" s="1">
        <f t="shared" si="31"/>
        <v>182.50673932038825</v>
      </c>
    </row>
    <row r="472" spans="1:20" x14ac:dyDescent="0.3">
      <c r="A472" t="s">
        <v>292</v>
      </c>
      <c r="B472" t="s">
        <v>353</v>
      </c>
      <c r="C472" t="s">
        <v>574</v>
      </c>
      <c r="D472" t="s">
        <v>575</v>
      </c>
      <c r="E472" s="2">
        <v>158.75200000000001</v>
      </c>
      <c r="F472" s="2">
        <v>0</v>
      </c>
      <c r="G472" s="2">
        <v>153.21599999999901</v>
      </c>
      <c r="H472" s="2">
        <v>-145.648</v>
      </c>
      <c r="I472" s="1">
        <v>0.98256399919370996</v>
      </c>
      <c r="J472" s="1">
        <v>0.95872807901632695</v>
      </c>
      <c r="K472" s="1">
        <v>0.70165885941084705</v>
      </c>
      <c r="L472" s="1">
        <v>0.73963321879918997</v>
      </c>
      <c r="M472" s="2"/>
      <c r="N472" s="2"/>
      <c r="Q472" s="1">
        <f t="shared" si="29"/>
        <v>155.98399999999987</v>
      </c>
      <c r="R472">
        <f t="shared" si="28"/>
        <v>152.19999999999993</v>
      </c>
      <c r="S472" s="1">
        <f t="shared" si="30"/>
        <v>111.38974724919079</v>
      </c>
      <c r="T472" s="1">
        <f t="shared" si="31"/>
        <v>117.41825275080902</v>
      </c>
    </row>
    <row r="473" spans="1:20" x14ac:dyDescent="0.3">
      <c r="A473" t="s">
        <v>292</v>
      </c>
      <c r="B473" t="s">
        <v>719</v>
      </c>
      <c r="C473" t="s">
        <v>574</v>
      </c>
      <c r="D473" t="s">
        <v>575</v>
      </c>
      <c r="E473" s="2">
        <v>77.637</v>
      </c>
      <c r="F473" s="2">
        <v>0</v>
      </c>
      <c r="G473" s="2">
        <v>63.436999999999998</v>
      </c>
      <c r="H473" s="2">
        <v>-54.526000000000003</v>
      </c>
      <c r="I473" s="1">
        <v>0.90854875896801701</v>
      </c>
      <c r="J473" s="1">
        <v>0.85115988510632801</v>
      </c>
      <c r="K473" s="1">
        <v>0.64208656121115903</v>
      </c>
      <c r="L473" s="1">
        <v>0.61762208286318598</v>
      </c>
      <c r="M473" s="2"/>
      <c r="N473" s="2"/>
      <c r="Q473" s="1">
        <f t="shared" si="29"/>
        <v>70.536999999999935</v>
      </c>
      <c r="R473">
        <f t="shared" si="28"/>
        <v>66.081499999999991</v>
      </c>
      <c r="S473" s="1">
        <f t="shared" si="30"/>
        <v>49.849674352750753</v>
      </c>
      <c r="T473" s="1">
        <f t="shared" si="31"/>
        <v>47.950325647249173</v>
      </c>
    </row>
    <row r="474" spans="1:20" x14ac:dyDescent="0.3">
      <c r="A474" t="s">
        <v>292</v>
      </c>
      <c r="B474" t="s">
        <v>720</v>
      </c>
      <c r="C474" t="s">
        <v>574</v>
      </c>
      <c r="D474" t="s">
        <v>575</v>
      </c>
      <c r="E474" s="2">
        <v>0</v>
      </c>
      <c r="F474" s="2">
        <v>0</v>
      </c>
      <c r="G474" s="2">
        <v>0</v>
      </c>
      <c r="H474" s="2">
        <v>0</v>
      </c>
      <c r="I474" s="1">
        <v>0</v>
      </c>
      <c r="J474" s="1">
        <v>0</v>
      </c>
      <c r="K474" s="1">
        <v>0</v>
      </c>
      <c r="L474" s="1">
        <v>0</v>
      </c>
      <c r="M474" s="2"/>
      <c r="N474" s="2"/>
      <c r="Q474" s="1">
        <f t="shared" si="29"/>
        <v>0</v>
      </c>
      <c r="R474">
        <f t="shared" si="28"/>
        <v>0</v>
      </c>
      <c r="S474" s="1">
        <f t="shared" si="30"/>
        <v>0</v>
      </c>
      <c r="T474" s="1">
        <f t="shared" si="31"/>
        <v>0</v>
      </c>
    </row>
    <row r="475" spans="1:20" x14ac:dyDescent="0.3">
      <c r="A475" t="s">
        <v>292</v>
      </c>
      <c r="B475" t="s">
        <v>354</v>
      </c>
      <c r="C475" t="s">
        <v>576</v>
      </c>
      <c r="D475" t="s">
        <v>598</v>
      </c>
      <c r="E475" s="2">
        <v>0</v>
      </c>
      <c r="F475" s="2">
        <v>0</v>
      </c>
      <c r="G475" s="2">
        <v>0</v>
      </c>
      <c r="H475" s="2">
        <v>0</v>
      </c>
      <c r="I475" s="1">
        <v>0</v>
      </c>
      <c r="J475" s="1">
        <v>0</v>
      </c>
      <c r="K475" s="1">
        <v>0</v>
      </c>
      <c r="L475" s="1">
        <v>0</v>
      </c>
      <c r="M475" s="2"/>
      <c r="N475" s="2"/>
      <c r="Q475" s="1">
        <f t="shared" si="29"/>
        <v>0</v>
      </c>
      <c r="R475">
        <f t="shared" si="28"/>
        <v>0</v>
      </c>
      <c r="S475" s="1">
        <f t="shared" si="30"/>
        <v>0</v>
      </c>
      <c r="T475" s="1">
        <f t="shared" si="31"/>
        <v>0</v>
      </c>
    </row>
    <row r="476" spans="1:20" x14ac:dyDescent="0.3">
      <c r="A476" t="s">
        <v>292</v>
      </c>
      <c r="B476" t="s">
        <v>355</v>
      </c>
      <c r="C476" t="s">
        <v>574</v>
      </c>
      <c r="D476" t="s">
        <v>575</v>
      </c>
      <c r="E476" s="2">
        <v>122.598</v>
      </c>
      <c r="F476" s="2">
        <v>0</v>
      </c>
      <c r="G476" s="2">
        <v>120.72</v>
      </c>
      <c r="H476" s="2">
        <v>-118.938</v>
      </c>
      <c r="I476" s="1">
        <v>0.99234082122057399</v>
      </c>
      <c r="J476" s="1">
        <v>0.98507316595702998</v>
      </c>
      <c r="K476" s="1">
        <v>0.69393759742882599</v>
      </c>
      <c r="L476" s="1">
        <v>0.78347638974877798</v>
      </c>
      <c r="M476" s="2"/>
      <c r="N476" s="2"/>
      <c r="Q476" s="1">
        <f t="shared" si="29"/>
        <v>121.65899999999993</v>
      </c>
      <c r="R476">
        <f t="shared" si="28"/>
        <v>120.76799999999996</v>
      </c>
      <c r="S476" s="1">
        <f t="shared" si="30"/>
        <v>85.075361569579215</v>
      </c>
      <c r="T476" s="1">
        <f t="shared" si="31"/>
        <v>96.052638430420686</v>
      </c>
    </row>
    <row r="477" spans="1:20" x14ac:dyDescent="0.3">
      <c r="A477" t="s">
        <v>292</v>
      </c>
      <c r="B477" t="s">
        <v>721</v>
      </c>
      <c r="C477" t="s">
        <v>574</v>
      </c>
      <c r="D477" t="s">
        <v>575</v>
      </c>
      <c r="E477" s="2">
        <v>1099.386</v>
      </c>
      <c r="F477" s="2">
        <v>0</v>
      </c>
      <c r="G477" s="2">
        <v>611.73400000000004</v>
      </c>
      <c r="H477" s="2">
        <v>-563.71199999999999</v>
      </c>
      <c r="I477" s="1">
        <v>0.77821620431768201</v>
      </c>
      <c r="J477" s="1">
        <v>0.756375831600548</v>
      </c>
      <c r="K477" s="1">
        <v>0.48862460898076898</v>
      </c>
      <c r="L477" s="1">
        <v>0.54596742693746103</v>
      </c>
      <c r="M477" s="2"/>
      <c r="N477" s="2"/>
      <c r="Q477" s="1">
        <f t="shared" si="29"/>
        <v>855.55999999999915</v>
      </c>
      <c r="R477">
        <f t="shared" si="28"/>
        <v>831.54900000000009</v>
      </c>
      <c r="S477" s="1">
        <f t="shared" si="30"/>
        <v>537.18705436893163</v>
      </c>
      <c r="T477" s="1">
        <f t="shared" si="31"/>
        <v>600.22894563106752</v>
      </c>
    </row>
    <row r="478" spans="1:20" x14ac:dyDescent="0.3">
      <c r="A478" t="s">
        <v>292</v>
      </c>
      <c r="B478" t="s">
        <v>722</v>
      </c>
      <c r="C478" t="s">
        <v>574</v>
      </c>
      <c r="D478" t="s">
        <v>575</v>
      </c>
      <c r="E478" s="2">
        <v>192.047</v>
      </c>
      <c r="F478" s="2">
        <v>0</v>
      </c>
      <c r="G478" s="2">
        <v>166.363</v>
      </c>
      <c r="H478" s="2">
        <v>-171.21600000000001</v>
      </c>
      <c r="I478" s="1">
        <v>0.93313095231896304</v>
      </c>
      <c r="J478" s="1">
        <v>0.94576588022723596</v>
      </c>
      <c r="K478" s="1">
        <v>0.61306832686402601</v>
      </c>
      <c r="L478" s="1">
        <v>0.76582850568217298</v>
      </c>
      <c r="M478" s="2"/>
      <c r="N478" s="2"/>
      <c r="Q478" s="1">
        <f t="shared" si="29"/>
        <v>179.2049999999999</v>
      </c>
      <c r="R478">
        <f t="shared" si="28"/>
        <v>181.63149999999999</v>
      </c>
      <c r="S478" s="1">
        <f t="shared" si="30"/>
        <v>117.7379329692556</v>
      </c>
      <c r="T478" s="1">
        <f t="shared" si="31"/>
        <v>147.07506703074426</v>
      </c>
    </row>
    <row r="479" spans="1:20" x14ac:dyDescent="0.3">
      <c r="A479" t="s">
        <v>292</v>
      </c>
      <c r="B479" t="s">
        <v>356</v>
      </c>
      <c r="C479" t="s">
        <v>574</v>
      </c>
      <c r="D479" t="s">
        <v>575</v>
      </c>
      <c r="E479" s="2">
        <v>1421.5260000000001</v>
      </c>
      <c r="F479" s="2">
        <v>0</v>
      </c>
      <c r="G479" s="2">
        <v>1145.578</v>
      </c>
      <c r="H479" s="2">
        <v>-977.81099999999901</v>
      </c>
      <c r="I479" s="1">
        <v>0.90293951711048503</v>
      </c>
      <c r="J479" s="1">
        <v>0.84393004419194495</v>
      </c>
      <c r="K479" s="1">
        <v>0.59166126125014196</v>
      </c>
      <c r="L479" s="1">
        <v>0.65520830005228803</v>
      </c>
      <c r="M479" s="2"/>
      <c r="N479" s="2"/>
      <c r="Q479" s="1">
        <f t="shared" si="29"/>
        <v>1283.5519999999995</v>
      </c>
      <c r="R479">
        <f t="shared" si="28"/>
        <v>1199.6684999999989</v>
      </c>
      <c r="S479" s="1">
        <f t="shared" si="30"/>
        <v>841.06186605986932</v>
      </c>
      <c r="T479" s="1">
        <f t="shared" si="31"/>
        <v>931.39563394012885</v>
      </c>
    </row>
    <row r="480" spans="1:20" x14ac:dyDescent="0.3">
      <c r="A480" t="s">
        <v>292</v>
      </c>
      <c r="B480" t="s">
        <v>357</v>
      </c>
      <c r="C480" t="s">
        <v>574</v>
      </c>
      <c r="D480" t="s">
        <v>575</v>
      </c>
      <c r="E480" s="2">
        <v>121.19</v>
      </c>
      <c r="F480" s="2">
        <v>0</v>
      </c>
      <c r="G480" s="2">
        <v>112.06</v>
      </c>
      <c r="H480" s="2">
        <v>-118.261</v>
      </c>
      <c r="I480" s="1">
        <v>0.96233187556729105</v>
      </c>
      <c r="J480" s="1">
        <v>0.98791566960970301</v>
      </c>
      <c r="K480" s="1">
        <v>0.706745146432185</v>
      </c>
      <c r="L480" s="1">
        <v>0.74350239874480895</v>
      </c>
      <c r="M480" s="2"/>
      <c r="N480" s="2"/>
      <c r="Q480" s="1">
        <f t="shared" si="29"/>
        <v>116.625</v>
      </c>
      <c r="R480">
        <f t="shared" si="28"/>
        <v>119.72549999999991</v>
      </c>
      <c r="S480" s="1">
        <f t="shared" si="30"/>
        <v>85.650444296116504</v>
      </c>
      <c r="T480" s="1">
        <f t="shared" si="31"/>
        <v>90.105055703883394</v>
      </c>
    </row>
    <row r="481" spans="1:20" x14ac:dyDescent="0.3">
      <c r="A481" t="s">
        <v>292</v>
      </c>
      <c r="B481" t="s">
        <v>723</v>
      </c>
      <c r="C481" t="s">
        <v>574</v>
      </c>
      <c r="D481" t="s">
        <v>575</v>
      </c>
      <c r="E481" s="2">
        <v>50.994</v>
      </c>
      <c r="F481" s="2">
        <v>0</v>
      </c>
      <c r="G481" s="2">
        <v>50.994</v>
      </c>
      <c r="H481" s="2">
        <v>-50.994</v>
      </c>
      <c r="I481" s="1">
        <v>1</v>
      </c>
      <c r="J481" s="1">
        <v>1</v>
      </c>
      <c r="K481" s="1">
        <v>0.84106699262458795</v>
      </c>
      <c r="L481" s="1">
        <v>0.65893300737541105</v>
      </c>
      <c r="M481" s="2"/>
      <c r="N481" s="2"/>
      <c r="Q481" s="1">
        <f t="shared" si="29"/>
        <v>50.994</v>
      </c>
      <c r="R481">
        <f t="shared" si="28"/>
        <v>50.994</v>
      </c>
      <c r="S481" s="1">
        <f t="shared" si="30"/>
        <v>42.88937022189824</v>
      </c>
      <c r="T481" s="1">
        <f t="shared" si="31"/>
        <v>33.60162977810171</v>
      </c>
    </row>
    <row r="482" spans="1:20" x14ac:dyDescent="0.3">
      <c r="A482" t="s">
        <v>292</v>
      </c>
      <c r="B482" t="s">
        <v>724</v>
      </c>
      <c r="C482" t="s">
        <v>574</v>
      </c>
      <c r="D482" t="s">
        <v>575</v>
      </c>
      <c r="E482" s="2">
        <v>142.078</v>
      </c>
      <c r="F482" s="2">
        <v>0</v>
      </c>
      <c r="G482" s="2">
        <v>126.58</v>
      </c>
      <c r="H482" s="2">
        <v>-123.51499999999901</v>
      </c>
      <c r="I482" s="1">
        <v>0.94545953631103996</v>
      </c>
      <c r="J482" s="1">
        <v>0.934673207674657</v>
      </c>
      <c r="K482" s="1">
        <v>0.62800846671305099</v>
      </c>
      <c r="L482" s="1">
        <v>0.75212427727264597</v>
      </c>
      <c r="M482" s="2"/>
      <c r="N482" s="2"/>
      <c r="Q482" s="1">
        <f t="shared" si="29"/>
        <v>134.32899999999995</v>
      </c>
      <c r="R482">
        <f t="shared" si="28"/>
        <v>132.79649999999992</v>
      </c>
      <c r="S482" s="1">
        <f t="shared" si="30"/>
        <v>89.226186933656862</v>
      </c>
      <c r="T482" s="1">
        <f t="shared" si="31"/>
        <v>106.860313066343</v>
      </c>
    </row>
    <row r="483" spans="1:20" x14ac:dyDescent="0.3">
      <c r="A483" t="s">
        <v>292</v>
      </c>
      <c r="B483" t="s">
        <v>725</v>
      </c>
      <c r="C483" t="s">
        <v>576</v>
      </c>
      <c r="D483" t="s">
        <v>14</v>
      </c>
      <c r="E483" s="2">
        <v>8.1859999999999999</v>
      </c>
      <c r="F483" s="2">
        <v>0</v>
      </c>
      <c r="G483" s="2">
        <v>6.2320000000000002</v>
      </c>
      <c r="H483" s="2">
        <v>-7.2229999999999999</v>
      </c>
      <c r="I483" s="1">
        <v>0.88064989005619299</v>
      </c>
      <c r="J483" s="1">
        <v>0.94118006352308803</v>
      </c>
      <c r="K483" s="1">
        <v>0.73893428040770504</v>
      </c>
      <c r="L483" s="1">
        <v>0.58289567317157598</v>
      </c>
      <c r="M483" s="2"/>
      <c r="N483" s="2"/>
      <c r="Q483" s="1">
        <f t="shared" si="29"/>
        <v>7.2089999999999961</v>
      </c>
      <c r="R483">
        <f t="shared" si="28"/>
        <v>7.7044999999999986</v>
      </c>
      <c r="S483" s="1">
        <f t="shared" si="30"/>
        <v>6.0489160194174731</v>
      </c>
      <c r="T483" s="1">
        <f t="shared" si="31"/>
        <v>4.7715839805825206</v>
      </c>
    </row>
    <row r="484" spans="1:20" x14ac:dyDescent="0.3">
      <c r="A484" t="s">
        <v>292</v>
      </c>
      <c r="B484" t="s">
        <v>358</v>
      </c>
      <c r="C484" t="s">
        <v>576</v>
      </c>
      <c r="D484" t="s">
        <v>577</v>
      </c>
      <c r="E484" s="2">
        <v>0.2</v>
      </c>
      <c r="F484" s="2">
        <v>0</v>
      </c>
      <c r="G484" s="2">
        <v>0.1</v>
      </c>
      <c r="H484" s="2">
        <v>-0.1</v>
      </c>
      <c r="I484" s="1">
        <v>0.75</v>
      </c>
      <c r="J484" s="1">
        <v>0.75</v>
      </c>
      <c r="K484" s="1">
        <v>0.74863309061488603</v>
      </c>
      <c r="L484" s="1">
        <v>0.25136690938511302</v>
      </c>
      <c r="M484" s="2"/>
      <c r="N484" s="2"/>
      <c r="Q484" s="1">
        <f t="shared" si="29"/>
        <v>0.15000000000000002</v>
      </c>
      <c r="R484">
        <f t="shared" si="28"/>
        <v>0.15000000000000002</v>
      </c>
      <c r="S484" s="1">
        <f t="shared" si="30"/>
        <v>0.14972661812297722</v>
      </c>
      <c r="T484" s="1">
        <f t="shared" si="31"/>
        <v>5.0273381877022606E-2</v>
      </c>
    </row>
    <row r="485" spans="1:20" x14ac:dyDescent="0.3">
      <c r="A485" t="s">
        <v>292</v>
      </c>
      <c r="B485" t="s">
        <v>726</v>
      </c>
      <c r="C485" t="s">
        <v>580</v>
      </c>
      <c r="D485" t="s">
        <v>581</v>
      </c>
      <c r="E485" s="2">
        <v>30.155000000000001</v>
      </c>
      <c r="F485" s="2">
        <v>0</v>
      </c>
      <c r="G485" s="2">
        <v>25.413</v>
      </c>
      <c r="H485" s="2">
        <v>-22.966999999999999</v>
      </c>
      <c r="I485" s="1">
        <v>0.92137290664897997</v>
      </c>
      <c r="J485" s="1">
        <v>0.88081578511026304</v>
      </c>
      <c r="K485" s="1">
        <v>0.76856321760440505</v>
      </c>
      <c r="L485" s="1">
        <v>0.53362547415483796</v>
      </c>
      <c r="M485" s="2"/>
      <c r="N485" s="2"/>
      <c r="Q485" s="1">
        <f t="shared" si="29"/>
        <v>27.783999999999992</v>
      </c>
      <c r="R485">
        <f t="shared" si="28"/>
        <v>26.560999999999982</v>
      </c>
      <c r="S485" s="1">
        <f t="shared" si="30"/>
        <v>23.176023826860835</v>
      </c>
      <c r="T485" s="1">
        <f t="shared" si="31"/>
        <v>16.091476173139139</v>
      </c>
    </row>
    <row r="486" spans="1:20" x14ac:dyDescent="0.3">
      <c r="A486" t="s">
        <v>359</v>
      </c>
      <c r="B486" t="s">
        <v>727</v>
      </c>
      <c r="C486" t="s">
        <v>574</v>
      </c>
      <c r="D486" t="s">
        <v>575</v>
      </c>
      <c r="E486" s="2">
        <v>315.86099999999999</v>
      </c>
      <c r="F486" s="2">
        <v>0</v>
      </c>
      <c r="G486" s="2">
        <v>163.483</v>
      </c>
      <c r="H486" s="2">
        <v>-255.46799999999999</v>
      </c>
      <c r="I486" s="1">
        <v>0.75878946751894005</v>
      </c>
      <c r="J486" s="1">
        <v>0.90439940353509896</v>
      </c>
      <c r="K486" s="1">
        <v>0.58096627001929002</v>
      </c>
      <c r="L486" s="1">
        <v>0.58222260103474899</v>
      </c>
      <c r="M486" s="2"/>
      <c r="N486" s="2"/>
      <c r="Q486" s="1">
        <f t="shared" si="29"/>
        <v>239.67199999999991</v>
      </c>
      <c r="R486">
        <f t="shared" si="28"/>
        <v>285.66449999999986</v>
      </c>
      <c r="S486" s="1">
        <f t="shared" si="30"/>
        <v>183.50458701456296</v>
      </c>
      <c r="T486" s="1">
        <f t="shared" si="31"/>
        <v>183.90141298543685</v>
      </c>
    </row>
    <row r="487" spans="1:20" x14ac:dyDescent="0.3">
      <c r="A487" t="s">
        <v>359</v>
      </c>
      <c r="B487" t="s">
        <v>360</v>
      </c>
      <c r="C487" t="s">
        <v>576</v>
      </c>
      <c r="D487" t="s">
        <v>14</v>
      </c>
      <c r="E487" s="2">
        <v>1</v>
      </c>
      <c r="F487" s="2">
        <v>0</v>
      </c>
      <c r="G487" s="2">
        <v>1</v>
      </c>
      <c r="H487" s="2">
        <v>-1</v>
      </c>
      <c r="I487" s="1">
        <v>1</v>
      </c>
      <c r="J487" s="1">
        <v>1</v>
      </c>
      <c r="K487" s="1">
        <v>0.99995954692556599</v>
      </c>
      <c r="L487" s="1">
        <v>0.50004045307443301</v>
      </c>
      <c r="M487" s="2"/>
      <c r="N487" s="2"/>
      <c r="Q487" s="1">
        <f t="shared" si="29"/>
        <v>1</v>
      </c>
      <c r="R487">
        <f t="shared" si="28"/>
        <v>1</v>
      </c>
      <c r="S487" s="1">
        <f t="shared" si="30"/>
        <v>0.99995954692556599</v>
      </c>
      <c r="T487" s="1">
        <f t="shared" si="31"/>
        <v>0.50004045307443301</v>
      </c>
    </row>
    <row r="488" spans="1:20" x14ac:dyDescent="0.3">
      <c r="A488" t="s">
        <v>359</v>
      </c>
      <c r="B488" t="s">
        <v>361</v>
      </c>
      <c r="C488" t="s">
        <v>574</v>
      </c>
      <c r="D488" t="s">
        <v>575</v>
      </c>
      <c r="E488" s="2">
        <v>245.01300000000001</v>
      </c>
      <c r="F488" s="2">
        <v>0</v>
      </c>
      <c r="G488" s="2">
        <v>166.17500000000001</v>
      </c>
      <c r="H488" s="2">
        <v>-174.11</v>
      </c>
      <c r="I488" s="1">
        <v>0.839114659222163</v>
      </c>
      <c r="J488" s="1">
        <v>0.85530767755180304</v>
      </c>
      <c r="K488" s="1">
        <v>0.56869673628175599</v>
      </c>
      <c r="L488" s="1">
        <v>0.62572560049221004</v>
      </c>
      <c r="M488" s="2"/>
      <c r="N488" s="2"/>
      <c r="Q488" s="1">
        <f t="shared" si="29"/>
        <v>205.59399999999982</v>
      </c>
      <c r="R488">
        <f t="shared" si="28"/>
        <v>209.56149999999991</v>
      </c>
      <c r="S488" s="1">
        <f t="shared" si="30"/>
        <v>139.33809344660187</v>
      </c>
      <c r="T488" s="1">
        <f t="shared" si="31"/>
        <v>153.31090655339787</v>
      </c>
    </row>
    <row r="489" spans="1:20" x14ac:dyDescent="0.3">
      <c r="A489" t="s">
        <v>359</v>
      </c>
      <c r="B489" t="s">
        <v>362</v>
      </c>
      <c r="C489" t="s">
        <v>574</v>
      </c>
      <c r="D489" t="s">
        <v>575</v>
      </c>
      <c r="E489" s="2">
        <v>211.64099999999999</v>
      </c>
      <c r="F489" s="2">
        <v>21.594000000000001</v>
      </c>
      <c r="G489" s="2">
        <v>147.99799999999999</v>
      </c>
      <c r="H489" s="2">
        <v>-154.33099999999999</v>
      </c>
      <c r="I489" s="1">
        <v>0.79862833760944196</v>
      </c>
      <c r="J489" s="1">
        <v>0.81358999437727098</v>
      </c>
      <c r="K489" s="1">
        <v>0.59665179337012797</v>
      </c>
      <c r="L489" s="1">
        <v>0.56658217358334495</v>
      </c>
      <c r="M489" s="2"/>
      <c r="N489" s="2"/>
      <c r="Q489" s="1">
        <f t="shared" si="29"/>
        <v>169.02249999999989</v>
      </c>
      <c r="R489">
        <f t="shared" si="28"/>
        <v>172.18899999999999</v>
      </c>
      <c r="S489" s="1">
        <f t="shared" si="30"/>
        <v>126.27598220064725</v>
      </c>
      <c r="T489" s="1">
        <f t="shared" si="31"/>
        <v>119.9120177993527</v>
      </c>
    </row>
    <row r="490" spans="1:20" x14ac:dyDescent="0.3">
      <c r="A490" t="s">
        <v>359</v>
      </c>
      <c r="B490" t="s">
        <v>363</v>
      </c>
      <c r="C490" t="s">
        <v>576</v>
      </c>
      <c r="D490" t="s">
        <v>14</v>
      </c>
      <c r="E490" s="2">
        <v>38.283999999999999</v>
      </c>
      <c r="F490" s="2">
        <v>0</v>
      </c>
      <c r="G490" s="2">
        <v>19.599</v>
      </c>
      <c r="H490" s="2">
        <v>-30.2119999999999</v>
      </c>
      <c r="I490" s="1">
        <v>0.75596855083063397</v>
      </c>
      <c r="J490" s="1">
        <v>0.894577369135931</v>
      </c>
      <c r="K490" s="1">
        <v>0.47301595435717703</v>
      </c>
      <c r="L490" s="1">
        <v>0.67752996560938805</v>
      </c>
      <c r="M490" s="2"/>
      <c r="N490" s="2"/>
      <c r="Q490" s="1">
        <f t="shared" si="29"/>
        <v>28.941499999999991</v>
      </c>
      <c r="R490">
        <f t="shared" si="28"/>
        <v>34.247999999999983</v>
      </c>
      <c r="S490" s="1">
        <f t="shared" si="30"/>
        <v>18.108942796610165</v>
      </c>
      <c r="T490" s="1">
        <f t="shared" si="31"/>
        <v>25.938557203389813</v>
      </c>
    </row>
    <row r="491" spans="1:20" x14ac:dyDescent="0.3">
      <c r="A491" t="s">
        <v>359</v>
      </c>
      <c r="B491" t="s">
        <v>364</v>
      </c>
      <c r="C491" t="s">
        <v>576</v>
      </c>
      <c r="D491" t="s">
        <v>14</v>
      </c>
      <c r="E491" s="2">
        <v>38.283999999999999</v>
      </c>
      <c r="F491" s="2">
        <v>0</v>
      </c>
      <c r="G491" s="2">
        <v>19.599</v>
      </c>
      <c r="H491" s="2">
        <v>-30.2119999999999</v>
      </c>
      <c r="I491" s="1">
        <v>0.75596855083063397</v>
      </c>
      <c r="J491" s="1">
        <v>0.894577369135931</v>
      </c>
      <c r="K491" s="1">
        <v>0.47301594513381101</v>
      </c>
      <c r="L491" s="1">
        <v>0.67752997483275401</v>
      </c>
      <c r="M491" s="2"/>
      <c r="N491" s="2"/>
      <c r="Q491" s="1">
        <f t="shared" si="29"/>
        <v>28.941499999999991</v>
      </c>
      <c r="R491">
        <f t="shared" si="28"/>
        <v>34.247999999999983</v>
      </c>
      <c r="S491" s="1">
        <f t="shared" si="30"/>
        <v>18.108942443502819</v>
      </c>
      <c r="T491" s="1">
        <f t="shared" si="31"/>
        <v>25.938557556497155</v>
      </c>
    </row>
    <row r="492" spans="1:20" x14ac:dyDescent="0.3">
      <c r="A492" t="s">
        <v>359</v>
      </c>
      <c r="B492" t="s">
        <v>365</v>
      </c>
      <c r="C492" t="s">
        <v>366</v>
      </c>
      <c r="D492" t="s">
        <v>367</v>
      </c>
      <c r="E492" s="2">
        <v>651.34699999999998</v>
      </c>
      <c r="F492" s="2">
        <v>0</v>
      </c>
      <c r="G492" s="2">
        <v>644.096</v>
      </c>
      <c r="H492" s="2">
        <v>-644.11300000000006</v>
      </c>
      <c r="I492" s="1">
        <v>0.99443384248334599</v>
      </c>
      <c r="J492" s="1">
        <v>0.99444689236305694</v>
      </c>
      <c r="K492" s="1">
        <v>0.58420868954002203</v>
      </c>
      <c r="L492" s="1">
        <v>0.90467204530638001</v>
      </c>
      <c r="M492" s="2"/>
      <c r="N492" s="2"/>
      <c r="Q492" s="1">
        <f t="shared" si="29"/>
        <v>647.72149999999999</v>
      </c>
      <c r="R492">
        <f t="shared" si="28"/>
        <v>647.73</v>
      </c>
      <c r="S492" s="1">
        <f t="shared" si="30"/>
        <v>380.52257730582471</v>
      </c>
      <c r="T492" s="1">
        <f t="shared" si="31"/>
        <v>589.25542269417474</v>
      </c>
    </row>
    <row r="493" spans="1:20" x14ac:dyDescent="0.3">
      <c r="A493" t="s">
        <v>359</v>
      </c>
      <c r="B493" t="s">
        <v>368</v>
      </c>
      <c r="C493" t="s">
        <v>366</v>
      </c>
      <c r="D493" t="s">
        <v>367</v>
      </c>
      <c r="E493" s="2">
        <v>1367.24</v>
      </c>
      <c r="F493" s="2">
        <v>0</v>
      </c>
      <c r="G493" s="2">
        <v>428.79599999999999</v>
      </c>
      <c r="H493" s="2">
        <v>-1072.1690000000001</v>
      </c>
      <c r="I493" s="1">
        <v>0.65681080132237202</v>
      </c>
      <c r="J493" s="1">
        <v>0.89209246364939498</v>
      </c>
      <c r="K493" s="1">
        <v>0.206317411957844</v>
      </c>
      <c r="L493" s="1">
        <v>0.84258585301392297</v>
      </c>
      <c r="M493" s="2"/>
      <c r="N493" s="2"/>
      <c r="Q493" s="1">
        <f t="shared" si="29"/>
        <v>898.01799999999992</v>
      </c>
      <c r="R493">
        <f t="shared" si="28"/>
        <v>1219.7044999999989</v>
      </c>
      <c r="S493" s="1">
        <f t="shared" si="30"/>
        <v>282.08541832524264</v>
      </c>
      <c r="T493" s="1">
        <f t="shared" si="31"/>
        <v>1152.0170816747561</v>
      </c>
    </row>
    <row r="494" spans="1:20" x14ac:dyDescent="0.3">
      <c r="A494" t="s">
        <v>359</v>
      </c>
      <c r="B494" t="s">
        <v>728</v>
      </c>
      <c r="C494" t="s">
        <v>576</v>
      </c>
      <c r="D494" t="s">
        <v>14</v>
      </c>
      <c r="E494" s="2">
        <v>62.94</v>
      </c>
      <c r="F494" s="2">
        <v>62.94</v>
      </c>
      <c r="G494" s="2">
        <v>0</v>
      </c>
      <c r="H494" s="2">
        <v>0</v>
      </c>
      <c r="I494" s="1">
        <v>0</v>
      </c>
      <c r="J494" s="1">
        <v>0</v>
      </c>
      <c r="K494" s="1">
        <v>0</v>
      </c>
      <c r="L494" s="1">
        <v>0</v>
      </c>
      <c r="M494" s="2"/>
      <c r="N494" s="2"/>
      <c r="Q494" s="1">
        <f t="shared" si="29"/>
        <v>0</v>
      </c>
      <c r="R494">
        <f t="shared" si="28"/>
        <v>0</v>
      </c>
      <c r="S494" s="1">
        <f t="shared" si="30"/>
        <v>0</v>
      </c>
      <c r="T494" s="1">
        <f t="shared" si="31"/>
        <v>0</v>
      </c>
    </row>
    <row r="495" spans="1:20" x14ac:dyDescent="0.3">
      <c r="A495" t="s">
        <v>359</v>
      </c>
      <c r="B495" t="s">
        <v>369</v>
      </c>
      <c r="C495" t="s">
        <v>574</v>
      </c>
      <c r="D495" t="s">
        <v>575</v>
      </c>
      <c r="E495" s="2">
        <v>27.7</v>
      </c>
      <c r="F495" s="2">
        <v>0</v>
      </c>
      <c r="G495" s="2">
        <v>21.073</v>
      </c>
      <c r="H495" s="2">
        <v>-19.457999999999998</v>
      </c>
      <c r="I495" s="1">
        <v>0.88037906137184097</v>
      </c>
      <c r="J495" s="1">
        <v>0.85122743682310398</v>
      </c>
      <c r="K495" s="1">
        <v>0.62845131611229799</v>
      </c>
      <c r="L495" s="1">
        <v>0.60315518208264696</v>
      </c>
      <c r="M495" s="2"/>
      <c r="N495" s="2"/>
      <c r="Q495" s="1">
        <f t="shared" si="29"/>
        <v>24.386499999999995</v>
      </c>
      <c r="R495">
        <f t="shared" si="28"/>
        <v>23.578999999999979</v>
      </c>
      <c r="S495" s="1">
        <f t="shared" si="30"/>
        <v>17.408101456310654</v>
      </c>
      <c r="T495" s="1">
        <f t="shared" si="31"/>
        <v>16.707398543689319</v>
      </c>
    </row>
    <row r="496" spans="1:20" x14ac:dyDescent="0.3">
      <c r="A496" t="s">
        <v>359</v>
      </c>
      <c r="B496" t="s">
        <v>370</v>
      </c>
      <c r="C496" t="s">
        <v>574</v>
      </c>
      <c r="D496" t="s">
        <v>575</v>
      </c>
      <c r="E496" s="2">
        <v>134.56</v>
      </c>
      <c r="F496" s="2">
        <v>0</v>
      </c>
      <c r="G496" s="2">
        <v>59.167000000000002</v>
      </c>
      <c r="H496" s="2">
        <v>-79.772999999999996</v>
      </c>
      <c r="I496" s="1">
        <v>0.71985359690844197</v>
      </c>
      <c r="J496" s="1">
        <v>0.79642167063020197</v>
      </c>
      <c r="K496" s="1">
        <v>0.50256467110592196</v>
      </c>
      <c r="L496" s="1">
        <v>0.51371059643272099</v>
      </c>
      <c r="M496" s="2"/>
      <c r="N496" s="2"/>
      <c r="Q496" s="1">
        <f t="shared" si="29"/>
        <v>96.863499999999959</v>
      </c>
      <c r="R496">
        <f t="shared" si="28"/>
        <v>107.16649999999998</v>
      </c>
      <c r="S496" s="1">
        <f t="shared" si="30"/>
        <v>67.625102144012857</v>
      </c>
      <c r="T496" s="1">
        <f t="shared" si="31"/>
        <v>69.124897855986944</v>
      </c>
    </row>
    <row r="497" spans="1:20" x14ac:dyDescent="0.3">
      <c r="A497" t="s">
        <v>359</v>
      </c>
      <c r="B497" t="s">
        <v>371</v>
      </c>
      <c r="C497" t="s">
        <v>576</v>
      </c>
      <c r="D497" t="s">
        <v>577</v>
      </c>
      <c r="E497" s="2">
        <v>538.18899999999996</v>
      </c>
      <c r="F497" s="2">
        <v>0</v>
      </c>
      <c r="G497" s="2">
        <v>523.42399999999998</v>
      </c>
      <c r="H497" s="2">
        <v>-389.676999999999</v>
      </c>
      <c r="I497" s="1">
        <v>0.98628269994369999</v>
      </c>
      <c r="J497" s="1">
        <v>0.86202616552920996</v>
      </c>
      <c r="K497" s="1">
        <v>0.87553160537778796</v>
      </c>
      <c r="L497" s="1">
        <v>0.472777260095121</v>
      </c>
      <c r="M497" s="2"/>
      <c r="N497" s="2"/>
      <c r="Q497" s="1">
        <f t="shared" si="29"/>
        <v>530.80649999999991</v>
      </c>
      <c r="R497">
        <f t="shared" si="28"/>
        <v>463.93299999999994</v>
      </c>
      <c r="S497" s="1">
        <f t="shared" si="30"/>
        <v>471.20147916666627</v>
      </c>
      <c r="T497" s="1">
        <f t="shared" si="31"/>
        <v>254.44352083333305</v>
      </c>
    </row>
    <row r="498" spans="1:20" x14ac:dyDescent="0.3">
      <c r="A498" t="s">
        <v>359</v>
      </c>
      <c r="B498" t="s">
        <v>372</v>
      </c>
      <c r="C498" t="s">
        <v>574</v>
      </c>
      <c r="D498" t="s">
        <v>575</v>
      </c>
      <c r="E498" s="2">
        <v>140.85599999999999</v>
      </c>
      <c r="F498" s="2">
        <v>7.0000000000000007E-2</v>
      </c>
      <c r="G498" s="2">
        <v>99.471999999999994</v>
      </c>
      <c r="H498" s="2">
        <v>-108.387999999999</v>
      </c>
      <c r="I498" s="1">
        <v>0.85284971886181604</v>
      </c>
      <c r="J498" s="1">
        <v>0.88449906287272095</v>
      </c>
      <c r="K498" s="1">
        <v>0.65435382962663902</v>
      </c>
      <c r="L498" s="1">
        <v>0.58324343282579305</v>
      </c>
      <c r="M498" s="2"/>
      <c r="N498" s="2"/>
      <c r="Q498" s="1">
        <f t="shared" si="29"/>
        <v>120.12899999999996</v>
      </c>
      <c r="R498">
        <f t="shared" si="28"/>
        <v>124.58699999999997</v>
      </c>
      <c r="S498" s="1">
        <f t="shared" si="30"/>
        <v>92.169663025889861</v>
      </c>
      <c r="T498" s="1">
        <f t="shared" si="31"/>
        <v>82.153336974109905</v>
      </c>
    </row>
    <row r="499" spans="1:20" x14ac:dyDescent="0.3">
      <c r="A499" t="s">
        <v>359</v>
      </c>
      <c r="B499" t="s">
        <v>373</v>
      </c>
      <c r="C499" t="s">
        <v>576</v>
      </c>
      <c r="D499" t="s">
        <v>14</v>
      </c>
      <c r="E499" s="2">
        <v>25.407</v>
      </c>
      <c r="F499" s="2">
        <v>0</v>
      </c>
      <c r="G499" s="2">
        <v>13.837999999999999</v>
      </c>
      <c r="H499" s="2">
        <v>-17.934999999999999</v>
      </c>
      <c r="I499" s="1">
        <v>0.77232652418624703</v>
      </c>
      <c r="J499" s="1">
        <v>0.85295391033967005</v>
      </c>
      <c r="K499" s="1">
        <v>0.72450755901050601</v>
      </c>
      <c r="L499" s="1">
        <v>0.40077287551541102</v>
      </c>
      <c r="M499" s="2"/>
      <c r="N499" s="2"/>
      <c r="Q499" s="1">
        <f t="shared" si="29"/>
        <v>19.622499999999977</v>
      </c>
      <c r="R499">
        <f t="shared" si="28"/>
        <v>21.670999999999996</v>
      </c>
      <c r="S499" s="1">
        <f t="shared" si="30"/>
        <v>18.407563551779926</v>
      </c>
      <c r="T499" s="1">
        <f t="shared" si="31"/>
        <v>10.182436448220049</v>
      </c>
    </row>
    <row r="500" spans="1:20" x14ac:dyDescent="0.3">
      <c r="A500" t="s">
        <v>359</v>
      </c>
      <c r="B500" t="s">
        <v>374</v>
      </c>
      <c r="C500" t="s">
        <v>574</v>
      </c>
      <c r="D500" t="s">
        <v>575</v>
      </c>
      <c r="E500" s="2">
        <v>137.071</v>
      </c>
      <c r="F500" s="2">
        <v>1.9E-2</v>
      </c>
      <c r="G500" s="2">
        <v>84.94</v>
      </c>
      <c r="H500" s="2">
        <v>-98.357999999999905</v>
      </c>
      <c r="I500" s="1">
        <v>0.80977011913533803</v>
      </c>
      <c r="J500" s="1">
        <v>0.85871555617161899</v>
      </c>
      <c r="K500" s="1">
        <v>0.66912863013449198</v>
      </c>
      <c r="L500" s="1">
        <v>0.49942635231985499</v>
      </c>
      <c r="M500" s="2"/>
      <c r="N500" s="2"/>
      <c r="Q500" s="1">
        <f t="shared" si="29"/>
        <v>110.99599999999992</v>
      </c>
      <c r="R500">
        <f t="shared" si="28"/>
        <v>117.70499999999998</v>
      </c>
      <c r="S500" s="1">
        <f t="shared" si="30"/>
        <v>91.718130461164947</v>
      </c>
      <c r="T500" s="1">
        <f t="shared" si="31"/>
        <v>68.456869538834837</v>
      </c>
    </row>
    <row r="501" spans="1:20" x14ac:dyDescent="0.3">
      <c r="A501" t="s">
        <v>359</v>
      </c>
      <c r="B501" t="s">
        <v>729</v>
      </c>
      <c r="C501" t="s">
        <v>574</v>
      </c>
      <c r="D501" t="s">
        <v>575</v>
      </c>
      <c r="E501" s="2">
        <v>38.701999999999998</v>
      </c>
      <c r="F501" s="2">
        <v>0</v>
      </c>
      <c r="G501" s="2">
        <v>11.904</v>
      </c>
      <c r="H501" s="2">
        <v>-12.1939999999999</v>
      </c>
      <c r="I501" s="1">
        <v>0.65379050178285303</v>
      </c>
      <c r="J501" s="1">
        <v>0.657537078187173</v>
      </c>
      <c r="K501" s="1">
        <v>0.41819532293807798</v>
      </c>
      <c r="L501" s="1">
        <v>0.39313225703194798</v>
      </c>
      <c r="M501" s="2"/>
      <c r="N501" s="2"/>
      <c r="Q501" s="1">
        <f t="shared" si="29"/>
        <v>25.302999999999976</v>
      </c>
      <c r="R501">
        <f t="shared" si="28"/>
        <v>25.447999999999968</v>
      </c>
      <c r="S501" s="1">
        <f t="shared" si="30"/>
        <v>16.184995388349492</v>
      </c>
      <c r="T501" s="1">
        <f t="shared" si="31"/>
        <v>15.21500461165045</v>
      </c>
    </row>
    <row r="502" spans="1:20" x14ac:dyDescent="0.3">
      <c r="A502" t="s">
        <v>359</v>
      </c>
      <c r="B502" t="s">
        <v>375</v>
      </c>
      <c r="C502" t="s">
        <v>574</v>
      </c>
      <c r="D502" t="s">
        <v>575</v>
      </c>
      <c r="E502" s="2">
        <v>90.290999999999997</v>
      </c>
      <c r="F502" s="2">
        <v>0</v>
      </c>
      <c r="G502" s="2">
        <v>51.305</v>
      </c>
      <c r="H502" s="2">
        <v>-69.085999999999999</v>
      </c>
      <c r="I502" s="1">
        <v>0.78410915816637305</v>
      </c>
      <c r="J502" s="1">
        <v>0.88257412145174996</v>
      </c>
      <c r="K502" s="1">
        <v>0.518063065882019</v>
      </c>
      <c r="L502" s="1">
        <v>0.64862021373610401</v>
      </c>
      <c r="M502" s="2"/>
      <c r="N502" s="2"/>
      <c r="Q502" s="1">
        <f t="shared" si="29"/>
        <v>70.797999999999988</v>
      </c>
      <c r="R502">
        <f t="shared" si="28"/>
        <v>79.688499999999948</v>
      </c>
      <c r="S502" s="1">
        <f t="shared" si="30"/>
        <v>46.776432281553376</v>
      </c>
      <c r="T502" s="1">
        <f t="shared" si="31"/>
        <v>58.564567718446568</v>
      </c>
    </row>
    <row r="503" spans="1:20" x14ac:dyDescent="0.3">
      <c r="A503" t="s">
        <v>359</v>
      </c>
      <c r="B503" t="s">
        <v>376</v>
      </c>
      <c r="C503" t="s">
        <v>574</v>
      </c>
      <c r="D503" t="s">
        <v>575</v>
      </c>
      <c r="E503" s="2">
        <v>52.1</v>
      </c>
      <c r="F503" s="2">
        <v>0</v>
      </c>
      <c r="G503" s="2">
        <v>33.202999999999903</v>
      </c>
      <c r="H503" s="2">
        <v>-49.624000000000002</v>
      </c>
      <c r="I503" s="1">
        <v>0.81864683301343499</v>
      </c>
      <c r="J503" s="1">
        <v>0.97623800383877102</v>
      </c>
      <c r="K503" s="1">
        <v>0.58076187503494003</v>
      </c>
      <c r="L503" s="1">
        <v>0.71412296181726698</v>
      </c>
      <c r="M503" s="2"/>
      <c r="N503" s="2"/>
      <c r="Q503" s="1">
        <f t="shared" si="29"/>
        <v>42.651499999999963</v>
      </c>
      <c r="R503">
        <f t="shared" si="28"/>
        <v>50.861999999999973</v>
      </c>
      <c r="S503" s="1">
        <f t="shared" si="30"/>
        <v>30.257693689320377</v>
      </c>
      <c r="T503" s="1">
        <f t="shared" si="31"/>
        <v>37.205806310679613</v>
      </c>
    </row>
    <row r="504" spans="1:20" x14ac:dyDescent="0.3">
      <c r="A504" t="s">
        <v>359</v>
      </c>
      <c r="B504" t="s">
        <v>377</v>
      </c>
      <c r="C504" t="s">
        <v>576</v>
      </c>
      <c r="D504" t="s">
        <v>589</v>
      </c>
      <c r="E504" s="2">
        <v>0</v>
      </c>
      <c r="F504" s="2">
        <v>0</v>
      </c>
      <c r="G504" s="2">
        <v>0</v>
      </c>
      <c r="H504" s="2">
        <v>0</v>
      </c>
      <c r="I504" s="1">
        <v>0</v>
      </c>
      <c r="J504" s="1">
        <v>0</v>
      </c>
      <c r="K504" s="1">
        <v>0</v>
      </c>
      <c r="L504" s="1">
        <v>0</v>
      </c>
      <c r="M504" s="2"/>
      <c r="N504" s="2"/>
      <c r="Q504" s="1">
        <f t="shared" si="29"/>
        <v>0</v>
      </c>
      <c r="R504">
        <f t="shared" si="28"/>
        <v>0</v>
      </c>
      <c r="S504" s="1">
        <f t="shared" si="30"/>
        <v>0</v>
      </c>
      <c r="T504" s="1">
        <f t="shared" si="31"/>
        <v>0</v>
      </c>
    </row>
    <row r="505" spans="1:20" x14ac:dyDescent="0.3">
      <c r="A505" t="s">
        <v>359</v>
      </c>
      <c r="B505" t="s">
        <v>378</v>
      </c>
      <c r="C505" t="s">
        <v>576</v>
      </c>
      <c r="D505" t="s">
        <v>14</v>
      </c>
      <c r="E505" s="2">
        <v>0</v>
      </c>
      <c r="F505" s="2">
        <v>0</v>
      </c>
      <c r="G505" s="2">
        <v>0</v>
      </c>
      <c r="H505" s="2">
        <v>0</v>
      </c>
      <c r="I505" s="1">
        <v>0</v>
      </c>
      <c r="J505" s="1">
        <v>0</v>
      </c>
      <c r="K505" s="1">
        <v>0</v>
      </c>
      <c r="L505" s="1">
        <v>0</v>
      </c>
      <c r="M505" s="2"/>
      <c r="N505" s="2"/>
      <c r="Q505" s="1">
        <f t="shared" si="29"/>
        <v>0</v>
      </c>
      <c r="R505">
        <f t="shared" si="28"/>
        <v>0</v>
      </c>
      <c r="S505" s="1">
        <f t="shared" si="30"/>
        <v>0</v>
      </c>
      <c r="T505" s="1">
        <f t="shared" si="31"/>
        <v>0</v>
      </c>
    </row>
    <row r="506" spans="1:20" x14ac:dyDescent="0.3">
      <c r="A506" t="s">
        <v>359</v>
      </c>
      <c r="B506" t="s">
        <v>730</v>
      </c>
      <c r="C506" t="s">
        <v>574</v>
      </c>
      <c r="D506" t="s">
        <v>575</v>
      </c>
      <c r="E506" s="2">
        <v>10.712999999999999</v>
      </c>
      <c r="F506" s="2">
        <v>0</v>
      </c>
      <c r="G506" s="2">
        <v>0</v>
      </c>
      <c r="H506" s="2">
        <v>-10.712999999999999</v>
      </c>
      <c r="I506" s="1">
        <v>0.5</v>
      </c>
      <c r="J506" s="1">
        <v>1</v>
      </c>
      <c r="K506" s="1">
        <v>0.15728155339805799</v>
      </c>
      <c r="L506" s="1">
        <v>0.84271844660194095</v>
      </c>
      <c r="M506" s="2"/>
      <c r="N506" s="2"/>
      <c r="Q506" s="1">
        <f t="shared" si="29"/>
        <v>5.3564999999999996</v>
      </c>
      <c r="R506">
        <f t="shared" si="28"/>
        <v>10.712999999999999</v>
      </c>
      <c r="S506" s="1">
        <f t="shared" si="30"/>
        <v>1.6849572815533951</v>
      </c>
      <c r="T506" s="1">
        <f t="shared" si="31"/>
        <v>9.0280427184465921</v>
      </c>
    </row>
    <row r="507" spans="1:20" x14ac:dyDescent="0.3">
      <c r="A507" t="s">
        <v>359</v>
      </c>
      <c r="B507" t="s">
        <v>379</v>
      </c>
      <c r="C507" t="s">
        <v>576</v>
      </c>
      <c r="D507" t="s">
        <v>14</v>
      </c>
      <c r="E507" s="2">
        <v>0</v>
      </c>
      <c r="F507" s="2">
        <v>0</v>
      </c>
      <c r="G507" s="2">
        <v>0</v>
      </c>
      <c r="H507" s="2">
        <v>0</v>
      </c>
      <c r="I507" s="1">
        <v>0</v>
      </c>
      <c r="J507" s="1">
        <v>0</v>
      </c>
      <c r="K507" s="1">
        <v>0</v>
      </c>
      <c r="L507" s="1">
        <v>0</v>
      </c>
      <c r="M507" s="2"/>
      <c r="N507" s="2"/>
      <c r="Q507" s="1">
        <f t="shared" si="29"/>
        <v>0</v>
      </c>
      <c r="R507">
        <f t="shared" si="28"/>
        <v>0</v>
      </c>
      <c r="S507" s="1">
        <f t="shared" si="30"/>
        <v>0</v>
      </c>
      <c r="T507" s="1">
        <f t="shared" si="31"/>
        <v>0</v>
      </c>
    </row>
    <row r="508" spans="1:20" x14ac:dyDescent="0.3">
      <c r="A508" t="s">
        <v>359</v>
      </c>
      <c r="B508" t="s">
        <v>731</v>
      </c>
      <c r="C508" t="s">
        <v>576</v>
      </c>
      <c r="D508" t="s">
        <v>14</v>
      </c>
      <c r="E508" s="2">
        <v>27.82</v>
      </c>
      <c r="F508" s="2">
        <v>0</v>
      </c>
      <c r="G508" s="2">
        <v>0</v>
      </c>
      <c r="H508" s="2">
        <v>-27.82</v>
      </c>
      <c r="I508" s="1">
        <v>0.5</v>
      </c>
      <c r="J508" s="1">
        <v>1</v>
      </c>
      <c r="K508" s="1">
        <v>0.15728155339805799</v>
      </c>
      <c r="L508" s="1">
        <v>0.84271844660194095</v>
      </c>
      <c r="M508" s="2"/>
      <c r="N508" s="2"/>
      <c r="Q508" s="1">
        <f t="shared" si="29"/>
        <v>13.91</v>
      </c>
      <c r="R508">
        <f t="shared" si="28"/>
        <v>27.82</v>
      </c>
      <c r="S508" s="1">
        <f t="shared" si="30"/>
        <v>4.3755728155339737</v>
      </c>
      <c r="T508" s="1">
        <f t="shared" si="31"/>
        <v>23.444427184465997</v>
      </c>
    </row>
    <row r="509" spans="1:20" x14ac:dyDescent="0.3">
      <c r="A509" t="s">
        <v>359</v>
      </c>
      <c r="B509" t="s">
        <v>380</v>
      </c>
      <c r="C509" t="s">
        <v>574</v>
      </c>
      <c r="D509" t="s">
        <v>575</v>
      </c>
      <c r="E509" s="2">
        <v>633.30100000000004</v>
      </c>
      <c r="F509" s="2">
        <v>2.8260000000000001</v>
      </c>
      <c r="G509" s="2">
        <v>500.08300000000003</v>
      </c>
      <c r="H509" s="2">
        <v>-502.81099999999998</v>
      </c>
      <c r="I509" s="1">
        <v>0.89259135861146499</v>
      </c>
      <c r="J509" s="1">
        <v>0.89474515277885203</v>
      </c>
      <c r="K509" s="1">
        <v>0.66313229007261099</v>
      </c>
      <c r="L509" s="1">
        <v>0.626435387856208</v>
      </c>
      <c r="M509" s="2"/>
      <c r="N509" s="2"/>
      <c r="Q509" s="1">
        <f t="shared" si="29"/>
        <v>565.27899999999943</v>
      </c>
      <c r="R509">
        <f t="shared" si="28"/>
        <v>566.6429999999998</v>
      </c>
      <c r="S509" s="1">
        <f t="shared" si="30"/>
        <v>419.96234243527465</v>
      </c>
      <c r="T509" s="1">
        <f t="shared" si="31"/>
        <v>396.7221575647244</v>
      </c>
    </row>
    <row r="510" spans="1:20" x14ac:dyDescent="0.3">
      <c r="A510" t="s">
        <v>359</v>
      </c>
      <c r="B510" t="s">
        <v>381</v>
      </c>
      <c r="C510" t="s">
        <v>574</v>
      </c>
      <c r="D510" t="s">
        <v>575</v>
      </c>
      <c r="E510" s="2">
        <v>69.984999999999999</v>
      </c>
      <c r="F510" s="2">
        <v>0</v>
      </c>
      <c r="G510" s="2">
        <v>38.676000000000002</v>
      </c>
      <c r="H510" s="2">
        <v>-37.982999999999997</v>
      </c>
      <c r="I510" s="1">
        <v>0.77631635350432204</v>
      </c>
      <c r="J510" s="1">
        <v>0.77136529256269204</v>
      </c>
      <c r="K510" s="1">
        <v>0.58065097629565998</v>
      </c>
      <c r="L510" s="1">
        <v>0.46703066977135399</v>
      </c>
      <c r="M510" s="2"/>
      <c r="N510" s="2"/>
      <c r="Q510" s="1">
        <f t="shared" si="29"/>
        <v>54.330499999999979</v>
      </c>
      <c r="R510">
        <f t="shared" si="28"/>
        <v>53.984000000000002</v>
      </c>
      <c r="S510" s="1">
        <f t="shared" si="30"/>
        <v>40.636858576051765</v>
      </c>
      <c r="T510" s="1">
        <f t="shared" si="31"/>
        <v>32.68514142394821</v>
      </c>
    </row>
    <row r="511" spans="1:20" x14ac:dyDescent="0.3">
      <c r="A511" t="s">
        <v>359</v>
      </c>
      <c r="B511" t="s">
        <v>382</v>
      </c>
      <c r="C511" t="s">
        <v>574</v>
      </c>
      <c r="D511" t="s">
        <v>575</v>
      </c>
      <c r="E511" s="2">
        <v>47.781999999999996</v>
      </c>
      <c r="F511" s="2">
        <v>0</v>
      </c>
      <c r="G511" s="2">
        <v>20.657</v>
      </c>
      <c r="H511" s="2">
        <v>-20.901</v>
      </c>
      <c r="I511" s="1">
        <v>0.71615880457075798</v>
      </c>
      <c r="J511" s="1">
        <v>0.71871206730567905</v>
      </c>
      <c r="K511" s="1">
        <v>0.52595556778974195</v>
      </c>
      <c r="L511" s="1">
        <v>0.40891530408669602</v>
      </c>
      <c r="M511" s="2"/>
      <c r="N511" s="2"/>
      <c r="Q511" s="1">
        <f t="shared" si="29"/>
        <v>34.219499999999954</v>
      </c>
      <c r="R511">
        <f t="shared" si="28"/>
        <v>34.341499999999954</v>
      </c>
      <c r="S511" s="1">
        <f t="shared" si="30"/>
        <v>25.131208940129447</v>
      </c>
      <c r="T511" s="1">
        <f t="shared" si="31"/>
        <v>19.538791059870508</v>
      </c>
    </row>
    <row r="512" spans="1:20" x14ac:dyDescent="0.3">
      <c r="A512" t="s">
        <v>359</v>
      </c>
      <c r="B512" t="s">
        <v>383</v>
      </c>
      <c r="C512" t="s">
        <v>576</v>
      </c>
      <c r="D512" t="s">
        <v>577</v>
      </c>
      <c r="E512" s="2">
        <v>3.6779999999999999</v>
      </c>
      <c r="F512" s="2">
        <v>0</v>
      </c>
      <c r="G512" s="2">
        <v>3.6779999999999999</v>
      </c>
      <c r="H512" s="2">
        <v>-3.6779999999999999</v>
      </c>
      <c r="I512" s="1">
        <v>1</v>
      </c>
      <c r="J512" s="1">
        <v>1</v>
      </c>
      <c r="K512" s="1">
        <v>0.99995954692556599</v>
      </c>
      <c r="L512" s="1">
        <v>0.50004045307443301</v>
      </c>
      <c r="M512" s="2"/>
      <c r="N512" s="2"/>
      <c r="Q512" s="1">
        <f t="shared" si="29"/>
        <v>3.6779999999999999</v>
      </c>
      <c r="R512">
        <f t="shared" si="28"/>
        <v>3.6779999999999999</v>
      </c>
      <c r="S512" s="1">
        <f t="shared" si="30"/>
        <v>3.6778512135922314</v>
      </c>
      <c r="T512" s="1">
        <f t="shared" si="31"/>
        <v>1.8391487864077647</v>
      </c>
    </row>
    <row r="513" spans="1:20" x14ac:dyDescent="0.3">
      <c r="A513" t="s">
        <v>359</v>
      </c>
      <c r="B513" t="s">
        <v>384</v>
      </c>
      <c r="C513" t="s">
        <v>574</v>
      </c>
      <c r="D513" t="s">
        <v>575</v>
      </c>
      <c r="E513" s="2">
        <v>456.41699999999997</v>
      </c>
      <c r="F513" s="2">
        <v>0</v>
      </c>
      <c r="G513" s="2">
        <v>310.00700000000001</v>
      </c>
      <c r="H513" s="2">
        <v>-310.81200000000001</v>
      </c>
      <c r="I513" s="1">
        <v>0.83960939228819198</v>
      </c>
      <c r="J513" s="1">
        <v>0.84049126128080198</v>
      </c>
      <c r="K513" s="1">
        <v>0.54887611133414405</v>
      </c>
      <c r="L513" s="1">
        <v>0.63122454223485003</v>
      </c>
      <c r="M513" s="2"/>
      <c r="N513" s="2"/>
      <c r="Q513" s="1">
        <f t="shared" si="29"/>
        <v>383.2119999999997</v>
      </c>
      <c r="R513">
        <f t="shared" si="28"/>
        <v>383.61449999999979</v>
      </c>
      <c r="S513" s="1">
        <f t="shared" si="30"/>
        <v>250.516388106796</v>
      </c>
      <c r="T513" s="1">
        <f t="shared" si="31"/>
        <v>288.10161189320354</v>
      </c>
    </row>
    <row r="514" spans="1:20" x14ac:dyDescent="0.3">
      <c r="A514" t="s">
        <v>359</v>
      </c>
      <c r="B514" t="s">
        <v>385</v>
      </c>
      <c r="C514" t="s">
        <v>574</v>
      </c>
      <c r="D514" t="s">
        <v>575</v>
      </c>
      <c r="E514" s="2">
        <v>80.709000000000003</v>
      </c>
      <c r="F514" s="2">
        <v>8.9999999999999993E-3</v>
      </c>
      <c r="G514" s="2">
        <v>40.9149999999999</v>
      </c>
      <c r="H514" s="2">
        <v>-45.435000000000002</v>
      </c>
      <c r="I514" s="1">
        <v>0.75341659542306305</v>
      </c>
      <c r="J514" s="1">
        <v>0.78141842917146698</v>
      </c>
      <c r="K514" s="1">
        <v>0.51017318561177105</v>
      </c>
      <c r="L514" s="1">
        <v>0.524717594846417</v>
      </c>
      <c r="M514" s="2"/>
      <c r="N514" s="2"/>
      <c r="Q514" s="1">
        <f t="shared" si="29"/>
        <v>60.807499999999997</v>
      </c>
      <c r="R514">
        <f t="shared" ref="R514:R577" si="32">J514*E514</f>
        <v>63.067499999999932</v>
      </c>
      <c r="S514" s="1">
        <f t="shared" si="30"/>
        <v>41.175567637540432</v>
      </c>
      <c r="T514" s="1">
        <f t="shared" si="31"/>
        <v>42.349432362459474</v>
      </c>
    </row>
    <row r="515" spans="1:20" x14ac:dyDescent="0.3">
      <c r="A515" t="s">
        <v>359</v>
      </c>
      <c r="B515" t="s">
        <v>386</v>
      </c>
      <c r="C515" t="s">
        <v>574</v>
      </c>
      <c r="D515" t="s">
        <v>575</v>
      </c>
      <c r="E515" s="2">
        <v>70.248000000000005</v>
      </c>
      <c r="F515" s="2">
        <v>0.36799999999999999</v>
      </c>
      <c r="G515" s="2">
        <v>42.726999999999997</v>
      </c>
      <c r="H515" s="2">
        <v>-45.1799999999999</v>
      </c>
      <c r="I515" s="1">
        <v>0.801496128003644</v>
      </c>
      <c r="J515" s="1">
        <v>0.81895569980640004</v>
      </c>
      <c r="K515" s="1">
        <v>0.56895136299818405</v>
      </c>
      <c r="L515" s="1">
        <v>0.55411975646429101</v>
      </c>
      <c r="M515" s="2"/>
      <c r="N515" s="2"/>
      <c r="Q515" s="1">
        <f t="shared" ref="Q515:Q578" si="33">I515*E515</f>
        <v>56.303499999999985</v>
      </c>
      <c r="R515">
        <f t="shared" si="32"/>
        <v>57.529999999999994</v>
      </c>
      <c r="S515" s="1">
        <f t="shared" ref="S515:S578" si="34">K515*E515</f>
        <v>39.967695347896438</v>
      </c>
      <c r="T515" s="1">
        <f t="shared" ref="T515:T578" si="35">L515*E515</f>
        <v>38.925804652103515</v>
      </c>
    </row>
    <row r="516" spans="1:20" x14ac:dyDescent="0.3">
      <c r="A516" t="s">
        <v>359</v>
      </c>
      <c r="B516" t="s">
        <v>387</v>
      </c>
      <c r="C516" t="s">
        <v>574</v>
      </c>
      <c r="D516" t="s">
        <v>575</v>
      </c>
      <c r="E516" s="2">
        <v>609.96500000000003</v>
      </c>
      <c r="F516" s="2">
        <v>0</v>
      </c>
      <c r="G516" s="2">
        <v>372.78099999999898</v>
      </c>
      <c r="H516" s="2">
        <v>-427.01</v>
      </c>
      <c r="I516" s="1">
        <v>0.80557572975498504</v>
      </c>
      <c r="J516" s="1">
        <v>0.85002828031116495</v>
      </c>
      <c r="K516" s="1">
        <v>0.58362837028927095</v>
      </c>
      <c r="L516" s="1">
        <v>0.57197563977688004</v>
      </c>
      <c r="M516" s="2"/>
      <c r="N516" s="2"/>
      <c r="Q516" s="1">
        <f t="shared" si="33"/>
        <v>491.37299999999948</v>
      </c>
      <c r="R516">
        <f t="shared" si="32"/>
        <v>518.48749999999973</v>
      </c>
      <c r="S516" s="1">
        <f t="shared" si="34"/>
        <v>355.99287888349517</v>
      </c>
      <c r="T516" s="1">
        <f t="shared" si="35"/>
        <v>348.88512111650465</v>
      </c>
    </row>
    <row r="517" spans="1:20" x14ac:dyDescent="0.3">
      <c r="A517" t="s">
        <v>359</v>
      </c>
      <c r="B517" t="s">
        <v>388</v>
      </c>
      <c r="C517" t="s">
        <v>576</v>
      </c>
      <c r="D517" t="s">
        <v>14</v>
      </c>
      <c r="E517" s="2">
        <v>7.0750000000000002</v>
      </c>
      <c r="F517" s="2">
        <v>0</v>
      </c>
      <c r="G517" s="2">
        <v>7.0750000000000002</v>
      </c>
      <c r="H517" s="2">
        <v>0</v>
      </c>
      <c r="I517" s="1">
        <v>1</v>
      </c>
      <c r="J517" s="1">
        <v>0.5</v>
      </c>
      <c r="K517" s="1">
        <v>0.79417475728155296</v>
      </c>
      <c r="L517" s="1">
        <v>0.20582524271844599</v>
      </c>
      <c r="M517" s="2"/>
      <c r="N517" s="2"/>
      <c r="Q517" s="1">
        <f t="shared" si="33"/>
        <v>7.0750000000000002</v>
      </c>
      <c r="R517">
        <f t="shared" si="32"/>
        <v>3.5375000000000001</v>
      </c>
      <c r="S517" s="1">
        <f t="shared" si="34"/>
        <v>5.6187864077669873</v>
      </c>
      <c r="T517" s="1">
        <f t="shared" si="35"/>
        <v>1.4562135922330055</v>
      </c>
    </row>
    <row r="518" spans="1:20" x14ac:dyDescent="0.3">
      <c r="A518" t="s">
        <v>359</v>
      </c>
      <c r="B518" t="s">
        <v>732</v>
      </c>
      <c r="C518" t="s">
        <v>574</v>
      </c>
      <c r="D518" t="s">
        <v>575</v>
      </c>
      <c r="E518" s="2">
        <v>63.926000000000002</v>
      </c>
      <c r="F518" s="2">
        <v>0</v>
      </c>
      <c r="G518" s="2">
        <v>49.555999999999997</v>
      </c>
      <c r="H518" s="2">
        <v>-48.262999999999998</v>
      </c>
      <c r="I518" s="1">
        <v>0.88760441760785902</v>
      </c>
      <c r="J518" s="1">
        <v>0.87749116165566399</v>
      </c>
      <c r="K518" s="1">
        <v>0.61209643745645603</v>
      </c>
      <c r="L518" s="1">
        <v>0.65299914180706697</v>
      </c>
      <c r="M518" s="2"/>
      <c r="N518" s="2"/>
      <c r="Q518" s="1">
        <f t="shared" si="33"/>
        <v>56.741</v>
      </c>
      <c r="R518">
        <f t="shared" si="32"/>
        <v>56.094499999999975</v>
      </c>
      <c r="S518" s="1">
        <f t="shared" si="34"/>
        <v>39.128876860841409</v>
      </c>
      <c r="T518" s="1">
        <f t="shared" si="35"/>
        <v>41.743623139158565</v>
      </c>
    </row>
    <row r="519" spans="1:20" x14ac:dyDescent="0.3">
      <c r="A519" t="s">
        <v>359</v>
      </c>
      <c r="B519" t="s">
        <v>733</v>
      </c>
      <c r="C519" t="s">
        <v>576</v>
      </c>
      <c r="D519" t="s">
        <v>14</v>
      </c>
      <c r="E519" s="2">
        <v>65.418999999999997</v>
      </c>
      <c r="F519" s="2">
        <v>0</v>
      </c>
      <c r="G519" s="2">
        <v>29.29</v>
      </c>
      <c r="H519" s="2">
        <v>-40.201999999999998</v>
      </c>
      <c r="I519" s="1">
        <v>0.72386462648465999</v>
      </c>
      <c r="J519" s="1">
        <v>0.80726547333343501</v>
      </c>
      <c r="K519" s="1">
        <v>0.60554835753554903</v>
      </c>
      <c r="L519" s="1">
        <v>0.42558174228254603</v>
      </c>
      <c r="M519" s="2"/>
      <c r="N519" s="2"/>
      <c r="Q519" s="1">
        <f t="shared" si="33"/>
        <v>47.354499999999973</v>
      </c>
      <c r="R519">
        <f t="shared" si="32"/>
        <v>52.810499999999983</v>
      </c>
      <c r="S519" s="1">
        <f t="shared" si="34"/>
        <v>39.614368001618082</v>
      </c>
      <c r="T519" s="1">
        <f t="shared" si="35"/>
        <v>27.841131998381876</v>
      </c>
    </row>
    <row r="520" spans="1:20" x14ac:dyDescent="0.3">
      <c r="A520" t="s">
        <v>359</v>
      </c>
      <c r="B520" t="s">
        <v>389</v>
      </c>
      <c r="C520" t="s">
        <v>574</v>
      </c>
      <c r="D520" t="s">
        <v>575</v>
      </c>
      <c r="E520" s="2">
        <v>400.846</v>
      </c>
      <c r="F520" s="2">
        <v>0.223</v>
      </c>
      <c r="G520" s="2">
        <v>188.20099999999999</v>
      </c>
      <c r="H520" s="2">
        <v>-247.501</v>
      </c>
      <c r="I520" s="1">
        <v>0.73447658202900801</v>
      </c>
      <c r="J520" s="1">
        <v>0.80844513853200395</v>
      </c>
      <c r="K520" s="1">
        <v>0.58477859628261597</v>
      </c>
      <c r="L520" s="1">
        <v>0.45842128596642701</v>
      </c>
      <c r="M520" s="2"/>
      <c r="N520" s="2"/>
      <c r="Q520" s="1">
        <f t="shared" si="33"/>
        <v>294.41199999999975</v>
      </c>
      <c r="R520">
        <f t="shared" si="32"/>
        <v>324.06199999999967</v>
      </c>
      <c r="S520" s="1">
        <f t="shared" si="34"/>
        <v>234.40616120550149</v>
      </c>
      <c r="T520" s="1">
        <f t="shared" si="35"/>
        <v>183.75633879449839</v>
      </c>
    </row>
    <row r="521" spans="1:20" x14ac:dyDescent="0.3">
      <c r="A521" t="s">
        <v>359</v>
      </c>
      <c r="B521" t="s">
        <v>390</v>
      </c>
      <c r="C521" t="s">
        <v>576</v>
      </c>
      <c r="D521" t="s">
        <v>14</v>
      </c>
      <c r="E521" s="2">
        <v>0</v>
      </c>
      <c r="F521" s="2">
        <v>0</v>
      </c>
      <c r="G521" s="2">
        <v>0</v>
      </c>
      <c r="H521" s="2">
        <v>0</v>
      </c>
      <c r="I521" s="1">
        <v>0</v>
      </c>
      <c r="J521" s="1">
        <v>0</v>
      </c>
      <c r="K521" s="1">
        <v>0</v>
      </c>
      <c r="L521" s="1">
        <v>0</v>
      </c>
      <c r="M521" s="2"/>
      <c r="N521" s="2"/>
      <c r="Q521" s="1">
        <f t="shared" si="33"/>
        <v>0</v>
      </c>
      <c r="R521">
        <f t="shared" si="32"/>
        <v>0</v>
      </c>
      <c r="S521" s="1">
        <f t="shared" si="34"/>
        <v>0</v>
      </c>
      <c r="T521" s="1">
        <f t="shared" si="35"/>
        <v>0</v>
      </c>
    </row>
    <row r="522" spans="1:20" x14ac:dyDescent="0.3">
      <c r="A522" t="s">
        <v>359</v>
      </c>
      <c r="B522" t="s">
        <v>391</v>
      </c>
      <c r="C522" t="s">
        <v>576</v>
      </c>
      <c r="D522" t="s">
        <v>14</v>
      </c>
      <c r="E522" s="2">
        <v>34.356000000000002</v>
      </c>
      <c r="F522" s="2">
        <v>0</v>
      </c>
      <c r="G522" s="2">
        <v>19.088999999999999</v>
      </c>
      <c r="H522" s="2">
        <v>-27.620999999999999</v>
      </c>
      <c r="I522" s="1">
        <v>0.77781173594132003</v>
      </c>
      <c r="J522" s="1">
        <v>0.90198218651763795</v>
      </c>
      <c r="K522" s="1">
        <v>0.59334626286877801</v>
      </c>
      <c r="L522" s="1">
        <v>0.58644765959018097</v>
      </c>
      <c r="M522" s="2"/>
      <c r="N522" s="2"/>
      <c r="Q522" s="1">
        <f t="shared" si="33"/>
        <v>26.722499999999993</v>
      </c>
      <c r="R522">
        <f t="shared" si="32"/>
        <v>30.98849999999997</v>
      </c>
      <c r="S522" s="1">
        <f t="shared" si="34"/>
        <v>20.385004207119739</v>
      </c>
      <c r="T522" s="1">
        <f t="shared" si="35"/>
        <v>20.147995792880259</v>
      </c>
    </row>
    <row r="523" spans="1:20" x14ac:dyDescent="0.3">
      <c r="A523" t="s">
        <v>359</v>
      </c>
      <c r="B523" t="s">
        <v>734</v>
      </c>
      <c r="C523" t="s">
        <v>574</v>
      </c>
      <c r="D523" t="s">
        <v>575</v>
      </c>
      <c r="E523" s="2">
        <v>301.02600000000001</v>
      </c>
      <c r="F523" s="2">
        <v>0</v>
      </c>
      <c r="G523" s="2">
        <v>109.792</v>
      </c>
      <c r="H523" s="2">
        <v>-172.95699999999999</v>
      </c>
      <c r="I523" s="1">
        <v>0.68236298525708705</v>
      </c>
      <c r="J523" s="1">
        <v>0.78727917189877195</v>
      </c>
      <c r="K523" s="1">
        <v>0.41396529666813497</v>
      </c>
      <c r="L523" s="1">
        <v>0.55567686048772502</v>
      </c>
      <c r="M523" s="2"/>
      <c r="N523" s="2"/>
      <c r="Q523" s="1">
        <f t="shared" si="33"/>
        <v>205.40899999999991</v>
      </c>
      <c r="R523">
        <f t="shared" si="32"/>
        <v>236.99149999999972</v>
      </c>
      <c r="S523" s="1">
        <f t="shared" si="34"/>
        <v>124.61431739482201</v>
      </c>
      <c r="T523" s="1">
        <f t="shared" si="35"/>
        <v>167.27318260517791</v>
      </c>
    </row>
    <row r="524" spans="1:20" x14ac:dyDescent="0.3">
      <c r="A524" t="s">
        <v>359</v>
      </c>
      <c r="B524" t="s">
        <v>392</v>
      </c>
      <c r="C524" t="s">
        <v>576</v>
      </c>
      <c r="D524" t="s">
        <v>14</v>
      </c>
      <c r="E524" s="2">
        <v>0</v>
      </c>
      <c r="F524" s="2">
        <v>0</v>
      </c>
      <c r="G524" s="2">
        <v>0</v>
      </c>
      <c r="H524" s="2">
        <v>0</v>
      </c>
      <c r="I524" s="1">
        <v>0</v>
      </c>
      <c r="J524" s="1">
        <v>0</v>
      </c>
      <c r="K524" s="1">
        <v>0</v>
      </c>
      <c r="L524" s="1">
        <v>0</v>
      </c>
      <c r="M524" s="2"/>
      <c r="N524" s="2"/>
      <c r="Q524" s="1">
        <f t="shared" si="33"/>
        <v>0</v>
      </c>
      <c r="R524">
        <f t="shared" si="32"/>
        <v>0</v>
      </c>
      <c r="S524" s="1">
        <f t="shared" si="34"/>
        <v>0</v>
      </c>
      <c r="T524" s="1">
        <f t="shared" si="35"/>
        <v>0</v>
      </c>
    </row>
    <row r="525" spans="1:20" x14ac:dyDescent="0.3">
      <c r="A525" t="s">
        <v>359</v>
      </c>
      <c r="B525" t="s">
        <v>735</v>
      </c>
      <c r="C525" t="s">
        <v>34</v>
      </c>
      <c r="D525" t="s">
        <v>35</v>
      </c>
      <c r="E525" s="2">
        <v>88.128</v>
      </c>
      <c r="F525" s="2">
        <v>0</v>
      </c>
      <c r="G525" s="2">
        <v>77.742999999999995</v>
      </c>
      <c r="H525" s="2">
        <v>-73.575000000000003</v>
      </c>
      <c r="I525" s="1">
        <v>0.94108001997095103</v>
      </c>
      <c r="J525" s="1">
        <v>0.91743259803921495</v>
      </c>
      <c r="K525" s="1">
        <v>0.82002168339505499</v>
      </c>
      <c r="L525" s="1">
        <v>0.53849093461511099</v>
      </c>
      <c r="M525" s="2"/>
      <c r="N525" s="2"/>
      <c r="Q525" s="1">
        <f t="shared" si="33"/>
        <v>82.935499999999976</v>
      </c>
      <c r="R525">
        <f t="shared" si="32"/>
        <v>80.85149999999993</v>
      </c>
      <c r="S525" s="1">
        <f t="shared" si="34"/>
        <v>72.266870914239405</v>
      </c>
      <c r="T525" s="1">
        <f t="shared" si="35"/>
        <v>47.456129085760502</v>
      </c>
    </row>
    <row r="526" spans="1:20" x14ac:dyDescent="0.3">
      <c r="A526" t="s">
        <v>359</v>
      </c>
      <c r="B526" t="s">
        <v>393</v>
      </c>
      <c r="C526" t="s">
        <v>34</v>
      </c>
      <c r="D526" t="s">
        <v>35</v>
      </c>
      <c r="E526" s="2">
        <v>1166.4860000000001</v>
      </c>
      <c r="F526" s="2">
        <v>0</v>
      </c>
      <c r="G526" s="2">
        <v>824.72199999999998</v>
      </c>
      <c r="H526" s="2">
        <v>-769.79700000000003</v>
      </c>
      <c r="I526" s="1">
        <v>0.85350702880274598</v>
      </c>
      <c r="J526" s="1">
        <v>0.82996409729735199</v>
      </c>
      <c r="K526" s="1">
        <v>0.78033855572674105</v>
      </c>
      <c r="L526" s="1">
        <v>0.40313257037335698</v>
      </c>
      <c r="M526" s="2"/>
      <c r="N526" s="2"/>
      <c r="Q526" s="1">
        <f t="shared" si="33"/>
        <v>995.60400000000004</v>
      </c>
      <c r="R526">
        <f t="shared" si="32"/>
        <v>968.14149999999904</v>
      </c>
      <c r="S526" s="1">
        <f t="shared" si="34"/>
        <v>910.2540005154633</v>
      </c>
      <c r="T526" s="1">
        <f t="shared" si="35"/>
        <v>470.24849948453573</v>
      </c>
    </row>
    <row r="527" spans="1:20" x14ac:dyDescent="0.3">
      <c r="A527" t="s">
        <v>359</v>
      </c>
      <c r="B527" t="s">
        <v>736</v>
      </c>
      <c r="C527" t="s">
        <v>576</v>
      </c>
      <c r="D527" t="s">
        <v>14</v>
      </c>
      <c r="E527" s="2">
        <v>47.787999999999997</v>
      </c>
      <c r="F527" s="2">
        <v>0</v>
      </c>
      <c r="G527" s="2">
        <v>39.140999999999998</v>
      </c>
      <c r="H527" s="2">
        <v>-34.896000000000001</v>
      </c>
      <c r="I527" s="1">
        <v>0.90952749644262099</v>
      </c>
      <c r="J527" s="1">
        <v>0.86511258056415796</v>
      </c>
      <c r="K527" s="1">
        <v>0.62750404005907401</v>
      </c>
      <c r="L527" s="1">
        <v>0.64713603694770505</v>
      </c>
      <c r="M527" s="2"/>
      <c r="N527" s="2"/>
      <c r="Q527" s="1">
        <f t="shared" si="33"/>
        <v>43.464499999999965</v>
      </c>
      <c r="R527">
        <f t="shared" si="32"/>
        <v>41.341999999999977</v>
      </c>
      <c r="S527" s="1">
        <f t="shared" si="34"/>
        <v>29.987163066343026</v>
      </c>
      <c r="T527" s="1">
        <f t="shared" si="35"/>
        <v>30.925336933656926</v>
      </c>
    </row>
    <row r="528" spans="1:20" x14ac:dyDescent="0.3">
      <c r="A528" t="s">
        <v>359</v>
      </c>
      <c r="B528" t="s">
        <v>394</v>
      </c>
      <c r="C528" t="s">
        <v>576</v>
      </c>
      <c r="D528" t="s">
        <v>14</v>
      </c>
      <c r="E528" s="2">
        <v>0</v>
      </c>
      <c r="F528" s="2">
        <v>0</v>
      </c>
      <c r="G528" s="2">
        <v>0</v>
      </c>
      <c r="H528" s="2">
        <v>0</v>
      </c>
      <c r="I528" s="1">
        <v>0</v>
      </c>
      <c r="J528" s="1">
        <v>0</v>
      </c>
      <c r="K528" s="1">
        <v>0</v>
      </c>
      <c r="L528" s="1">
        <v>0</v>
      </c>
      <c r="M528" s="2"/>
      <c r="N528" s="2"/>
      <c r="Q528" s="1">
        <f t="shared" si="33"/>
        <v>0</v>
      </c>
      <c r="R528">
        <f t="shared" si="32"/>
        <v>0</v>
      </c>
      <c r="S528" s="1">
        <f t="shared" si="34"/>
        <v>0</v>
      </c>
      <c r="T528" s="1">
        <f t="shared" si="35"/>
        <v>0</v>
      </c>
    </row>
    <row r="529" spans="1:20" x14ac:dyDescent="0.3">
      <c r="A529" t="s">
        <v>359</v>
      </c>
      <c r="B529" t="s">
        <v>395</v>
      </c>
      <c r="C529" t="s">
        <v>34</v>
      </c>
      <c r="D529" t="s">
        <v>35</v>
      </c>
      <c r="E529" s="2">
        <v>202.44300000000001</v>
      </c>
      <c r="F529" s="2">
        <v>0</v>
      </c>
      <c r="G529" s="2">
        <v>122.37</v>
      </c>
      <c r="H529" s="2">
        <v>-138.953</v>
      </c>
      <c r="I529" s="1">
        <v>0.802233221203005</v>
      </c>
      <c r="J529" s="1">
        <v>0.84319042891085305</v>
      </c>
      <c r="K529" s="1">
        <v>0.71481596333952202</v>
      </c>
      <c r="L529" s="1">
        <v>0.43060768677433597</v>
      </c>
      <c r="M529" s="2"/>
      <c r="N529" s="2"/>
      <c r="Q529" s="1">
        <f t="shared" si="33"/>
        <v>162.40649999999994</v>
      </c>
      <c r="R529">
        <f t="shared" si="32"/>
        <v>170.69799999999984</v>
      </c>
      <c r="S529" s="1">
        <f t="shared" si="34"/>
        <v>144.70948806634286</v>
      </c>
      <c r="T529" s="1">
        <f t="shared" si="35"/>
        <v>87.173511933656897</v>
      </c>
    </row>
    <row r="530" spans="1:20" x14ac:dyDescent="0.3">
      <c r="A530" t="s">
        <v>359</v>
      </c>
      <c r="B530" t="s">
        <v>396</v>
      </c>
      <c r="C530" t="s">
        <v>34</v>
      </c>
      <c r="D530" t="s">
        <v>35</v>
      </c>
      <c r="E530" s="2">
        <v>358.60700000000003</v>
      </c>
      <c r="F530" s="2">
        <v>0</v>
      </c>
      <c r="G530" s="2">
        <v>272.09199999999998</v>
      </c>
      <c r="H530" s="2">
        <v>-346.77100000000002</v>
      </c>
      <c r="I530" s="1">
        <v>0.87937352031611205</v>
      </c>
      <c r="J530" s="1">
        <v>0.98349725465481697</v>
      </c>
      <c r="K530" s="1">
        <v>0.75858855492949895</v>
      </c>
      <c r="L530" s="1">
        <v>0.60428222004142895</v>
      </c>
      <c r="M530" s="2"/>
      <c r="N530" s="2"/>
      <c r="Q530" s="1">
        <f t="shared" si="33"/>
        <v>315.34950000000003</v>
      </c>
      <c r="R530">
        <f t="shared" si="32"/>
        <v>352.68899999999996</v>
      </c>
      <c r="S530" s="1">
        <f t="shared" si="34"/>
        <v>272.03516591760285</v>
      </c>
      <c r="T530" s="1">
        <f t="shared" si="35"/>
        <v>216.69983408239673</v>
      </c>
    </row>
    <row r="531" spans="1:20" x14ac:dyDescent="0.3">
      <c r="A531" t="s">
        <v>359</v>
      </c>
      <c r="B531" t="s">
        <v>397</v>
      </c>
      <c r="C531" t="s">
        <v>576</v>
      </c>
      <c r="D531" t="s">
        <v>14</v>
      </c>
      <c r="E531" s="2">
        <v>154.38499999999999</v>
      </c>
      <c r="F531" s="2">
        <v>0</v>
      </c>
      <c r="G531" s="2">
        <v>100.976</v>
      </c>
      <c r="H531" s="2">
        <v>-50.1739999999999</v>
      </c>
      <c r="I531" s="1">
        <v>0.82702658937072904</v>
      </c>
      <c r="J531" s="1">
        <v>0.662496356511319</v>
      </c>
      <c r="K531" s="1">
        <v>0.56819268235497</v>
      </c>
      <c r="L531" s="1">
        <v>0.42133026352707698</v>
      </c>
      <c r="M531" s="2"/>
      <c r="N531" s="2"/>
      <c r="Q531" s="1">
        <f t="shared" si="33"/>
        <v>127.68049999999999</v>
      </c>
      <c r="R531">
        <f t="shared" si="32"/>
        <v>102.27949999999997</v>
      </c>
      <c r="S531" s="1">
        <f t="shared" si="34"/>
        <v>87.720427265372038</v>
      </c>
      <c r="T531" s="1">
        <f t="shared" si="35"/>
        <v>65.047072734627776</v>
      </c>
    </row>
    <row r="532" spans="1:20" x14ac:dyDescent="0.3">
      <c r="A532" t="s">
        <v>359</v>
      </c>
      <c r="B532" t="s">
        <v>398</v>
      </c>
      <c r="C532" t="s">
        <v>576</v>
      </c>
      <c r="D532" t="s">
        <v>14</v>
      </c>
      <c r="E532" s="2">
        <v>64.072999999999993</v>
      </c>
      <c r="F532" s="2">
        <v>0</v>
      </c>
      <c r="G532" s="2">
        <v>33.295999999999999</v>
      </c>
      <c r="H532" s="2">
        <v>-52.866</v>
      </c>
      <c r="I532" s="1">
        <v>0.75982863296552305</v>
      </c>
      <c r="J532" s="1">
        <v>0.91254506578433903</v>
      </c>
      <c r="K532" s="1">
        <v>0.50029338628062603</v>
      </c>
      <c r="L532" s="1">
        <v>0.67208031246923705</v>
      </c>
      <c r="M532" s="2"/>
      <c r="N532" s="2"/>
      <c r="Q532" s="1">
        <f t="shared" si="33"/>
        <v>48.68449999999995</v>
      </c>
      <c r="R532">
        <f t="shared" si="32"/>
        <v>58.469499999999947</v>
      </c>
      <c r="S532" s="1">
        <f t="shared" si="34"/>
        <v>32.055298139158545</v>
      </c>
      <c r="T532" s="1">
        <f t="shared" si="35"/>
        <v>43.062201860841419</v>
      </c>
    </row>
    <row r="533" spans="1:20" x14ac:dyDescent="0.3">
      <c r="A533" t="s">
        <v>359</v>
      </c>
      <c r="B533" t="s">
        <v>399</v>
      </c>
      <c r="C533" t="s">
        <v>34</v>
      </c>
      <c r="D533" t="s">
        <v>35</v>
      </c>
      <c r="E533" s="2">
        <v>204.155</v>
      </c>
      <c r="F533" s="2">
        <v>0</v>
      </c>
      <c r="G533" s="2">
        <v>138.13</v>
      </c>
      <c r="H533" s="2">
        <v>-154.315</v>
      </c>
      <c r="I533" s="1">
        <v>0.838296882270823</v>
      </c>
      <c r="J533" s="1">
        <v>0.87793588205040296</v>
      </c>
      <c r="K533" s="1">
        <v>0.71447099830313199</v>
      </c>
      <c r="L533" s="1">
        <v>0.50176176601809297</v>
      </c>
      <c r="M533" s="2"/>
      <c r="N533" s="2"/>
      <c r="Q533" s="1">
        <f t="shared" si="33"/>
        <v>171.14249999999987</v>
      </c>
      <c r="R533">
        <f t="shared" si="32"/>
        <v>179.23500000000001</v>
      </c>
      <c r="S533" s="1">
        <f t="shared" si="34"/>
        <v>145.8628266585759</v>
      </c>
      <c r="T533" s="1">
        <f t="shared" si="35"/>
        <v>102.43717334142377</v>
      </c>
    </row>
    <row r="534" spans="1:20" x14ac:dyDescent="0.3">
      <c r="A534" t="s">
        <v>359</v>
      </c>
      <c r="B534" t="s">
        <v>737</v>
      </c>
      <c r="C534" t="s">
        <v>576</v>
      </c>
      <c r="D534" t="s">
        <v>14</v>
      </c>
      <c r="E534" s="2">
        <v>207.916</v>
      </c>
      <c r="F534" s="2">
        <v>21.035</v>
      </c>
      <c r="G534" s="2">
        <v>46.796999999999997</v>
      </c>
      <c r="H534" s="2">
        <v>-54.134</v>
      </c>
      <c r="I534" s="1">
        <v>0.56195290405740705</v>
      </c>
      <c r="J534" s="1">
        <v>0.57959704880817198</v>
      </c>
      <c r="K534" s="1">
        <v>0.339394316636834</v>
      </c>
      <c r="L534" s="1">
        <v>0.35274096876688599</v>
      </c>
      <c r="M534" s="2"/>
      <c r="N534" s="2"/>
      <c r="Q534" s="1">
        <f t="shared" si="33"/>
        <v>116.83899999999984</v>
      </c>
      <c r="R534">
        <f t="shared" si="32"/>
        <v>120.50749999999988</v>
      </c>
      <c r="S534" s="1">
        <f t="shared" si="34"/>
        <v>70.565508737863979</v>
      </c>
      <c r="T534" s="1">
        <f t="shared" si="35"/>
        <v>73.34049126213587</v>
      </c>
    </row>
    <row r="535" spans="1:20" x14ac:dyDescent="0.3">
      <c r="A535" t="s">
        <v>359</v>
      </c>
      <c r="B535" t="s">
        <v>400</v>
      </c>
      <c r="C535" t="s">
        <v>574</v>
      </c>
      <c r="D535" t="s">
        <v>575</v>
      </c>
      <c r="E535" s="2">
        <v>0</v>
      </c>
      <c r="F535" s="2">
        <v>0</v>
      </c>
      <c r="G535" s="2">
        <v>0</v>
      </c>
      <c r="H535" s="2">
        <v>0</v>
      </c>
      <c r="I535" s="1">
        <v>0</v>
      </c>
      <c r="J535" s="1">
        <v>0</v>
      </c>
      <c r="K535" s="1">
        <v>0</v>
      </c>
      <c r="L535" s="1">
        <v>0</v>
      </c>
      <c r="M535" s="2"/>
      <c r="N535" s="2"/>
      <c r="Q535" s="1">
        <f t="shared" si="33"/>
        <v>0</v>
      </c>
      <c r="R535">
        <f t="shared" si="32"/>
        <v>0</v>
      </c>
      <c r="S535" s="1">
        <f t="shared" si="34"/>
        <v>0</v>
      </c>
      <c r="T535" s="1">
        <f t="shared" si="35"/>
        <v>0</v>
      </c>
    </row>
    <row r="536" spans="1:20" x14ac:dyDescent="0.3">
      <c r="A536" t="s">
        <v>359</v>
      </c>
      <c r="B536" t="s">
        <v>401</v>
      </c>
      <c r="C536" t="s">
        <v>576</v>
      </c>
      <c r="D536" t="s">
        <v>14</v>
      </c>
      <c r="E536" s="2">
        <v>57.061</v>
      </c>
      <c r="F536" s="2">
        <v>0</v>
      </c>
      <c r="G536" s="2">
        <v>30.774999999999999</v>
      </c>
      <c r="H536" s="2">
        <v>-38.935000000000002</v>
      </c>
      <c r="I536" s="1">
        <v>0.76966754876360299</v>
      </c>
      <c r="J536" s="1">
        <v>0.84116997599060594</v>
      </c>
      <c r="K536" s="1">
        <v>0.59350118782210504</v>
      </c>
      <c r="L536" s="1">
        <v>0.51733633693210501</v>
      </c>
      <c r="M536" s="2"/>
      <c r="N536" s="2"/>
      <c r="Q536" s="1">
        <f t="shared" si="33"/>
        <v>43.91799999999995</v>
      </c>
      <c r="R536">
        <f t="shared" si="32"/>
        <v>47.997999999999969</v>
      </c>
      <c r="S536" s="1">
        <f t="shared" si="34"/>
        <v>33.865771278317133</v>
      </c>
      <c r="T536" s="1">
        <f t="shared" si="35"/>
        <v>29.519728721682846</v>
      </c>
    </row>
    <row r="537" spans="1:20" x14ac:dyDescent="0.3">
      <c r="A537" t="s">
        <v>359</v>
      </c>
      <c r="B537" t="s">
        <v>402</v>
      </c>
      <c r="C537" t="s">
        <v>576</v>
      </c>
      <c r="D537" t="s">
        <v>14</v>
      </c>
      <c r="E537" s="2">
        <v>0</v>
      </c>
      <c r="F537" s="2">
        <v>0</v>
      </c>
      <c r="G537" s="2">
        <v>0</v>
      </c>
      <c r="H537" s="2">
        <v>0</v>
      </c>
      <c r="I537" s="1">
        <v>0</v>
      </c>
      <c r="J537" s="1">
        <v>0</v>
      </c>
      <c r="K537" s="1">
        <v>0</v>
      </c>
      <c r="L537" s="1">
        <v>0</v>
      </c>
      <c r="M537" s="2"/>
      <c r="N537" s="2"/>
      <c r="Q537" s="1">
        <f t="shared" si="33"/>
        <v>0</v>
      </c>
      <c r="R537">
        <f t="shared" si="32"/>
        <v>0</v>
      </c>
      <c r="S537" s="1">
        <f t="shared" si="34"/>
        <v>0</v>
      </c>
      <c r="T537" s="1">
        <f t="shared" si="35"/>
        <v>0</v>
      </c>
    </row>
    <row r="538" spans="1:20" x14ac:dyDescent="0.3">
      <c r="A538" t="s">
        <v>359</v>
      </c>
      <c r="B538" t="s">
        <v>403</v>
      </c>
      <c r="C538" t="s">
        <v>34</v>
      </c>
      <c r="D538" t="s">
        <v>35</v>
      </c>
      <c r="E538" s="2">
        <v>75.156999999999996</v>
      </c>
      <c r="F538" s="2">
        <v>0</v>
      </c>
      <c r="G538" s="2">
        <v>69.781000000000006</v>
      </c>
      <c r="H538" s="2">
        <v>-54.1619999999999</v>
      </c>
      <c r="I538" s="1">
        <v>0.96423486834227001</v>
      </c>
      <c r="J538" s="1">
        <v>0.86032571816331105</v>
      </c>
      <c r="K538" s="1">
        <v>0.85393988573132695</v>
      </c>
      <c r="L538" s="1">
        <v>0.470620700774254</v>
      </c>
      <c r="M538" s="2"/>
      <c r="N538" s="2"/>
      <c r="Q538" s="1">
        <f t="shared" si="33"/>
        <v>72.46899999999998</v>
      </c>
      <c r="R538">
        <f t="shared" si="32"/>
        <v>64.659499999999966</v>
      </c>
      <c r="S538" s="1">
        <f t="shared" si="34"/>
        <v>64.179559991909343</v>
      </c>
      <c r="T538" s="1">
        <f t="shared" si="35"/>
        <v>35.370440008090604</v>
      </c>
    </row>
    <row r="539" spans="1:20" x14ac:dyDescent="0.3">
      <c r="A539" t="s">
        <v>359</v>
      </c>
      <c r="B539" t="s">
        <v>738</v>
      </c>
      <c r="C539" t="s">
        <v>576</v>
      </c>
      <c r="D539" t="s">
        <v>14</v>
      </c>
      <c r="E539" s="2">
        <v>55.787999999999997</v>
      </c>
      <c r="F539" s="2">
        <v>0</v>
      </c>
      <c r="G539" s="2">
        <v>26.546999999999901</v>
      </c>
      <c r="H539" s="2">
        <v>-42.334000000000003</v>
      </c>
      <c r="I539" s="1">
        <v>0.73792751129275103</v>
      </c>
      <c r="J539" s="1">
        <v>0.87941851294185103</v>
      </c>
      <c r="K539" s="1">
        <v>0.54645260878967805</v>
      </c>
      <c r="L539" s="1">
        <v>0.570893415444924</v>
      </c>
      <c r="M539" s="2"/>
      <c r="N539" s="2"/>
      <c r="Q539" s="1">
        <f t="shared" si="33"/>
        <v>41.16749999999999</v>
      </c>
      <c r="R539">
        <f t="shared" si="32"/>
        <v>49.060999999999986</v>
      </c>
      <c r="S539" s="1">
        <f t="shared" si="34"/>
        <v>30.485498139158558</v>
      </c>
      <c r="T539" s="1">
        <f t="shared" si="35"/>
        <v>31.849001860841419</v>
      </c>
    </row>
    <row r="540" spans="1:20" x14ac:dyDescent="0.3">
      <c r="A540" t="s">
        <v>359</v>
      </c>
      <c r="B540" t="s">
        <v>404</v>
      </c>
      <c r="C540" t="s">
        <v>574</v>
      </c>
      <c r="D540" t="s">
        <v>575</v>
      </c>
      <c r="E540" s="2">
        <v>56.759</v>
      </c>
      <c r="F540" s="2">
        <v>0</v>
      </c>
      <c r="G540" s="2">
        <v>42.683</v>
      </c>
      <c r="H540" s="2">
        <v>-45.872999999999998</v>
      </c>
      <c r="I540" s="1">
        <v>0.87600204372874702</v>
      </c>
      <c r="J540" s="1">
        <v>0.90410331401187405</v>
      </c>
      <c r="K540" s="1">
        <v>0.634693167147237</v>
      </c>
      <c r="L540" s="1">
        <v>0.64541219059338495</v>
      </c>
      <c r="M540" s="2"/>
      <c r="N540" s="2"/>
      <c r="Q540" s="1">
        <f t="shared" si="33"/>
        <v>49.720999999999954</v>
      </c>
      <c r="R540">
        <f t="shared" si="32"/>
        <v>51.31599999999996</v>
      </c>
      <c r="S540" s="1">
        <f t="shared" si="34"/>
        <v>36.024549474110025</v>
      </c>
      <c r="T540" s="1">
        <f t="shared" si="35"/>
        <v>36.632950525889939</v>
      </c>
    </row>
    <row r="541" spans="1:20" x14ac:dyDescent="0.3">
      <c r="A541" t="s">
        <v>359</v>
      </c>
      <c r="B541" t="s">
        <v>739</v>
      </c>
      <c r="C541" t="s">
        <v>34</v>
      </c>
      <c r="D541" t="s">
        <v>35</v>
      </c>
      <c r="E541" s="2">
        <v>86.245999999999995</v>
      </c>
      <c r="F541" s="2">
        <v>0</v>
      </c>
      <c r="G541" s="2">
        <v>71.789000000000001</v>
      </c>
      <c r="H541" s="2">
        <v>-77.906000000000006</v>
      </c>
      <c r="I541" s="1">
        <v>0.916187417387473</v>
      </c>
      <c r="J541" s="1">
        <v>0.95164993159102995</v>
      </c>
      <c r="K541" s="1">
        <v>0.788747757787294</v>
      </c>
      <c r="L541" s="1">
        <v>0.57908959119120895</v>
      </c>
      <c r="M541" s="2"/>
      <c r="N541" s="2"/>
      <c r="Q541" s="1">
        <f t="shared" si="33"/>
        <v>79.017499999999998</v>
      </c>
      <c r="R541">
        <f t="shared" si="32"/>
        <v>82.075999999999965</v>
      </c>
      <c r="S541" s="1">
        <f t="shared" si="34"/>
        <v>68.026339118122948</v>
      </c>
      <c r="T541" s="1">
        <f t="shared" si="35"/>
        <v>49.944160881877004</v>
      </c>
    </row>
    <row r="542" spans="1:20" x14ac:dyDescent="0.3">
      <c r="A542" t="s">
        <v>359</v>
      </c>
      <c r="B542" t="s">
        <v>740</v>
      </c>
      <c r="C542" t="s">
        <v>576</v>
      </c>
      <c r="D542" t="s">
        <v>598</v>
      </c>
      <c r="E542" s="2">
        <v>166.18199999999999</v>
      </c>
      <c r="F542" s="2">
        <v>0</v>
      </c>
      <c r="G542" s="2">
        <v>69.994</v>
      </c>
      <c r="H542" s="2">
        <v>-69.861000000000004</v>
      </c>
      <c r="I542" s="1">
        <v>0.71059440854003397</v>
      </c>
      <c r="J542" s="1">
        <v>0.71019424486406402</v>
      </c>
      <c r="K542" s="1">
        <v>0.39340834359910798</v>
      </c>
      <c r="L542" s="1">
        <v>0.52738030980498996</v>
      </c>
      <c r="M542" s="2"/>
      <c r="N542" s="2"/>
      <c r="Q542" s="1">
        <f t="shared" si="33"/>
        <v>118.08799999999992</v>
      </c>
      <c r="R542">
        <f t="shared" si="32"/>
        <v>118.02149999999988</v>
      </c>
      <c r="S542" s="1">
        <f t="shared" si="34"/>
        <v>65.377385355986959</v>
      </c>
      <c r="T542" s="1">
        <f t="shared" si="35"/>
        <v>87.641114644012831</v>
      </c>
    </row>
    <row r="543" spans="1:20" x14ac:dyDescent="0.3">
      <c r="A543" t="s">
        <v>359</v>
      </c>
      <c r="B543" t="s">
        <v>741</v>
      </c>
      <c r="C543" t="s">
        <v>34</v>
      </c>
      <c r="D543" t="s">
        <v>35</v>
      </c>
      <c r="E543" s="2">
        <v>143.28200000000001</v>
      </c>
      <c r="F543" s="2">
        <v>0</v>
      </c>
      <c r="G543" s="2">
        <v>100.038</v>
      </c>
      <c r="H543" s="2">
        <v>-103.251</v>
      </c>
      <c r="I543" s="1">
        <v>0.84909479208832905</v>
      </c>
      <c r="J543" s="1">
        <v>0.86030694713920797</v>
      </c>
      <c r="K543" s="1">
        <v>0.74991422475576996</v>
      </c>
      <c r="L543" s="1">
        <v>0.459487514471766</v>
      </c>
      <c r="M543" s="2"/>
      <c r="N543" s="2"/>
      <c r="Q543" s="1">
        <f t="shared" si="33"/>
        <v>121.65999999999997</v>
      </c>
      <c r="R543">
        <f t="shared" si="32"/>
        <v>123.26650000000001</v>
      </c>
      <c r="S543" s="1">
        <f t="shared" si="34"/>
        <v>107.44920995145624</v>
      </c>
      <c r="T543" s="1">
        <f t="shared" si="35"/>
        <v>65.836290048543574</v>
      </c>
    </row>
    <row r="544" spans="1:20" x14ac:dyDescent="0.3">
      <c r="A544" t="s">
        <v>359</v>
      </c>
      <c r="B544" t="s">
        <v>405</v>
      </c>
      <c r="C544" t="s">
        <v>576</v>
      </c>
      <c r="D544" t="s">
        <v>14</v>
      </c>
      <c r="E544" s="2">
        <v>107.691</v>
      </c>
      <c r="F544" s="2">
        <v>0</v>
      </c>
      <c r="G544" s="2">
        <v>58.824999999999903</v>
      </c>
      <c r="H544" s="2">
        <v>-73.692999999999998</v>
      </c>
      <c r="I544" s="1">
        <v>0.77311938787828105</v>
      </c>
      <c r="J544" s="1">
        <v>0.84215022610988799</v>
      </c>
      <c r="K544" s="1">
        <v>0.59552633870748295</v>
      </c>
      <c r="L544" s="1">
        <v>0.51974327528068598</v>
      </c>
      <c r="M544" s="2"/>
      <c r="N544" s="2"/>
      <c r="Q544" s="1">
        <f t="shared" si="33"/>
        <v>83.257999999999967</v>
      </c>
      <c r="R544">
        <f t="shared" si="32"/>
        <v>90.69199999999995</v>
      </c>
      <c r="S544" s="1">
        <f t="shared" si="34"/>
        <v>64.132826941747552</v>
      </c>
      <c r="T544" s="1">
        <f t="shared" si="35"/>
        <v>55.971673058252357</v>
      </c>
    </row>
    <row r="545" spans="1:20" x14ac:dyDescent="0.3">
      <c r="A545" t="s">
        <v>359</v>
      </c>
      <c r="B545" t="s">
        <v>406</v>
      </c>
      <c r="C545" t="s">
        <v>34</v>
      </c>
      <c r="D545" t="s">
        <v>35</v>
      </c>
      <c r="E545" s="2">
        <v>499.81700000000001</v>
      </c>
      <c r="F545" s="2">
        <v>0</v>
      </c>
      <c r="G545" s="2">
        <v>410.20299999999997</v>
      </c>
      <c r="H545" s="2">
        <v>-404.878999999999</v>
      </c>
      <c r="I545" s="1">
        <v>0.91035318926727105</v>
      </c>
      <c r="J545" s="1">
        <v>0.90502723996982803</v>
      </c>
      <c r="K545" s="1">
        <v>0.77414741789022201</v>
      </c>
      <c r="L545" s="1">
        <v>0.54123301134687696</v>
      </c>
      <c r="M545" s="2"/>
      <c r="N545" s="2"/>
      <c r="Q545" s="1">
        <f t="shared" si="33"/>
        <v>455.00999999999959</v>
      </c>
      <c r="R545">
        <f t="shared" si="32"/>
        <v>452.34799999999956</v>
      </c>
      <c r="S545" s="1">
        <f t="shared" si="34"/>
        <v>386.93203996763708</v>
      </c>
      <c r="T545" s="1">
        <f t="shared" si="35"/>
        <v>270.51746003236201</v>
      </c>
    </row>
    <row r="546" spans="1:20" x14ac:dyDescent="0.3">
      <c r="A546" t="s">
        <v>359</v>
      </c>
      <c r="B546" t="s">
        <v>407</v>
      </c>
      <c r="C546" t="s">
        <v>576</v>
      </c>
      <c r="D546" t="s">
        <v>14</v>
      </c>
      <c r="E546" s="2">
        <v>51.982999999999997</v>
      </c>
      <c r="F546" s="2">
        <v>0</v>
      </c>
      <c r="G546" s="2">
        <v>21.954000000000001</v>
      </c>
      <c r="H546" s="2">
        <v>-19.497999999999902</v>
      </c>
      <c r="I546" s="1">
        <v>0.71116518861935596</v>
      </c>
      <c r="J546" s="1">
        <v>0.68754208106496295</v>
      </c>
      <c r="K546" s="1">
        <v>0.50722059791516305</v>
      </c>
      <c r="L546" s="1">
        <v>0.39148667176915602</v>
      </c>
      <c r="M546" s="2"/>
      <c r="N546" s="2"/>
      <c r="Q546" s="1">
        <f t="shared" si="33"/>
        <v>36.968499999999977</v>
      </c>
      <c r="R546">
        <f t="shared" si="32"/>
        <v>35.740499999999969</v>
      </c>
      <c r="S546" s="1">
        <f t="shared" si="34"/>
        <v>26.366848341423918</v>
      </c>
      <c r="T546" s="1">
        <f t="shared" si="35"/>
        <v>20.350651658576037</v>
      </c>
    </row>
    <row r="547" spans="1:20" x14ac:dyDescent="0.3">
      <c r="A547" t="s">
        <v>359</v>
      </c>
      <c r="B547" t="s">
        <v>408</v>
      </c>
      <c r="C547" t="s">
        <v>576</v>
      </c>
      <c r="D547" t="s">
        <v>14</v>
      </c>
      <c r="E547" s="2">
        <v>76.971000000000004</v>
      </c>
      <c r="F547" s="2">
        <v>0</v>
      </c>
      <c r="G547" s="2">
        <v>43.470999999999997</v>
      </c>
      <c r="H547" s="2">
        <v>-60.420999999999999</v>
      </c>
      <c r="I547" s="1">
        <v>0.78238557378753004</v>
      </c>
      <c r="J547" s="1">
        <v>0.89249197749801801</v>
      </c>
      <c r="K547" s="1">
        <v>0.53932750183852196</v>
      </c>
      <c r="L547" s="1">
        <v>0.63555004944702598</v>
      </c>
      <c r="M547" s="2"/>
      <c r="N547" s="2"/>
      <c r="Q547" s="1">
        <f t="shared" si="33"/>
        <v>60.220999999999975</v>
      </c>
      <c r="R547">
        <f t="shared" si="32"/>
        <v>68.695999999999941</v>
      </c>
      <c r="S547" s="1">
        <f t="shared" si="34"/>
        <v>41.512577144012873</v>
      </c>
      <c r="T547" s="1">
        <f t="shared" si="35"/>
        <v>48.918922855987041</v>
      </c>
    </row>
    <row r="548" spans="1:20" x14ac:dyDescent="0.3">
      <c r="A548" t="s">
        <v>359</v>
      </c>
      <c r="B548" t="s">
        <v>409</v>
      </c>
      <c r="C548" t="s">
        <v>34</v>
      </c>
      <c r="D548" t="s">
        <v>35</v>
      </c>
      <c r="E548" s="2">
        <v>489.16</v>
      </c>
      <c r="F548" s="2">
        <v>0</v>
      </c>
      <c r="G548" s="2">
        <v>381.14499999999998</v>
      </c>
      <c r="H548" s="2">
        <v>-315.69299999999998</v>
      </c>
      <c r="I548" s="1">
        <v>0.88959134025676601</v>
      </c>
      <c r="J548" s="1">
        <v>0.82268889524899802</v>
      </c>
      <c r="K548" s="1">
        <v>0.80488884876843103</v>
      </c>
      <c r="L548" s="1">
        <v>0.40739138673733299</v>
      </c>
      <c r="M548" s="2"/>
      <c r="N548" s="2"/>
      <c r="Q548" s="1">
        <f t="shared" si="33"/>
        <v>435.15249999999969</v>
      </c>
      <c r="R548">
        <f t="shared" si="32"/>
        <v>402.42649999999992</v>
      </c>
      <c r="S548" s="1">
        <f t="shared" si="34"/>
        <v>393.71942926356576</v>
      </c>
      <c r="T548" s="1">
        <f t="shared" si="35"/>
        <v>199.27957073643381</v>
      </c>
    </row>
    <row r="549" spans="1:20" x14ac:dyDescent="0.3">
      <c r="A549" t="s">
        <v>359</v>
      </c>
      <c r="B549" t="s">
        <v>742</v>
      </c>
      <c r="C549" t="s">
        <v>34</v>
      </c>
      <c r="D549" t="s">
        <v>35</v>
      </c>
      <c r="E549" s="2">
        <v>1287.8050000000001</v>
      </c>
      <c r="F549" s="2">
        <v>0</v>
      </c>
      <c r="G549" s="2">
        <v>870.272999999999</v>
      </c>
      <c r="H549" s="2">
        <v>-782.05499999999995</v>
      </c>
      <c r="I549" s="1">
        <v>0.83789005323010801</v>
      </c>
      <c r="J549" s="1">
        <v>0.80363874965542104</v>
      </c>
      <c r="K549" s="1">
        <v>0.74147252134282404</v>
      </c>
      <c r="L549" s="1">
        <v>0.40005628154270501</v>
      </c>
      <c r="M549" s="2"/>
      <c r="N549" s="2"/>
      <c r="Q549" s="1">
        <f t="shared" si="33"/>
        <v>1079.0389999999993</v>
      </c>
      <c r="R549">
        <f t="shared" si="32"/>
        <v>1034.9299999999996</v>
      </c>
      <c r="S549" s="1">
        <f t="shared" si="34"/>
        <v>954.87202034789561</v>
      </c>
      <c r="T549" s="1">
        <f t="shared" si="35"/>
        <v>515.19447965210327</v>
      </c>
    </row>
    <row r="550" spans="1:20" x14ac:dyDescent="0.3">
      <c r="A550" t="s">
        <v>359</v>
      </c>
      <c r="B550" t="s">
        <v>743</v>
      </c>
      <c r="C550" t="s">
        <v>576</v>
      </c>
      <c r="D550" t="s">
        <v>14</v>
      </c>
      <c r="E550" s="2">
        <v>192.87799999999999</v>
      </c>
      <c r="F550" s="2">
        <v>0</v>
      </c>
      <c r="G550" s="2">
        <v>40.512999999999899</v>
      </c>
      <c r="H550" s="2">
        <v>-58.477999999999902</v>
      </c>
      <c r="I550" s="1">
        <v>0.60502234573149805</v>
      </c>
      <c r="J550" s="1">
        <v>0.65159323510198097</v>
      </c>
      <c r="K550" s="1">
        <v>0.424261424445876</v>
      </c>
      <c r="L550" s="1">
        <v>0.33235415638760302</v>
      </c>
      <c r="M550" s="2"/>
      <c r="N550" s="2"/>
      <c r="Q550" s="1">
        <f t="shared" si="33"/>
        <v>116.69549999999987</v>
      </c>
      <c r="R550">
        <f t="shared" si="32"/>
        <v>125.67799999999988</v>
      </c>
      <c r="S550" s="1">
        <f t="shared" si="34"/>
        <v>81.830695024271662</v>
      </c>
      <c r="T550" s="1">
        <f t="shared" si="35"/>
        <v>64.103804975728096</v>
      </c>
    </row>
    <row r="551" spans="1:20" x14ac:dyDescent="0.3">
      <c r="A551" t="s">
        <v>359</v>
      </c>
      <c r="B551" t="s">
        <v>744</v>
      </c>
      <c r="C551" t="s">
        <v>34</v>
      </c>
      <c r="D551" t="s">
        <v>35</v>
      </c>
      <c r="E551" s="2">
        <v>197.27500000000001</v>
      </c>
      <c r="F551" s="2">
        <v>0</v>
      </c>
      <c r="G551" s="2">
        <v>156.85</v>
      </c>
      <c r="H551" s="2">
        <v>-146.32900000000001</v>
      </c>
      <c r="I551" s="1">
        <v>0.897541502978076</v>
      </c>
      <c r="J551" s="1">
        <v>0.87087568115574698</v>
      </c>
      <c r="K551" s="1">
        <v>0.801773617509003</v>
      </c>
      <c r="L551" s="1">
        <v>0.46664356662481898</v>
      </c>
      <c r="M551" s="2"/>
      <c r="N551" s="2"/>
      <c r="Q551" s="1">
        <f t="shared" si="33"/>
        <v>177.06249999999994</v>
      </c>
      <c r="R551">
        <f t="shared" si="32"/>
        <v>171.80199999999999</v>
      </c>
      <c r="S551" s="1">
        <f t="shared" si="34"/>
        <v>158.16989039408858</v>
      </c>
      <c r="T551" s="1">
        <f t="shared" si="35"/>
        <v>92.057109605911165</v>
      </c>
    </row>
    <row r="552" spans="1:20" x14ac:dyDescent="0.3">
      <c r="A552" t="s">
        <v>359</v>
      </c>
      <c r="B552" t="s">
        <v>745</v>
      </c>
      <c r="C552" t="s">
        <v>34</v>
      </c>
      <c r="D552" t="s">
        <v>35</v>
      </c>
      <c r="E552" s="2">
        <v>477.928</v>
      </c>
      <c r="F552" s="2">
        <v>0</v>
      </c>
      <c r="G552" s="2">
        <v>296.423</v>
      </c>
      <c r="H552" s="2">
        <v>-300.55500000000001</v>
      </c>
      <c r="I552" s="1">
        <v>0.81011261110460098</v>
      </c>
      <c r="J552" s="1">
        <v>0.81443543797392004</v>
      </c>
      <c r="K552" s="1">
        <v>0.70852946192601896</v>
      </c>
      <c r="L552" s="1">
        <v>0.41601858715250301</v>
      </c>
      <c r="M552" s="2"/>
      <c r="N552" s="2"/>
      <c r="Q552" s="1">
        <f t="shared" si="33"/>
        <v>387.17549999999972</v>
      </c>
      <c r="R552">
        <f t="shared" si="32"/>
        <v>389.24149999999963</v>
      </c>
      <c r="S552" s="1">
        <f t="shared" si="34"/>
        <v>338.62606867937836</v>
      </c>
      <c r="T552" s="1">
        <f t="shared" si="35"/>
        <v>198.82693132062147</v>
      </c>
    </row>
    <row r="553" spans="1:20" x14ac:dyDescent="0.3">
      <c r="A553" t="s">
        <v>359</v>
      </c>
      <c r="B553" t="s">
        <v>410</v>
      </c>
      <c r="C553" t="s">
        <v>34</v>
      </c>
      <c r="D553" t="s">
        <v>35</v>
      </c>
      <c r="E553" s="2">
        <v>478.42700000000002</v>
      </c>
      <c r="F553" s="2">
        <v>0</v>
      </c>
      <c r="G553" s="2">
        <v>345.34199999999998</v>
      </c>
      <c r="H553" s="2">
        <v>-352.22199999999998</v>
      </c>
      <c r="I553" s="1">
        <v>0.86091399523856305</v>
      </c>
      <c r="J553" s="1">
        <v>0.86810422488697303</v>
      </c>
      <c r="K553" s="1">
        <v>0.74230431496709703</v>
      </c>
      <c r="L553" s="1">
        <v>0.48671390515843799</v>
      </c>
      <c r="M553" s="2"/>
      <c r="N553" s="2"/>
      <c r="Q553" s="1">
        <f t="shared" si="33"/>
        <v>411.8845</v>
      </c>
      <c r="R553">
        <f t="shared" si="32"/>
        <v>415.32449999999989</v>
      </c>
      <c r="S553" s="1">
        <f t="shared" si="34"/>
        <v>355.13842649676337</v>
      </c>
      <c r="T553" s="1">
        <f t="shared" si="35"/>
        <v>232.85707350323602</v>
      </c>
    </row>
    <row r="554" spans="1:20" x14ac:dyDescent="0.3">
      <c r="A554" t="s">
        <v>359</v>
      </c>
      <c r="B554" t="s">
        <v>411</v>
      </c>
      <c r="C554" t="s">
        <v>34</v>
      </c>
      <c r="D554" t="s">
        <v>35</v>
      </c>
      <c r="E554" s="2">
        <v>321.77499999999998</v>
      </c>
      <c r="F554" s="2">
        <v>0</v>
      </c>
      <c r="G554" s="2">
        <v>234.36500000000001</v>
      </c>
      <c r="H554" s="2">
        <v>-242.15199999999999</v>
      </c>
      <c r="I554" s="1">
        <v>0.86417527775619596</v>
      </c>
      <c r="J554" s="1">
        <v>0.87627534768083204</v>
      </c>
      <c r="K554" s="1">
        <v>0.74766656269745602</v>
      </c>
      <c r="L554" s="1">
        <v>0.49278406273957198</v>
      </c>
      <c r="M554" s="2"/>
      <c r="N554" s="2"/>
      <c r="Q554" s="1">
        <f t="shared" si="33"/>
        <v>278.06999999999994</v>
      </c>
      <c r="R554">
        <f t="shared" si="32"/>
        <v>281.96349999999973</v>
      </c>
      <c r="S554" s="1">
        <f t="shared" si="34"/>
        <v>240.58040821197389</v>
      </c>
      <c r="T554" s="1">
        <f t="shared" si="35"/>
        <v>158.56559178802576</v>
      </c>
    </row>
    <row r="555" spans="1:20" x14ac:dyDescent="0.3">
      <c r="A555" t="s">
        <v>359</v>
      </c>
      <c r="B555" t="s">
        <v>412</v>
      </c>
      <c r="C555" t="s">
        <v>574</v>
      </c>
      <c r="D555" t="s">
        <v>575</v>
      </c>
      <c r="E555" s="2">
        <v>150.65600000000001</v>
      </c>
      <c r="F555" s="2">
        <v>0</v>
      </c>
      <c r="G555" s="2">
        <v>69.127999999999901</v>
      </c>
      <c r="H555" s="2">
        <v>-129.89699999999999</v>
      </c>
      <c r="I555" s="1">
        <v>0.72942332200509696</v>
      </c>
      <c r="J555" s="1">
        <v>0.93110463572642299</v>
      </c>
      <c r="K555" s="1">
        <v>0.34499464950521402</v>
      </c>
      <c r="L555" s="1">
        <v>0.81553330822630599</v>
      </c>
      <c r="M555" s="2"/>
      <c r="N555" s="2"/>
      <c r="Q555" s="1">
        <f t="shared" si="33"/>
        <v>109.8919999999999</v>
      </c>
      <c r="R555">
        <f t="shared" si="32"/>
        <v>140.2765</v>
      </c>
      <c r="S555" s="1">
        <f t="shared" si="34"/>
        <v>51.975513915857526</v>
      </c>
      <c r="T555" s="1">
        <f t="shared" si="35"/>
        <v>122.86498608414236</v>
      </c>
    </row>
    <row r="556" spans="1:20" x14ac:dyDescent="0.3">
      <c r="A556" t="s">
        <v>359</v>
      </c>
      <c r="B556" t="s">
        <v>746</v>
      </c>
      <c r="C556" t="s">
        <v>34</v>
      </c>
      <c r="D556" t="s">
        <v>35</v>
      </c>
      <c r="E556" s="2">
        <v>87.775999999999996</v>
      </c>
      <c r="F556" s="2">
        <v>0</v>
      </c>
      <c r="G556" s="2">
        <v>65.807999999999893</v>
      </c>
      <c r="H556" s="2">
        <v>-70.774999999999906</v>
      </c>
      <c r="I556" s="1">
        <v>0.87486328837039695</v>
      </c>
      <c r="J556" s="1">
        <v>0.90315689938024002</v>
      </c>
      <c r="K556" s="1">
        <v>0.74797713934896903</v>
      </c>
      <c r="L556" s="1">
        <v>0.53004304840166805</v>
      </c>
      <c r="M556" s="2"/>
      <c r="N556" s="2"/>
      <c r="Q556" s="1">
        <f t="shared" si="33"/>
        <v>76.791999999999959</v>
      </c>
      <c r="R556">
        <f t="shared" si="32"/>
        <v>79.275499999999951</v>
      </c>
      <c r="S556" s="1">
        <f t="shared" si="34"/>
        <v>65.654441383495097</v>
      </c>
      <c r="T556" s="1">
        <f t="shared" si="35"/>
        <v>46.525058616504815</v>
      </c>
    </row>
    <row r="557" spans="1:20" x14ac:dyDescent="0.3">
      <c r="A557" t="s">
        <v>359</v>
      </c>
      <c r="B557" t="s">
        <v>413</v>
      </c>
      <c r="C557" t="s">
        <v>34</v>
      </c>
      <c r="D557" t="s">
        <v>35</v>
      </c>
      <c r="E557" s="2">
        <v>358.55799999999999</v>
      </c>
      <c r="F557" s="2">
        <v>0</v>
      </c>
      <c r="G557" s="2">
        <v>233.4</v>
      </c>
      <c r="H557" s="2">
        <v>-253.07</v>
      </c>
      <c r="I557" s="1">
        <v>0.82547035626035403</v>
      </c>
      <c r="J557" s="1">
        <v>0.85289967034622005</v>
      </c>
      <c r="K557" s="1">
        <v>0.74063406019212696</v>
      </c>
      <c r="L557" s="1">
        <v>0.43773596641444601</v>
      </c>
      <c r="M557" s="2"/>
      <c r="N557" s="2"/>
      <c r="Q557" s="1">
        <f t="shared" si="33"/>
        <v>295.97900000000004</v>
      </c>
      <c r="R557">
        <f t="shared" si="32"/>
        <v>305.81399999999996</v>
      </c>
      <c r="S557" s="1">
        <f t="shared" si="34"/>
        <v>265.56026735436865</v>
      </c>
      <c r="T557" s="1">
        <f t="shared" si="35"/>
        <v>156.95373264563094</v>
      </c>
    </row>
    <row r="558" spans="1:20" x14ac:dyDescent="0.3">
      <c r="A558" t="s">
        <v>359</v>
      </c>
      <c r="B558" t="s">
        <v>414</v>
      </c>
      <c r="C558" t="s">
        <v>34</v>
      </c>
      <c r="D558" t="s">
        <v>35</v>
      </c>
      <c r="E558" s="2">
        <v>322.61</v>
      </c>
      <c r="F558" s="2">
        <v>0</v>
      </c>
      <c r="G558" s="2">
        <v>256.80500000000001</v>
      </c>
      <c r="H558" s="2">
        <v>-263.221</v>
      </c>
      <c r="I558" s="1">
        <v>0.89801153095068298</v>
      </c>
      <c r="J558" s="1">
        <v>0.90795542605622803</v>
      </c>
      <c r="K558" s="1">
        <v>0.77606997610709305</v>
      </c>
      <c r="L558" s="1">
        <v>0.52989698089981896</v>
      </c>
      <c r="M558" s="2"/>
      <c r="N558" s="2"/>
      <c r="Q558" s="1">
        <f t="shared" si="33"/>
        <v>289.70749999999987</v>
      </c>
      <c r="R558">
        <f t="shared" si="32"/>
        <v>292.91549999999972</v>
      </c>
      <c r="S558" s="1">
        <f t="shared" si="34"/>
        <v>250.36793499190929</v>
      </c>
      <c r="T558" s="1">
        <f t="shared" si="35"/>
        <v>170.9500650080906</v>
      </c>
    </row>
    <row r="559" spans="1:20" x14ac:dyDescent="0.3">
      <c r="A559" t="s">
        <v>359</v>
      </c>
      <c r="B559" t="s">
        <v>747</v>
      </c>
      <c r="C559" t="s">
        <v>576</v>
      </c>
      <c r="D559" t="s">
        <v>14</v>
      </c>
      <c r="E559" s="2">
        <v>87.245999999999995</v>
      </c>
      <c r="F559" s="2">
        <v>0</v>
      </c>
      <c r="G559" s="2">
        <v>51.881</v>
      </c>
      <c r="H559" s="2">
        <v>-50.866999999999997</v>
      </c>
      <c r="I559" s="1">
        <v>0.797325951906104</v>
      </c>
      <c r="J559" s="1">
        <v>0.79151479723998797</v>
      </c>
      <c r="K559" s="1">
        <v>0.60330703257544904</v>
      </c>
      <c r="L559" s="1">
        <v>0.48553371657064298</v>
      </c>
      <c r="M559" s="2"/>
      <c r="N559" s="2"/>
      <c r="Q559" s="1">
        <f t="shared" si="33"/>
        <v>69.563499999999948</v>
      </c>
      <c r="R559">
        <f t="shared" si="32"/>
        <v>69.056499999999986</v>
      </c>
      <c r="S559" s="1">
        <f t="shared" si="34"/>
        <v>52.636125364077621</v>
      </c>
      <c r="T559" s="1">
        <f t="shared" si="35"/>
        <v>42.360874635922315</v>
      </c>
    </row>
    <row r="560" spans="1:20" x14ac:dyDescent="0.3">
      <c r="A560" t="s">
        <v>359</v>
      </c>
      <c r="B560" t="s">
        <v>415</v>
      </c>
      <c r="C560" t="s">
        <v>576</v>
      </c>
      <c r="D560" t="s">
        <v>14</v>
      </c>
      <c r="E560" s="2">
        <v>134.29300000000001</v>
      </c>
      <c r="F560" s="2">
        <v>0</v>
      </c>
      <c r="G560" s="2">
        <v>43.286999999999999</v>
      </c>
      <c r="H560" s="2">
        <v>-98.381</v>
      </c>
      <c r="I560" s="1">
        <v>0.66116625587335098</v>
      </c>
      <c r="J560" s="1">
        <v>0.86629236073361904</v>
      </c>
      <c r="K560" s="1">
        <v>0.48775755341945698</v>
      </c>
      <c r="L560" s="1">
        <v>0.53970106318751299</v>
      </c>
      <c r="M560" s="2"/>
      <c r="N560" s="2"/>
      <c r="Q560" s="1">
        <f t="shared" si="33"/>
        <v>88.789999999999921</v>
      </c>
      <c r="R560">
        <f t="shared" si="32"/>
        <v>116.3369999999999</v>
      </c>
      <c r="S560" s="1">
        <f t="shared" si="34"/>
        <v>65.502425121359138</v>
      </c>
      <c r="T560" s="1">
        <f t="shared" si="35"/>
        <v>72.478074878640683</v>
      </c>
    </row>
    <row r="561" spans="1:20" x14ac:dyDescent="0.3">
      <c r="A561" t="s">
        <v>359</v>
      </c>
      <c r="B561" t="s">
        <v>416</v>
      </c>
      <c r="C561" t="s">
        <v>576</v>
      </c>
      <c r="D561" t="s">
        <v>14</v>
      </c>
      <c r="E561" s="2">
        <v>84.69</v>
      </c>
      <c r="F561" s="2">
        <v>0</v>
      </c>
      <c r="G561" s="2">
        <v>23.206</v>
      </c>
      <c r="H561" s="2">
        <v>-26.331999999999901</v>
      </c>
      <c r="I561" s="1">
        <v>0.63700554965167</v>
      </c>
      <c r="J561" s="1">
        <v>0.65546109339945602</v>
      </c>
      <c r="K561" s="1">
        <v>0.47858783757706103</v>
      </c>
      <c r="L561" s="1">
        <v>0.31387880547406599</v>
      </c>
      <c r="M561" s="2"/>
      <c r="N561" s="2"/>
      <c r="Q561" s="1">
        <f t="shared" si="33"/>
        <v>53.947999999999929</v>
      </c>
      <c r="R561">
        <f t="shared" si="32"/>
        <v>55.510999999999932</v>
      </c>
      <c r="S561" s="1">
        <f t="shared" si="34"/>
        <v>40.531603964401299</v>
      </c>
      <c r="T561" s="1">
        <f t="shared" si="35"/>
        <v>26.582396035598649</v>
      </c>
    </row>
    <row r="562" spans="1:20" x14ac:dyDescent="0.3">
      <c r="A562" t="s">
        <v>359</v>
      </c>
      <c r="B562" t="s">
        <v>748</v>
      </c>
      <c r="C562" t="s">
        <v>574</v>
      </c>
      <c r="D562" t="s">
        <v>575</v>
      </c>
      <c r="E562" s="2">
        <v>30</v>
      </c>
      <c r="F562" s="2">
        <v>2.4E-2</v>
      </c>
      <c r="G562" s="2">
        <v>20.082000000000001</v>
      </c>
      <c r="H562" s="2">
        <v>-28.975999999999999</v>
      </c>
      <c r="I562" s="1">
        <v>0.83430000000000004</v>
      </c>
      <c r="J562" s="1">
        <v>0.98253333333333304</v>
      </c>
      <c r="K562" s="1">
        <v>0.36259439859762599</v>
      </c>
      <c r="L562" s="1">
        <v>0.95463893473570605</v>
      </c>
      <c r="M562" s="2"/>
      <c r="N562" s="2"/>
      <c r="Q562" s="1">
        <f t="shared" si="33"/>
        <v>25.029</v>
      </c>
      <c r="R562">
        <f t="shared" si="32"/>
        <v>29.475999999999992</v>
      </c>
      <c r="S562" s="1">
        <f t="shared" si="34"/>
        <v>10.87783195792878</v>
      </c>
      <c r="T562" s="1">
        <f t="shared" si="35"/>
        <v>28.63916804207118</v>
      </c>
    </row>
    <row r="563" spans="1:20" x14ac:dyDescent="0.3">
      <c r="A563" t="s">
        <v>359</v>
      </c>
      <c r="B563" t="s">
        <v>417</v>
      </c>
      <c r="C563" t="s">
        <v>34</v>
      </c>
      <c r="D563" t="s">
        <v>35</v>
      </c>
      <c r="E563" s="2">
        <v>565.58699999999999</v>
      </c>
      <c r="F563" s="2">
        <v>0</v>
      </c>
      <c r="G563" s="2">
        <v>465.683999999999</v>
      </c>
      <c r="H563" s="2">
        <v>-361.82399999999899</v>
      </c>
      <c r="I563" s="1">
        <v>0.91168202239443197</v>
      </c>
      <c r="J563" s="1">
        <v>0.81986590922351399</v>
      </c>
      <c r="K563" s="1">
        <v>0.80644363138190001</v>
      </c>
      <c r="L563" s="1">
        <v>0.42510430023604601</v>
      </c>
      <c r="M563" s="2"/>
      <c r="N563" s="2"/>
      <c r="Q563" s="1">
        <f t="shared" si="33"/>
        <v>515.63549999999964</v>
      </c>
      <c r="R563">
        <f t="shared" si="32"/>
        <v>463.70549999999957</v>
      </c>
      <c r="S563" s="1">
        <f t="shared" si="34"/>
        <v>456.11403414239464</v>
      </c>
      <c r="T563" s="1">
        <f t="shared" si="35"/>
        <v>240.43346585760455</v>
      </c>
    </row>
    <row r="564" spans="1:20" x14ac:dyDescent="0.3">
      <c r="A564" t="s">
        <v>359</v>
      </c>
      <c r="B564" t="s">
        <v>749</v>
      </c>
      <c r="C564" t="s">
        <v>34</v>
      </c>
      <c r="D564" t="s">
        <v>35</v>
      </c>
      <c r="E564" s="2">
        <v>70.126999999999995</v>
      </c>
      <c r="F564" s="2">
        <v>0</v>
      </c>
      <c r="G564" s="2">
        <v>47.201999999999998</v>
      </c>
      <c r="H564" s="2">
        <v>-56.887</v>
      </c>
      <c r="I564" s="1">
        <v>0.83654655125700506</v>
      </c>
      <c r="J564" s="1">
        <v>0.90559984028976004</v>
      </c>
      <c r="K564" s="1">
        <v>0.71313879967087901</v>
      </c>
      <c r="L564" s="1">
        <v>0.52900759187588497</v>
      </c>
      <c r="M564" s="2"/>
      <c r="N564" s="2"/>
      <c r="Q564" s="1">
        <f t="shared" si="33"/>
        <v>58.66449999999999</v>
      </c>
      <c r="R564">
        <f t="shared" si="32"/>
        <v>63.506999999999998</v>
      </c>
      <c r="S564" s="1">
        <f t="shared" si="34"/>
        <v>50.010284604519732</v>
      </c>
      <c r="T564" s="1">
        <f t="shared" si="35"/>
        <v>37.097715395480186</v>
      </c>
    </row>
    <row r="565" spans="1:20" x14ac:dyDescent="0.3">
      <c r="A565" t="s">
        <v>359</v>
      </c>
      <c r="B565" t="s">
        <v>750</v>
      </c>
      <c r="C565" t="s">
        <v>34</v>
      </c>
      <c r="D565" t="s">
        <v>35</v>
      </c>
      <c r="E565" s="2">
        <v>69.852000000000004</v>
      </c>
      <c r="F565" s="2">
        <v>0</v>
      </c>
      <c r="G565" s="2">
        <v>51.378999999999998</v>
      </c>
      <c r="H565" s="2">
        <v>-53.581999999999901</v>
      </c>
      <c r="I565" s="1">
        <v>0.86777042890683098</v>
      </c>
      <c r="J565" s="1">
        <v>0.88353948347935596</v>
      </c>
      <c r="K565" s="1">
        <v>0.78927670814933004</v>
      </c>
      <c r="L565" s="1">
        <v>0.46203320423685701</v>
      </c>
      <c r="M565" s="2"/>
      <c r="N565" s="2"/>
      <c r="Q565" s="1">
        <f t="shared" si="33"/>
        <v>60.615499999999962</v>
      </c>
      <c r="R565">
        <f t="shared" si="32"/>
        <v>61.716999999999977</v>
      </c>
      <c r="S565" s="1">
        <f t="shared" si="34"/>
        <v>55.132556617647005</v>
      </c>
      <c r="T565" s="1">
        <f t="shared" si="35"/>
        <v>32.27394338235294</v>
      </c>
    </row>
    <row r="566" spans="1:20" x14ac:dyDescent="0.3">
      <c r="A566" t="s">
        <v>359</v>
      </c>
      <c r="B566" t="s">
        <v>418</v>
      </c>
      <c r="C566" t="s">
        <v>34</v>
      </c>
      <c r="D566" t="s">
        <v>35</v>
      </c>
      <c r="E566" s="2">
        <v>182.649</v>
      </c>
      <c r="F566" s="2">
        <v>0</v>
      </c>
      <c r="G566" s="2">
        <v>182.649</v>
      </c>
      <c r="H566" s="2">
        <v>-182.649</v>
      </c>
      <c r="I566" s="1">
        <v>1</v>
      </c>
      <c r="J566" s="1">
        <v>1</v>
      </c>
      <c r="K566" s="1">
        <v>0.93276207028234404</v>
      </c>
      <c r="L566" s="1">
        <v>0.56723792971765497</v>
      </c>
      <c r="M566" s="2"/>
      <c r="N566" s="2"/>
      <c r="Q566" s="1">
        <f t="shared" si="33"/>
        <v>182.649</v>
      </c>
      <c r="R566">
        <f t="shared" si="32"/>
        <v>182.649</v>
      </c>
      <c r="S566" s="1">
        <f t="shared" si="34"/>
        <v>170.36805937499986</v>
      </c>
      <c r="T566" s="1">
        <f t="shared" si="35"/>
        <v>103.60544062499996</v>
      </c>
    </row>
    <row r="567" spans="1:20" x14ac:dyDescent="0.3">
      <c r="A567" t="s">
        <v>359</v>
      </c>
      <c r="B567" t="s">
        <v>419</v>
      </c>
      <c r="C567" t="s">
        <v>576</v>
      </c>
      <c r="D567" t="s">
        <v>14</v>
      </c>
      <c r="E567" s="2">
        <v>16.628</v>
      </c>
      <c r="F567" s="2">
        <v>0</v>
      </c>
      <c r="G567" s="2">
        <v>12.932</v>
      </c>
      <c r="H567" s="2">
        <v>-13.893000000000001</v>
      </c>
      <c r="I567" s="1">
        <v>0.88886216021169095</v>
      </c>
      <c r="J567" s="1">
        <v>0.91775920134712496</v>
      </c>
      <c r="K567" s="1">
        <v>0.88856162559273399</v>
      </c>
      <c r="L567" s="1">
        <v>0.41805973596608098</v>
      </c>
      <c r="M567" s="2"/>
      <c r="N567" s="2"/>
      <c r="Q567" s="1">
        <f t="shared" si="33"/>
        <v>14.779999999999998</v>
      </c>
      <c r="R567">
        <f t="shared" si="32"/>
        <v>15.260499999999993</v>
      </c>
      <c r="S567" s="1">
        <f t="shared" si="34"/>
        <v>14.775002710355981</v>
      </c>
      <c r="T567" s="1">
        <f t="shared" si="35"/>
        <v>6.9514972896439948</v>
      </c>
    </row>
    <row r="568" spans="1:20" x14ac:dyDescent="0.3">
      <c r="A568" t="s">
        <v>359</v>
      </c>
      <c r="B568" t="s">
        <v>751</v>
      </c>
      <c r="C568" t="s">
        <v>34</v>
      </c>
      <c r="D568" t="s">
        <v>35</v>
      </c>
      <c r="E568" s="2">
        <v>759.37</v>
      </c>
      <c r="F568" s="2">
        <v>0</v>
      </c>
      <c r="G568" s="2">
        <v>619.024</v>
      </c>
      <c r="H568" s="2">
        <v>-532.41200000000003</v>
      </c>
      <c r="I568" s="1">
        <v>0.90759050265351504</v>
      </c>
      <c r="J568" s="1">
        <v>0.85056164978864002</v>
      </c>
      <c r="K568" s="1">
        <v>0.81714918862808905</v>
      </c>
      <c r="L568" s="1">
        <v>0.44100296381406601</v>
      </c>
      <c r="M568" s="2"/>
      <c r="N568" s="2"/>
      <c r="Q568" s="1">
        <f t="shared" si="33"/>
        <v>689.19699999999978</v>
      </c>
      <c r="R568">
        <f t="shared" si="32"/>
        <v>645.89099999999962</v>
      </c>
      <c r="S568" s="1">
        <f t="shared" si="34"/>
        <v>620.51857936851195</v>
      </c>
      <c r="T568" s="1">
        <f t="shared" si="35"/>
        <v>334.88442063148733</v>
      </c>
    </row>
    <row r="569" spans="1:20" x14ac:dyDescent="0.3">
      <c r="A569" t="s">
        <v>359</v>
      </c>
      <c r="B569" t="s">
        <v>420</v>
      </c>
      <c r="C569" t="s">
        <v>576</v>
      </c>
      <c r="D569" t="s">
        <v>14</v>
      </c>
      <c r="E569" s="2">
        <v>46.713999999999999</v>
      </c>
      <c r="F569" s="2">
        <v>0</v>
      </c>
      <c r="G569" s="2">
        <v>22.39</v>
      </c>
      <c r="H569" s="2">
        <v>-38.908000000000001</v>
      </c>
      <c r="I569" s="1">
        <v>0.73964978379072599</v>
      </c>
      <c r="J569" s="1">
        <v>0.91644903026929803</v>
      </c>
      <c r="K569" s="1">
        <v>0.48613411771111997</v>
      </c>
      <c r="L569" s="1">
        <v>0.66996469634890399</v>
      </c>
      <c r="M569" s="2"/>
      <c r="N569" s="2"/>
      <c r="Q569" s="1">
        <f t="shared" si="33"/>
        <v>34.551999999999971</v>
      </c>
      <c r="R569">
        <f t="shared" si="32"/>
        <v>42.810999999999986</v>
      </c>
      <c r="S569" s="1">
        <f t="shared" si="34"/>
        <v>22.709269174757257</v>
      </c>
      <c r="T569" s="1">
        <f t="shared" si="35"/>
        <v>31.296730825242701</v>
      </c>
    </row>
    <row r="570" spans="1:20" x14ac:dyDescent="0.3">
      <c r="A570" t="s">
        <v>359</v>
      </c>
      <c r="B570" t="s">
        <v>421</v>
      </c>
      <c r="C570" t="s">
        <v>34</v>
      </c>
      <c r="D570" t="s">
        <v>35</v>
      </c>
      <c r="E570" s="2">
        <v>128.851</v>
      </c>
      <c r="F570" s="2">
        <v>0</v>
      </c>
      <c r="G570" s="2">
        <v>82.891000000000005</v>
      </c>
      <c r="H570" s="2">
        <v>-89.988</v>
      </c>
      <c r="I570" s="1">
        <v>0.82165446911549</v>
      </c>
      <c r="J570" s="1">
        <v>0.84919403031408303</v>
      </c>
      <c r="K570" s="1">
        <v>0.70079483159834399</v>
      </c>
      <c r="L570" s="1">
        <v>0.47005366783122798</v>
      </c>
      <c r="M570" s="2"/>
      <c r="N570" s="2"/>
      <c r="Q570" s="1">
        <f t="shared" si="33"/>
        <v>105.871</v>
      </c>
      <c r="R570">
        <f t="shared" si="32"/>
        <v>109.41949999999991</v>
      </c>
      <c r="S570" s="1">
        <f t="shared" si="34"/>
        <v>90.298114846278224</v>
      </c>
      <c r="T570" s="1">
        <f t="shared" si="35"/>
        <v>60.566885153721557</v>
      </c>
    </row>
    <row r="571" spans="1:20" x14ac:dyDescent="0.3">
      <c r="A571" t="s">
        <v>359</v>
      </c>
      <c r="B571" t="s">
        <v>422</v>
      </c>
      <c r="C571" t="s">
        <v>576</v>
      </c>
      <c r="D571" t="s">
        <v>14</v>
      </c>
      <c r="E571" s="2">
        <v>0</v>
      </c>
      <c r="F571" s="2">
        <v>0</v>
      </c>
      <c r="G571" s="2">
        <v>0</v>
      </c>
      <c r="H571" s="2">
        <v>0</v>
      </c>
      <c r="I571" s="1">
        <v>0</v>
      </c>
      <c r="J571" s="1">
        <v>0</v>
      </c>
      <c r="K571" s="1">
        <v>0</v>
      </c>
      <c r="L571" s="1">
        <v>0</v>
      </c>
      <c r="M571" s="2"/>
      <c r="N571" s="2"/>
      <c r="Q571" s="1">
        <f t="shared" si="33"/>
        <v>0</v>
      </c>
      <c r="R571">
        <f t="shared" si="32"/>
        <v>0</v>
      </c>
      <c r="S571" s="1">
        <f t="shared" si="34"/>
        <v>0</v>
      </c>
      <c r="T571" s="1">
        <f t="shared" si="35"/>
        <v>0</v>
      </c>
    </row>
    <row r="572" spans="1:20" x14ac:dyDescent="0.3">
      <c r="A572" t="s">
        <v>359</v>
      </c>
      <c r="B572" t="s">
        <v>752</v>
      </c>
      <c r="C572" t="s">
        <v>574</v>
      </c>
      <c r="D572" t="s">
        <v>575</v>
      </c>
      <c r="E572" s="2">
        <v>383.755</v>
      </c>
      <c r="F572" s="2">
        <v>0.05</v>
      </c>
      <c r="G572" s="2">
        <v>284.914999999999</v>
      </c>
      <c r="H572" s="2">
        <v>-283.375</v>
      </c>
      <c r="I572" s="1">
        <v>0.87115477322770996</v>
      </c>
      <c r="J572" s="1">
        <v>0.86914828471290195</v>
      </c>
      <c r="K572" s="1">
        <v>0.61859076174924299</v>
      </c>
      <c r="L572" s="1">
        <v>0.62177744192236895</v>
      </c>
      <c r="M572" s="2"/>
      <c r="N572" s="2"/>
      <c r="Q572" s="1">
        <f t="shared" si="33"/>
        <v>334.30999999999983</v>
      </c>
      <c r="R572">
        <f t="shared" si="32"/>
        <v>333.53999999999968</v>
      </c>
      <c r="S572" s="1">
        <f t="shared" si="34"/>
        <v>237.38729777508075</v>
      </c>
      <c r="T572" s="1">
        <f t="shared" si="35"/>
        <v>238.61020222491868</v>
      </c>
    </row>
    <row r="573" spans="1:20" x14ac:dyDescent="0.3">
      <c r="A573" t="s">
        <v>359</v>
      </c>
      <c r="B573" t="s">
        <v>753</v>
      </c>
      <c r="C573" t="s">
        <v>574</v>
      </c>
      <c r="D573" t="s">
        <v>575</v>
      </c>
      <c r="E573" s="2">
        <v>96</v>
      </c>
      <c r="F573" s="2">
        <v>0</v>
      </c>
      <c r="G573" s="2">
        <v>94.293000000000006</v>
      </c>
      <c r="H573" s="2">
        <v>-92.081000000000003</v>
      </c>
      <c r="I573" s="1">
        <v>0.99110937499999996</v>
      </c>
      <c r="J573" s="1">
        <v>0.97958854166666598</v>
      </c>
      <c r="K573" s="1">
        <v>0.79242275569714105</v>
      </c>
      <c r="L573" s="1">
        <v>0.678275160969525</v>
      </c>
      <c r="M573" s="2"/>
      <c r="N573" s="2"/>
      <c r="Q573" s="1">
        <f t="shared" si="33"/>
        <v>95.146500000000003</v>
      </c>
      <c r="R573">
        <f t="shared" si="32"/>
        <v>94.040499999999938</v>
      </c>
      <c r="S573" s="1">
        <f t="shared" si="34"/>
        <v>76.07258454692554</v>
      </c>
      <c r="T573" s="1">
        <f t="shared" si="35"/>
        <v>65.1144154530744</v>
      </c>
    </row>
    <row r="574" spans="1:20" x14ac:dyDescent="0.3">
      <c r="A574" t="s">
        <v>359</v>
      </c>
      <c r="B574" t="s">
        <v>754</v>
      </c>
      <c r="C574" t="s">
        <v>574</v>
      </c>
      <c r="D574" t="s">
        <v>575</v>
      </c>
      <c r="E574" s="2">
        <v>130.61199999999999</v>
      </c>
      <c r="F574" s="2">
        <v>0</v>
      </c>
      <c r="G574" s="2">
        <v>122.25700000000001</v>
      </c>
      <c r="H574" s="2">
        <v>-122.31</v>
      </c>
      <c r="I574" s="1">
        <v>0.96801595565491605</v>
      </c>
      <c r="J574" s="1">
        <v>0.96821884666033697</v>
      </c>
      <c r="K574" s="1">
        <v>0.75593223932253395</v>
      </c>
      <c r="L574" s="1">
        <v>0.68030256299271996</v>
      </c>
      <c r="M574" s="2"/>
      <c r="N574" s="2"/>
      <c r="Q574" s="1">
        <f t="shared" si="33"/>
        <v>126.43449999999989</v>
      </c>
      <c r="R574">
        <f t="shared" si="32"/>
        <v>126.46099999999993</v>
      </c>
      <c r="S574" s="1">
        <f t="shared" si="34"/>
        <v>98.733821642394801</v>
      </c>
      <c r="T574" s="1">
        <f t="shared" si="35"/>
        <v>88.855678357605143</v>
      </c>
    </row>
    <row r="575" spans="1:20" x14ac:dyDescent="0.3">
      <c r="A575" t="s">
        <v>359</v>
      </c>
      <c r="B575" t="s">
        <v>755</v>
      </c>
      <c r="C575" t="s">
        <v>576</v>
      </c>
      <c r="D575" t="s">
        <v>577</v>
      </c>
      <c r="E575" s="2">
        <v>230.27199999999999</v>
      </c>
      <c r="F575" s="2">
        <v>0</v>
      </c>
      <c r="G575" s="2">
        <v>112</v>
      </c>
      <c r="H575" s="2">
        <v>-184.25700000000001</v>
      </c>
      <c r="I575" s="1">
        <v>0.74319066147859902</v>
      </c>
      <c r="J575" s="1">
        <v>0.90008555100055498</v>
      </c>
      <c r="K575" s="1">
        <v>0.43261413900864698</v>
      </c>
      <c r="L575" s="1">
        <v>0.71066207347050703</v>
      </c>
      <c r="M575" s="2"/>
      <c r="N575" s="2"/>
      <c r="Q575" s="1">
        <f t="shared" si="33"/>
        <v>171.13599999999994</v>
      </c>
      <c r="R575">
        <f t="shared" si="32"/>
        <v>207.2644999999998</v>
      </c>
      <c r="S575" s="1">
        <f t="shared" si="34"/>
        <v>99.618923017799148</v>
      </c>
      <c r="T575" s="1">
        <f t="shared" si="35"/>
        <v>163.64557698220059</v>
      </c>
    </row>
    <row r="576" spans="1:20" x14ac:dyDescent="0.3">
      <c r="A576" t="s">
        <v>359</v>
      </c>
      <c r="B576" t="s">
        <v>756</v>
      </c>
      <c r="C576" t="s">
        <v>576</v>
      </c>
      <c r="D576" t="s">
        <v>577</v>
      </c>
      <c r="E576" s="2">
        <v>473.32600000000002</v>
      </c>
      <c r="F576" s="2">
        <v>0</v>
      </c>
      <c r="G576" s="2">
        <v>97.891000000000005</v>
      </c>
      <c r="H576" s="2">
        <v>-290.53800000000001</v>
      </c>
      <c r="I576" s="1">
        <v>0.60340758800488403</v>
      </c>
      <c r="J576" s="1">
        <v>0.80691109298876396</v>
      </c>
      <c r="K576" s="1">
        <v>0.60253138348567603</v>
      </c>
      <c r="L576" s="1">
        <v>0.30778729750797301</v>
      </c>
      <c r="M576" s="2"/>
      <c r="N576" s="2"/>
      <c r="Q576" s="1">
        <f t="shared" si="33"/>
        <v>285.60849999999976</v>
      </c>
      <c r="R576">
        <f t="shared" si="32"/>
        <v>381.93199999999973</v>
      </c>
      <c r="S576" s="1">
        <f t="shared" si="34"/>
        <v>285.19376961974109</v>
      </c>
      <c r="T576" s="1">
        <f t="shared" si="35"/>
        <v>145.68373038025885</v>
      </c>
    </row>
    <row r="577" spans="1:20" x14ac:dyDescent="0.3">
      <c r="A577" t="s">
        <v>359</v>
      </c>
      <c r="B577" t="s">
        <v>423</v>
      </c>
      <c r="C577" t="s">
        <v>576</v>
      </c>
      <c r="D577" t="s">
        <v>14</v>
      </c>
      <c r="E577" s="2">
        <v>49.116</v>
      </c>
      <c r="F577" s="2">
        <v>0</v>
      </c>
      <c r="G577" s="2">
        <v>28.622</v>
      </c>
      <c r="H577" s="2">
        <v>-40.347999999999999</v>
      </c>
      <c r="I577" s="1">
        <v>0.79137144718625296</v>
      </c>
      <c r="J577" s="1">
        <v>0.91074191709422503</v>
      </c>
      <c r="K577" s="1">
        <v>0.61604015383567201</v>
      </c>
      <c r="L577" s="1">
        <v>0.58607321044480598</v>
      </c>
      <c r="M577" s="2"/>
      <c r="N577" s="2"/>
      <c r="Q577" s="1">
        <f t="shared" si="33"/>
        <v>38.869</v>
      </c>
      <c r="R577">
        <f t="shared" si="32"/>
        <v>44.731999999999957</v>
      </c>
      <c r="S577" s="1">
        <f t="shared" si="34"/>
        <v>30.257428195792865</v>
      </c>
      <c r="T577" s="1">
        <f t="shared" si="35"/>
        <v>28.785571804207091</v>
      </c>
    </row>
    <row r="578" spans="1:20" x14ac:dyDescent="0.3">
      <c r="A578" t="s">
        <v>359</v>
      </c>
      <c r="B578" t="s">
        <v>424</v>
      </c>
      <c r="C578" t="s">
        <v>576</v>
      </c>
      <c r="D578" t="s">
        <v>589</v>
      </c>
      <c r="E578" s="2">
        <v>0</v>
      </c>
      <c r="F578" s="2">
        <v>0</v>
      </c>
      <c r="G578" s="2">
        <v>0</v>
      </c>
      <c r="H578" s="2">
        <v>0</v>
      </c>
      <c r="I578" s="1">
        <v>0</v>
      </c>
      <c r="J578" s="1">
        <v>0</v>
      </c>
      <c r="K578" s="1">
        <v>0</v>
      </c>
      <c r="L578" s="1">
        <v>0</v>
      </c>
      <c r="M578" s="2"/>
      <c r="N578" s="2"/>
      <c r="Q578" s="1">
        <f t="shared" si="33"/>
        <v>0</v>
      </c>
      <c r="R578">
        <f t="shared" ref="R578:R641" si="36">J578*E578</f>
        <v>0</v>
      </c>
      <c r="S578" s="1">
        <f t="shared" si="34"/>
        <v>0</v>
      </c>
      <c r="T578" s="1">
        <f t="shared" si="35"/>
        <v>0</v>
      </c>
    </row>
    <row r="579" spans="1:20" x14ac:dyDescent="0.3">
      <c r="A579" t="s">
        <v>359</v>
      </c>
      <c r="B579" t="s">
        <v>425</v>
      </c>
      <c r="C579" t="s">
        <v>574</v>
      </c>
      <c r="D579" t="s">
        <v>575</v>
      </c>
      <c r="E579" s="2">
        <v>260.87400000000002</v>
      </c>
      <c r="F579" s="2">
        <v>0</v>
      </c>
      <c r="G579" s="2">
        <v>143.52699999999999</v>
      </c>
      <c r="H579" s="2">
        <v>-238.506</v>
      </c>
      <c r="I579" s="1">
        <v>0.77508874015808304</v>
      </c>
      <c r="J579" s="1">
        <v>0.95712872881161004</v>
      </c>
      <c r="K579" s="1">
        <v>0.52249770193092204</v>
      </c>
      <c r="L579" s="1">
        <v>0.70971976703877104</v>
      </c>
      <c r="M579" s="2"/>
      <c r="N579" s="2"/>
      <c r="Q579" s="1">
        <f t="shared" ref="Q579:Q642" si="37">I579*E579</f>
        <v>202.20049999999978</v>
      </c>
      <c r="R579">
        <f t="shared" si="36"/>
        <v>249.68999999999997</v>
      </c>
      <c r="S579" s="1">
        <f t="shared" ref="S579:S642" si="38">K579*E579</f>
        <v>136.30606549352737</v>
      </c>
      <c r="T579" s="1">
        <f t="shared" ref="T579:T642" si="39">L579*E579</f>
        <v>185.14743450647237</v>
      </c>
    </row>
    <row r="580" spans="1:20" x14ac:dyDescent="0.3">
      <c r="A580" t="s">
        <v>359</v>
      </c>
      <c r="B580" t="s">
        <v>426</v>
      </c>
      <c r="C580" t="s">
        <v>576</v>
      </c>
      <c r="D580" t="s">
        <v>14</v>
      </c>
      <c r="E580" s="2">
        <v>72.343999999999994</v>
      </c>
      <c r="F580" s="2">
        <v>0</v>
      </c>
      <c r="G580" s="2">
        <v>72.343999999999994</v>
      </c>
      <c r="H580" s="2">
        <v>-72.343999999999994</v>
      </c>
      <c r="I580" s="1">
        <v>1</v>
      </c>
      <c r="J580" s="1">
        <v>1</v>
      </c>
      <c r="K580" s="1">
        <v>0.98787566380976599</v>
      </c>
      <c r="L580" s="1">
        <v>0.51212433619023301</v>
      </c>
      <c r="M580" s="2"/>
      <c r="N580" s="2"/>
      <c r="Q580" s="1">
        <f t="shared" si="37"/>
        <v>72.343999999999994</v>
      </c>
      <c r="R580">
        <f t="shared" si="36"/>
        <v>72.343999999999994</v>
      </c>
      <c r="S580" s="1">
        <f t="shared" si="38"/>
        <v>71.466877022653705</v>
      </c>
      <c r="T580" s="1">
        <f t="shared" si="39"/>
        <v>37.049122977346215</v>
      </c>
    </row>
    <row r="581" spans="1:20" x14ac:dyDescent="0.3">
      <c r="A581" t="s">
        <v>359</v>
      </c>
      <c r="B581" t="s">
        <v>757</v>
      </c>
      <c r="C581" t="s">
        <v>576</v>
      </c>
      <c r="D581" t="s">
        <v>598</v>
      </c>
      <c r="E581" s="2">
        <v>400.68099999999998</v>
      </c>
      <c r="F581" s="2">
        <v>0</v>
      </c>
      <c r="G581" s="2">
        <v>113.70699999999999</v>
      </c>
      <c r="H581" s="2">
        <v>-209.31199999999899</v>
      </c>
      <c r="I581" s="1">
        <v>0.64189217856599101</v>
      </c>
      <c r="J581" s="1">
        <v>0.76119531497625204</v>
      </c>
      <c r="K581" s="1">
        <v>0.30857480602462001</v>
      </c>
      <c r="L581" s="1">
        <v>0.59451268751762398</v>
      </c>
      <c r="M581" s="2"/>
      <c r="N581" s="2"/>
      <c r="Q581" s="1">
        <f t="shared" si="37"/>
        <v>257.19399999999985</v>
      </c>
      <c r="R581">
        <f t="shared" si="36"/>
        <v>304.99649999999963</v>
      </c>
      <c r="S581" s="1">
        <f t="shared" si="38"/>
        <v>123.64006185275076</v>
      </c>
      <c r="T581" s="1">
        <f t="shared" si="39"/>
        <v>238.20993814724909</v>
      </c>
    </row>
    <row r="582" spans="1:20" x14ac:dyDescent="0.3">
      <c r="A582" t="s">
        <v>359</v>
      </c>
      <c r="B582" t="s">
        <v>427</v>
      </c>
      <c r="C582" t="s">
        <v>576</v>
      </c>
      <c r="D582" t="s">
        <v>14</v>
      </c>
      <c r="E582" s="2">
        <v>61.697000000000003</v>
      </c>
      <c r="F582" s="2">
        <v>0</v>
      </c>
      <c r="G582" s="2">
        <v>25.780999999999999</v>
      </c>
      <c r="H582" s="2">
        <v>-43.332999999999998</v>
      </c>
      <c r="I582" s="1">
        <v>0.70893236299982099</v>
      </c>
      <c r="J582" s="1">
        <v>0.85117590806684196</v>
      </c>
      <c r="K582" s="1">
        <v>0.59254911624323303</v>
      </c>
      <c r="L582" s="1">
        <v>0.46755915482343102</v>
      </c>
      <c r="M582" s="2"/>
      <c r="N582" s="2"/>
      <c r="Q582" s="1">
        <f t="shared" si="37"/>
        <v>43.738999999999955</v>
      </c>
      <c r="R582">
        <f t="shared" si="36"/>
        <v>52.514999999999951</v>
      </c>
      <c r="S582" s="1">
        <f t="shared" si="38"/>
        <v>36.558502824858749</v>
      </c>
      <c r="T582" s="1">
        <f t="shared" si="39"/>
        <v>28.846997175141226</v>
      </c>
    </row>
    <row r="583" spans="1:20" x14ac:dyDescent="0.3">
      <c r="A583" t="s">
        <v>359</v>
      </c>
      <c r="B583" t="s">
        <v>428</v>
      </c>
      <c r="C583" t="s">
        <v>576</v>
      </c>
      <c r="D583" t="s">
        <v>598</v>
      </c>
      <c r="E583" s="2">
        <v>39.83</v>
      </c>
      <c r="F583" s="2">
        <v>0</v>
      </c>
      <c r="G583" s="2">
        <v>0</v>
      </c>
      <c r="H583" s="2">
        <v>-39.83</v>
      </c>
      <c r="I583" s="1">
        <v>0.5</v>
      </c>
      <c r="J583" s="1">
        <v>1</v>
      </c>
      <c r="K583" s="1">
        <v>0.15728155339805799</v>
      </c>
      <c r="L583" s="1">
        <v>0.84271844660194095</v>
      </c>
      <c r="M583" s="2"/>
      <c r="N583" s="2"/>
      <c r="Q583" s="1">
        <f t="shared" si="37"/>
        <v>19.914999999999999</v>
      </c>
      <c r="R583">
        <f t="shared" si="36"/>
        <v>39.83</v>
      </c>
      <c r="S583" s="1">
        <f t="shared" si="38"/>
        <v>6.2645242718446497</v>
      </c>
      <c r="T583" s="1">
        <f t="shared" si="39"/>
        <v>33.565475728155306</v>
      </c>
    </row>
    <row r="584" spans="1:20" x14ac:dyDescent="0.3">
      <c r="A584" t="s">
        <v>359</v>
      </c>
      <c r="B584" t="s">
        <v>429</v>
      </c>
      <c r="C584" t="s">
        <v>574</v>
      </c>
      <c r="D584" t="s">
        <v>575</v>
      </c>
      <c r="E584" s="2">
        <v>68.007999999999996</v>
      </c>
      <c r="F584" s="2">
        <v>0</v>
      </c>
      <c r="G584" s="2">
        <v>60.313000000000002</v>
      </c>
      <c r="H584" s="2">
        <v>-33.074999999999903</v>
      </c>
      <c r="I584" s="1">
        <v>0.94342577343841905</v>
      </c>
      <c r="J584" s="1">
        <v>0.74316992118574199</v>
      </c>
      <c r="K584" s="1">
        <v>0.66010477981554805</v>
      </c>
      <c r="L584" s="1">
        <v>0.52649091480861299</v>
      </c>
      <c r="M584" s="2"/>
      <c r="N584" s="2"/>
      <c r="Q584" s="1">
        <f t="shared" si="37"/>
        <v>64.160499999999999</v>
      </c>
      <c r="R584">
        <f t="shared" si="36"/>
        <v>50.541499999999935</v>
      </c>
      <c r="S584" s="1">
        <f t="shared" si="38"/>
        <v>44.892405865695785</v>
      </c>
      <c r="T584" s="1">
        <f t="shared" si="39"/>
        <v>35.805594134304151</v>
      </c>
    </row>
    <row r="585" spans="1:20" x14ac:dyDescent="0.3">
      <c r="A585" t="s">
        <v>359</v>
      </c>
      <c r="B585" t="s">
        <v>430</v>
      </c>
      <c r="C585" t="s">
        <v>574</v>
      </c>
      <c r="D585" t="s">
        <v>575</v>
      </c>
      <c r="E585" s="2">
        <v>32.256</v>
      </c>
      <c r="F585" s="2">
        <v>0</v>
      </c>
      <c r="G585" s="2">
        <v>22.680999999999901</v>
      </c>
      <c r="H585" s="2">
        <v>-26.120999999999999</v>
      </c>
      <c r="I585" s="1">
        <v>0.85157800099206304</v>
      </c>
      <c r="J585" s="1">
        <v>0.90490141369047605</v>
      </c>
      <c r="K585" s="1">
        <v>0.50015312873227702</v>
      </c>
      <c r="L585" s="1">
        <v>0.75632628595026097</v>
      </c>
      <c r="M585" s="2"/>
      <c r="N585" s="2"/>
      <c r="Q585" s="1">
        <f t="shared" si="37"/>
        <v>27.468499999999985</v>
      </c>
      <c r="R585">
        <f t="shared" si="36"/>
        <v>29.188499999999994</v>
      </c>
      <c r="S585" s="1">
        <f t="shared" si="38"/>
        <v>16.132939320388328</v>
      </c>
      <c r="T585" s="1">
        <f t="shared" si="39"/>
        <v>24.396060679611619</v>
      </c>
    </row>
    <row r="586" spans="1:20" x14ac:dyDescent="0.3">
      <c r="A586" t="s">
        <v>359</v>
      </c>
      <c r="B586" t="s">
        <v>431</v>
      </c>
      <c r="C586" t="s">
        <v>574</v>
      </c>
      <c r="D586" t="s">
        <v>575</v>
      </c>
      <c r="E586" s="2">
        <v>93.798000000000002</v>
      </c>
      <c r="F586" s="2">
        <v>0</v>
      </c>
      <c r="G586" s="2">
        <v>53.355999999999902</v>
      </c>
      <c r="H586" s="2">
        <v>-44.997999999999998</v>
      </c>
      <c r="I586" s="1">
        <v>0.78441971044158698</v>
      </c>
      <c r="J586" s="1">
        <v>0.73986652167423606</v>
      </c>
      <c r="K586" s="1">
        <v>0.574603083911436</v>
      </c>
      <c r="L586" s="1">
        <v>0.44968314820438599</v>
      </c>
      <c r="M586" s="2"/>
      <c r="N586" s="2"/>
      <c r="Q586" s="1">
        <f t="shared" si="37"/>
        <v>73.576999999999984</v>
      </c>
      <c r="R586">
        <f t="shared" si="36"/>
        <v>69.397999999999996</v>
      </c>
      <c r="S586" s="1">
        <f t="shared" si="38"/>
        <v>53.896620064724871</v>
      </c>
      <c r="T586" s="1">
        <f t="shared" si="39"/>
        <v>42.179379935274994</v>
      </c>
    </row>
    <row r="587" spans="1:20" x14ac:dyDescent="0.3">
      <c r="A587" t="s">
        <v>359</v>
      </c>
      <c r="B587" t="s">
        <v>432</v>
      </c>
      <c r="C587" t="s">
        <v>576</v>
      </c>
      <c r="D587" t="s">
        <v>14</v>
      </c>
      <c r="E587" s="2">
        <v>0</v>
      </c>
      <c r="F587" s="2">
        <v>0</v>
      </c>
      <c r="G587" s="2">
        <v>0</v>
      </c>
      <c r="H587" s="2">
        <v>0</v>
      </c>
      <c r="I587" s="1">
        <v>0</v>
      </c>
      <c r="J587" s="1">
        <v>0</v>
      </c>
      <c r="K587" s="1">
        <v>0</v>
      </c>
      <c r="L587" s="1">
        <v>0</v>
      </c>
      <c r="M587" s="2"/>
      <c r="N587" s="2"/>
      <c r="Q587" s="1">
        <f t="shared" si="37"/>
        <v>0</v>
      </c>
      <c r="R587">
        <f t="shared" si="36"/>
        <v>0</v>
      </c>
      <c r="S587" s="1">
        <f t="shared" si="38"/>
        <v>0</v>
      </c>
      <c r="T587" s="1">
        <f t="shared" si="39"/>
        <v>0</v>
      </c>
    </row>
    <row r="588" spans="1:20" x14ac:dyDescent="0.3">
      <c r="A588" t="s">
        <v>359</v>
      </c>
      <c r="B588" t="s">
        <v>433</v>
      </c>
      <c r="C588" t="s">
        <v>576</v>
      </c>
      <c r="D588" t="s">
        <v>14</v>
      </c>
      <c r="E588" s="2">
        <v>0</v>
      </c>
      <c r="F588" s="2">
        <v>0</v>
      </c>
      <c r="G588" s="2">
        <v>0</v>
      </c>
      <c r="H588" s="2">
        <v>0</v>
      </c>
      <c r="I588" s="1">
        <v>0</v>
      </c>
      <c r="J588" s="1">
        <v>0</v>
      </c>
      <c r="K588" s="1">
        <v>0</v>
      </c>
      <c r="L588" s="1">
        <v>0</v>
      </c>
      <c r="M588" s="2"/>
      <c r="N588" s="2"/>
      <c r="Q588" s="1">
        <f t="shared" si="37"/>
        <v>0</v>
      </c>
      <c r="R588">
        <f t="shared" si="36"/>
        <v>0</v>
      </c>
      <c r="S588" s="1">
        <f t="shared" si="38"/>
        <v>0</v>
      </c>
      <c r="T588" s="1">
        <f t="shared" si="39"/>
        <v>0</v>
      </c>
    </row>
    <row r="589" spans="1:20" x14ac:dyDescent="0.3">
      <c r="A589" t="s">
        <v>359</v>
      </c>
      <c r="B589" t="s">
        <v>434</v>
      </c>
      <c r="C589" t="s">
        <v>574</v>
      </c>
      <c r="D589" t="s">
        <v>575</v>
      </c>
      <c r="E589" s="2">
        <v>128.91399999999999</v>
      </c>
      <c r="F589" s="2">
        <v>0</v>
      </c>
      <c r="G589" s="2">
        <v>42.146999999999998</v>
      </c>
      <c r="H589" s="2">
        <v>-42.191999999999901</v>
      </c>
      <c r="I589" s="1">
        <v>0.66346944474610903</v>
      </c>
      <c r="J589" s="1">
        <v>0.66364397970740097</v>
      </c>
      <c r="K589" s="1">
        <v>0.38136337774767898</v>
      </c>
      <c r="L589" s="1">
        <v>0.44575004670583102</v>
      </c>
      <c r="M589" s="2"/>
      <c r="N589" s="2"/>
      <c r="Q589" s="1">
        <f t="shared" si="37"/>
        <v>85.53049999999989</v>
      </c>
      <c r="R589">
        <f t="shared" si="36"/>
        <v>85.552999999999884</v>
      </c>
      <c r="S589" s="1">
        <f t="shared" si="38"/>
        <v>49.16307847896428</v>
      </c>
      <c r="T589" s="1">
        <f t="shared" si="39"/>
        <v>57.463421521035492</v>
      </c>
    </row>
    <row r="590" spans="1:20" x14ac:dyDescent="0.3">
      <c r="A590" t="s">
        <v>359</v>
      </c>
      <c r="B590" t="s">
        <v>435</v>
      </c>
      <c r="C590" t="s">
        <v>574</v>
      </c>
      <c r="D590" t="s">
        <v>575</v>
      </c>
      <c r="E590" s="2">
        <v>179.965</v>
      </c>
      <c r="F590" s="2">
        <v>0</v>
      </c>
      <c r="G590" s="2">
        <v>66.195999999999998</v>
      </c>
      <c r="H590" s="2">
        <v>-50.433999999999997</v>
      </c>
      <c r="I590" s="1">
        <v>0.68391353874364402</v>
      </c>
      <c r="J590" s="1">
        <v>0.64012169032867505</v>
      </c>
      <c r="K590" s="1">
        <v>0.478884853509361</v>
      </c>
      <c r="L590" s="1">
        <v>0.34515037556295702</v>
      </c>
      <c r="M590" s="2"/>
      <c r="N590" s="2"/>
      <c r="Q590" s="1">
        <f t="shared" si="37"/>
        <v>123.0804999999999</v>
      </c>
      <c r="R590">
        <f t="shared" si="36"/>
        <v>115.19950000000001</v>
      </c>
      <c r="S590" s="1">
        <f t="shared" si="38"/>
        <v>86.182512661812154</v>
      </c>
      <c r="T590" s="1">
        <f t="shared" si="39"/>
        <v>62.114987338187561</v>
      </c>
    </row>
    <row r="591" spans="1:20" x14ac:dyDescent="0.3">
      <c r="A591" t="s">
        <v>359</v>
      </c>
      <c r="B591" t="s">
        <v>436</v>
      </c>
      <c r="C591" t="s">
        <v>574</v>
      </c>
      <c r="D591" t="s">
        <v>575</v>
      </c>
      <c r="E591" s="2">
        <v>200.97200000000001</v>
      </c>
      <c r="F591" s="2">
        <v>37.776000000000003</v>
      </c>
      <c r="G591" s="2">
        <v>107.099</v>
      </c>
      <c r="H591" s="2">
        <v>-86.598999999999904</v>
      </c>
      <c r="I591" s="1">
        <v>0.67246929920585896</v>
      </c>
      <c r="J591" s="1">
        <v>0.62146716955595704</v>
      </c>
      <c r="K591" s="1">
        <v>0.51105947043163102</v>
      </c>
      <c r="L591" s="1">
        <v>0.37686023977675598</v>
      </c>
      <c r="M591" s="2"/>
      <c r="N591" s="2"/>
      <c r="Q591" s="1">
        <f t="shared" si="37"/>
        <v>135.14749999999989</v>
      </c>
      <c r="R591">
        <f t="shared" si="36"/>
        <v>124.89749999999981</v>
      </c>
      <c r="S591" s="1">
        <f t="shared" si="38"/>
        <v>102.70864389158575</v>
      </c>
      <c r="T591" s="1">
        <f t="shared" si="39"/>
        <v>75.738356108414209</v>
      </c>
    </row>
    <row r="592" spans="1:20" x14ac:dyDescent="0.3">
      <c r="A592" t="s">
        <v>359</v>
      </c>
      <c r="B592" t="s">
        <v>437</v>
      </c>
      <c r="C592" t="s">
        <v>574</v>
      </c>
      <c r="D592" t="s">
        <v>575</v>
      </c>
      <c r="E592" s="2">
        <v>1210.8320000000001</v>
      </c>
      <c r="F592" s="2">
        <v>8.3390000000000004</v>
      </c>
      <c r="G592" s="2">
        <v>836.7</v>
      </c>
      <c r="H592" s="2">
        <v>-813.06899999999996</v>
      </c>
      <c r="I592" s="1">
        <v>0.84206273042007396</v>
      </c>
      <c r="J592" s="1">
        <v>0.83230456413441301</v>
      </c>
      <c r="K592" s="1">
        <v>0.63727183431934098</v>
      </c>
      <c r="L592" s="1">
        <v>0.54053896024175296</v>
      </c>
      <c r="M592" s="2"/>
      <c r="N592" s="2"/>
      <c r="Q592" s="1">
        <f t="shared" si="37"/>
        <v>1019.5964999999991</v>
      </c>
      <c r="R592">
        <f t="shared" si="36"/>
        <v>1007.7809999999996</v>
      </c>
      <c r="S592" s="1">
        <f t="shared" si="38"/>
        <v>771.62912969255638</v>
      </c>
      <c r="T592" s="1">
        <f t="shared" si="39"/>
        <v>654.50187030744223</v>
      </c>
    </row>
    <row r="593" spans="1:20" x14ac:dyDescent="0.3">
      <c r="A593" t="s">
        <v>359</v>
      </c>
      <c r="B593" t="s">
        <v>438</v>
      </c>
      <c r="C593" t="s">
        <v>576</v>
      </c>
      <c r="D593" t="s">
        <v>577</v>
      </c>
      <c r="E593" s="2">
        <v>1352.4670000000001</v>
      </c>
      <c r="F593" s="2">
        <v>0</v>
      </c>
      <c r="G593" s="2">
        <v>747.77599999999995</v>
      </c>
      <c r="H593" s="2">
        <v>-1175.27</v>
      </c>
      <c r="I593" s="1">
        <v>0.77644888932595002</v>
      </c>
      <c r="J593" s="1">
        <v>0.93449119276107995</v>
      </c>
      <c r="K593" s="1">
        <v>0.71207511130630596</v>
      </c>
      <c r="L593" s="1">
        <v>0.498864970780723</v>
      </c>
      <c r="M593" s="2"/>
      <c r="N593" s="2"/>
      <c r="Q593" s="1">
        <f t="shared" si="37"/>
        <v>1050.1214999999997</v>
      </c>
      <c r="R593">
        <f t="shared" si="36"/>
        <v>1263.8684999999996</v>
      </c>
      <c r="S593" s="1">
        <f t="shared" si="38"/>
        <v>963.0580895631058</v>
      </c>
      <c r="T593" s="1">
        <f t="shared" si="39"/>
        <v>674.69841043689212</v>
      </c>
    </row>
    <row r="594" spans="1:20" x14ac:dyDescent="0.3">
      <c r="A594" t="s">
        <v>359</v>
      </c>
      <c r="B594" t="s">
        <v>439</v>
      </c>
      <c r="C594" t="s">
        <v>576</v>
      </c>
      <c r="D594" t="s">
        <v>577</v>
      </c>
      <c r="E594" s="2">
        <v>0</v>
      </c>
      <c r="F594" s="2">
        <v>0</v>
      </c>
      <c r="G594" s="2">
        <v>0</v>
      </c>
      <c r="H594" s="2">
        <v>0</v>
      </c>
      <c r="I594" s="1">
        <v>0</v>
      </c>
      <c r="J594" s="1">
        <v>0</v>
      </c>
      <c r="K594" s="1">
        <v>0</v>
      </c>
      <c r="L594" s="1">
        <v>0</v>
      </c>
      <c r="M594" s="2"/>
      <c r="N594" s="2"/>
      <c r="Q594" s="1">
        <f t="shared" si="37"/>
        <v>0</v>
      </c>
      <c r="R594">
        <f t="shared" si="36"/>
        <v>0</v>
      </c>
      <c r="S594" s="1">
        <f t="shared" si="38"/>
        <v>0</v>
      </c>
      <c r="T594" s="1">
        <f t="shared" si="39"/>
        <v>0</v>
      </c>
    </row>
    <row r="595" spans="1:20" x14ac:dyDescent="0.3">
      <c r="A595" t="s">
        <v>359</v>
      </c>
      <c r="B595" t="s">
        <v>440</v>
      </c>
      <c r="C595" t="s">
        <v>576</v>
      </c>
      <c r="D595" t="s">
        <v>14</v>
      </c>
      <c r="E595" s="2">
        <v>48.834000000000003</v>
      </c>
      <c r="F595" s="2">
        <v>0</v>
      </c>
      <c r="G595" s="2">
        <v>28.946999999999999</v>
      </c>
      <c r="H595" s="2">
        <v>-35.921999999999997</v>
      </c>
      <c r="I595" s="1">
        <v>0.796381619363558</v>
      </c>
      <c r="J595" s="1">
        <v>0.86779702666175196</v>
      </c>
      <c r="K595" s="1">
        <v>0.63041811583340301</v>
      </c>
      <c r="L595" s="1">
        <v>0.53376053019190695</v>
      </c>
      <c r="M595" s="2"/>
      <c r="N595" s="2"/>
      <c r="Q595" s="1">
        <f t="shared" si="37"/>
        <v>38.890499999999996</v>
      </c>
      <c r="R595">
        <f t="shared" si="36"/>
        <v>42.378</v>
      </c>
      <c r="S595" s="1">
        <f t="shared" si="38"/>
        <v>30.785838268608405</v>
      </c>
      <c r="T595" s="1">
        <f t="shared" si="39"/>
        <v>26.065661731391586</v>
      </c>
    </row>
    <row r="596" spans="1:20" x14ac:dyDescent="0.3">
      <c r="A596" t="s">
        <v>359</v>
      </c>
      <c r="B596" t="s">
        <v>758</v>
      </c>
      <c r="C596" t="s">
        <v>576</v>
      </c>
      <c r="D596" t="s">
        <v>589</v>
      </c>
      <c r="E596" s="2">
        <v>0</v>
      </c>
      <c r="F596" s="2">
        <v>0</v>
      </c>
      <c r="G596" s="2">
        <v>0</v>
      </c>
      <c r="H596" s="2">
        <v>0</v>
      </c>
      <c r="I596" s="1">
        <v>0</v>
      </c>
      <c r="J596" s="1">
        <v>0</v>
      </c>
      <c r="K596" s="1">
        <v>0</v>
      </c>
      <c r="L596" s="1">
        <v>0</v>
      </c>
      <c r="M596" s="2"/>
      <c r="N596" s="2"/>
      <c r="Q596" s="1">
        <f t="shared" si="37"/>
        <v>0</v>
      </c>
      <c r="R596">
        <f t="shared" si="36"/>
        <v>0</v>
      </c>
      <c r="S596" s="1">
        <f t="shared" si="38"/>
        <v>0</v>
      </c>
      <c r="T596" s="1">
        <f t="shared" si="39"/>
        <v>0</v>
      </c>
    </row>
    <row r="597" spans="1:20" x14ac:dyDescent="0.3">
      <c r="A597" t="s">
        <v>359</v>
      </c>
      <c r="B597" t="s">
        <v>759</v>
      </c>
      <c r="C597" t="s">
        <v>574</v>
      </c>
      <c r="D597" t="s">
        <v>575</v>
      </c>
      <c r="E597" s="2">
        <v>96.040999999999997</v>
      </c>
      <c r="F597" s="2">
        <v>0</v>
      </c>
      <c r="G597" s="2">
        <v>43.938000000000002</v>
      </c>
      <c r="H597" s="2">
        <v>-49.661999999999999</v>
      </c>
      <c r="I597" s="1">
        <v>0.72874605637175704</v>
      </c>
      <c r="J597" s="1">
        <v>0.75854582938536597</v>
      </c>
      <c r="K597" s="1">
        <v>0.470130324852159</v>
      </c>
      <c r="L597" s="1">
        <v>0.51716156090496501</v>
      </c>
      <c r="M597" s="2"/>
      <c r="N597" s="2"/>
      <c r="Q597" s="1">
        <f t="shared" si="37"/>
        <v>69.989499999999921</v>
      </c>
      <c r="R597">
        <f t="shared" si="36"/>
        <v>72.85149999999993</v>
      </c>
      <c r="S597" s="1">
        <f t="shared" si="38"/>
        <v>45.151786529126198</v>
      </c>
      <c r="T597" s="1">
        <f t="shared" si="39"/>
        <v>49.66871347087374</v>
      </c>
    </row>
    <row r="598" spans="1:20" x14ac:dyDescent="0.3">
      <c r="A598" t="s">
        <v>359</v>
      </c>
      <c r="B598" t="s">
        <v>441</v>
      </c>
      <c r="C598" t="s">
        <v>574</v>
      </c>
      <c r="D598" t="s">
        <v>575</v>
      </c>
      <c r="E598" s="2">
        <v>138.90199999999999</v>
      </c>
      <c r="F598" s="2">
        <v>0</v>
      </c>
      <c r="G598" s="2">
        <v>86.936000000000007</v>
      </c>
      <c r="H598" s="2">
        <v>-80.05</v>
      </c>
      <c r="I598" s="1">
        <v>0.81294005845848105</v>
      </c>
      <c r="J598" s="1">
        <v>0.78815279837583296</v>
      </c>
      <c r="K598" s="1">
        <v>0.65643724902272105</v>
      </c>
      <c r="L598" s="1">
        <v>0.44465560781159302</v>
      </c>
      <c r="M598" s="2"/>
      <c r="N598" s="2"/>
      <c r="Q598" s="1">
        <f t="shared" si="37"/>
        <v>112.91899999999993</v>
      </c>
      <c r="R598">
        <f t="shared" si="36"/>
        <v>109.47599999999994</v>
      </c>
      <c r="S598" s="1">
        <f t="shared" si="38"/>
        <v>91.180446763753991</v>
      </c>
      <c r="T598" s="1">
        <f t="shared" si="39"/>
        <v>61.76355323624589</v>
      </c>
    </row>
    <row r="599" spans="1:20" x14ac:dyDescent="0.3">
      <c r="A599" t="s">
        <v>359</v>
      </c>
      <c r="B599" t="s">
        <v>442</v>
      </c>
      <c r="C599" t="s">
        <v>574</v>
      </c>
      <c r="D599" t="s">
        <v>575</v>
      </c>
      <c r="E599" s="2">
        <v>471.88900000000001</v>
      </c>
      <c r="F599" s="2">
        <v>0</v>
      </c>
      <c r="G599" s="2">
        <v>430.09800000000001</v>
      </c>
      <c r="H599" s="2">
        <v>-426.27800000000002</v>
      </c>
      <c r="I599" s="1">
        <v>0.95571945944915004</v>
      </c>
      <c r="J599" s="1">
        <v>0.951671897416553</v>
      </c>
      <c r="K599" s="1">
        <v>0.90065454823069002</v>
      </c>
      <c r="L599" s="1">
        <v>0.50673680863501303</v>
      </c>
      <c r="M599" s="2"/>
      <c r="N599" s="2"/>
      <c r="Q599" s="1">
        <f t="shared" si="37"/>
        <v>450.99349999999998</v>
      </c>
      <c r="R599">
        <f t="shared" si="36"/>
        <v>449.08349999999979</v>
      </c>
      <c r="S599" s="1">
        <f t="shared" si="38"/>
        <v>425.00897411003211</v>
      </c>
      <c r="T599" s="1">
        <f t="shared" si="39"/>
        <v>239.12352588996765</v>
      </c>
    </row>
    <row r="600" spans="1:20" x14ac:dyDescent="0.3">
      <c r="A600" t="s">
        <v>359</v>
      </c>
      <c r="B600" t="s">
        <v>760</v>
      </c>
      <c r="C600" t="s">
        <v>574</v>
      </c>
      <c r="D600" t="s">
        <v>575</v>
      </c>
      <c r="E600" s="2">
        <v>364.68099999999998</v>
      </c>
      <c r="F600" s="2">
        <v>0</v>
      </c>
      <c r="G600" s="2">
        <v>315.599999999999</v>
      </c>
      <c r="H600" s="2">
        <v>-313.70999999999998</v>
      </c>
      <c r="I600" s="1">
        <v>0.93270694113485397</v>
      </c>
      <c r="J600" s="1">
        <v>0.93011563530866703</v>
      </c>
      <c r="K600" s="1">
        <v>0.878321922198812</v>
      </c>
      <c r="L600" s="1">
        <v>0.48450065424470901</v>
      </c>
      <c r="M600" s="2"/>
      <c r="N600" s="2"/>
      <c r="Q600" s="1">
        <f t="shared" si="37"/>
        <v>340.14049999999969</v>
      </c>
      <c r="R600">
        <f t="shared" si="36"/>
        <v>339.19549999999998</v>
      </c>
      <c r="S600" s="1">
        <f t="shared" si="38"/>
        <v>320.30731690938495</v>
      </c>
      <c r="T600" s="1">
        <f t="shared" si="39"/>
        <v>176.68818309061473</v>
      </c>
    </row>
    <row r="601" spans="1:20" x14ac:dyDescent="0.3">
      <c r="A601" t="s">
        <v>359</v>
      </c>
      <c r="B601" t="s">
        <v>761</v>
      </c>
      <c r="C601" t="s">
        <v>576</v>
      </c>
      <c r="D601" t="s">
        <v>577</v>
      </c>
      <c r="E601" s="2">
        <v>240.012</v>
      </c>
      <c r="F601" s="2">
        <v>0</v>
      </c>
      <c r="G601" s="2">
        <v>194.43899999999999</v>
      </c>
      <c r="H601" s="2">
        <v>-219.37899999999999</v>
      </c>
      <c r="I601" s="1">
        <v>0.90506099695015196</v>
      </c>
      <c r="J601" s="1">
        <v>0.95701673249670804</v>
      </c>
      <c r="K601" s="1">
        <v>0.84703885035656501</v>
      </c>
      <c r="L601" s="1">
        <v>0.515038879090295</v>
      </c>
      <c r="M601" s="2"/>
      <c r="N601" s="2"/>
      <c r="Q601" s="1">
        <f t="shared" si="37"/>
        <v>217.22549999999987</v>
      </c>
      <c r="R601">
        <f t="shared" si="36"/>
        <v>229.6954999999999</v>
      </c>
      <c r="S601" s="1">
        <f t="shared" si="38"/>
        <v>203.29948855177989</v>
      </c>
      <c r="T601" s="1">
        <f t="shared" si="39"/>
        <v>123.61551144821988</v>
      </c>
    </row>
    <row r="602" spans="1:20" x14ac:dyDescent="0.3">
      <c r="A602" t="s">
        <v>359</v>
      </c>
      <c r="B602" t="s">
        <v>443</v>
      </c>
      <c r="C602" t="s">
        <v>574</v>
      </c>
      <c r="D602" t="s">
        <v>575</v>
      </c>
      <c r="E602" s="2">
        <v>127.104</v>
      </c>
      <c r="F602" s="2">
        <v>0.36899999999999999</v>
      </c>
      <c r="G602" s="2">
        <v>82.164999999999907</v>
      </c>
      <c r="H602" s="2">
        <v>-98.092999999999904</v>
      </c>
      <c r="I602" s="1">
        <v>0.82176800100704905</v>
      </c>
      <c r="J602" s="1">
        <v>0.88442535246727005</v>
      </c>
      <c r="K602" s="1">
        <v>0.58046075098250405</v>
      </c>
      <c r="L602" s="1">
        <v>0.62718416971235902</v>
      </c>
      <c r="M602" s="2"/>
      <c r="N602" s="2"/>
      <c r="Q602" s="1">
        <f t="shared" si="37"/>
        <v>104.44999999999996</v>
      </c>
      <c r="R602">
        <f t="shared" si="36"/>
        <v>112.41399999999989</v>
      </c>
      <c r="S602" s="1">
        <f t="shared" si="38"/>
        <v>73.778883292880195</v>
      </c>
      <c r="T602" s="1">
        <f t="shared" si="39"/>
        <v>79.717616707119674</v>
      </c>
    </row>
    <row r="603" spans="1:20" x14ac:dyDescent="0.3">
      <c r="A603" t="s">
        <v>359</v>
      </c>
      <c r="B603" t="s">
        <v>444</v>
      </c>
      <c r="C603" t="s">
        <v>574</v>
      </c>
      <c r="D603" t="s">
        <v>575</v>
      </c>
      <c r="E603" s="2">
        <v>212.18100000000001</v>
      </c>
      <c r="F603" s="2">
        <v>0.16800000000000001</v>
      </c>
      <c r="G603" s="2">
        <v>144.00299999999999</v>
      </c>
      <c r="H603" s="2">
        <v>-145.322</v>
      </c>
      <c r="I603" s="1">
        <v>0.83894410903897998</v>
      </c>
      <c r="J603" s="1">
        <v>0.84205230440048795</v>
      </c>
      <c r="K603" s="1">
        <v>0.56447571804307195</v>
      </c>
      <c r="L603" s="1">
        <v>0.61691658381241898</v>
      </c>
      <c r="M603" s="2"/>
      <c r="N603" s="2"/>
      <c r="Q603" s="1">
        <f t="shared" si="37"/>
        <v>178.00799999999981</v>
      </c>
      <c r="R603">
        <f t="shared" si="36"/>
        <v>178.66749999999993</v>
      </c>
      <c r="S603" s="1">
        <f t="shared" si="38"/>
        <v>119.77102233009705</v>
      </c>
      <c r="T603" s="1">
        <f t="shared" si="39"/>
        <v>130.89797766990287</v>
      </c>
    </row>
    <row r="604" spans="1:20" x14ac:dyDescent="0.3">
      <c r="A604" t="s">
        <v>359</v>
      </c>
      <c r="B604" t="s">
        <v>445</v>
      </c>
      <c r="C604" t="s">
        <v>574</v>
      </c>
      <c r="D604" t="s">
        <v>575</v>
      </c>
      <c r="E604" s="2">
        <v>3269.174</v>
      </c>
      <c r="F604" s="2">
        <v>228.54499999999999</v>
      </c>
      <c r="G604" s="2">
        <v>1359.6779999999901</v>
      </c>
      <c r="H604" s="2">
        <v>-1368.741</v>
      </c>
      <c r="I604" s="1">
        <v>0.67299981585562496</v>
      </c>
      <c r="J604" s="1">
        <v>0.67438594580771705</v>
      </c>
      <c r="K604" s="1">
        <v>0.49162601983863002</v>
      </c>
      <c r="L604" s="1">
        <v>0.39071428997663099</v>
      </c>
      <c r="M604" s="2"/>
      <c r="N604" s="2"/>
      <c r="Q604" s="1">
        <f t="shared" si="37"/>
        <v>2200.1534999999967</v>
      </c>
      <c r="R604">
        <f t="shared" si="36"/>
        <v>2204.6849999999977</v>
      </c>
      <c r="S604" s="1">
        <f t="shared" si="38"/>
        <v>1607.2110017799334</v>
      </c>
      <c r="T604" s="1">
        <f t="shared" si="39"/>
        <v>1277.3129982200626</v>
      </c>
    </row>
    <row r="605" spans="1:20" x14ac:dyDescent="0.3">
      <c r="A605" t="s">
        <v>359</v>
      </c>
      <c r="B605" t="s">
        <v>446</v>
      </c>
      <c r="C605" t="s">
        <v>574</v>
      </c>
      <c r="D605" t="s">
        <v>575</v>
      </c>
      <c r="E605" s="2">
        <v>180.29300000000001</v>
      </c>
      <c r="F605" s="2">
        <v>0</v>
      </c>
      <c r="G605" s="2">
        <v>131.54599999999999</v>
      </c>
      <c r="H605" s="2">
        <v>-100.47399999999899</v>
      </c>
      <c r="I605" s="1">
        <v>0.86481172313955601</v>
      </c>
      <c r="J605" s="1">
        <v>0.77864087901360501</v>
      </c>
      <c r="K605" s="1">
        <v>0.63548874851987103</v>
      </c>
      <c r="L605" s="1">
        <v>0.50796385363329</v>
      </c>
      <c r="M605" s="2"/>
      <c r="N605" s="2"/>
      <c r="Q605" s="1">
        <f t="shared" si="37"/>
        <v>155.91949999999997</v>
      </c>
      <c r="R605">
        <f t="shared" si="36"/>
        <v>140.38349999999988</v>
      </c>
      <c r="S605" s="1">
        <f t="shared" si="38"/>
        <v>114.57417293689311</v>
      </c>
      <c r="T605" s="1">
        <f t="shared" si="39"/>
        <v>91.58232706310676</v>
      </c>
    </row>
    <row r="606" spans="1:20" x14ac:dyDescent="0.3">
      <c r="A606" t="s">
        <v>359</v>
      </c>
      <c r="B606" t="s">
        <v>447</v>
      </c>
      <c r="C606" t="s">
        <v>576</v>
      </c>
      <c r="D606" t="s">
        <v>14</v>
      </c>
      <c r="E606" s="2">
        <v>49.366999999999997</v>
      </c>
      <c r="F606" s="2">
        <v>0</v>
      </c>
      <c r="G606" s="2">
        <v>25.486999999999998</v>
      </c>
      <c r="H606" s="2">
        <v>-31.588999999999999</v>
      </c>
      <c r="I606" s="1">
        <v>0.75813802742722802</v>
      </c>
      <c r="J606" s="1">
        <v>0.81994044604695404</v>
      </c>
      <c r="K606" s="1">
        <v>0.59986739566274705</v>
      </c>
      <c r="L606" s="1">
        <v>0.47821107781143501</v>
      </c>
      <c r="M606" s="2"/>
      <c r="N606" s="2"/>
      <c r="Q606" s="1">
        <f t="shared" si="37"/>
        <v>37.426999999999964</v>
      </c>
      <c r="R606">
        <f t="shared" si="36"/>
        <v>40.47799999999998</v>
      </c>
      <c r="S606" s="1">
        <f t="shared" si="38"/>
        <v>29.613653721682834</v>
      </c>
      <c r="T606" s="1">
        <f t="shared" si="39"/>
        <v>23.607846278317112</v>
      </c>
    </row>
    <row r="607" spans="1:20" x14ac:dyDescent="0.3">
      <c r="A607" t="s">
        <v>359</v>
      </c>
      <c r="B607" t="s">
        <v>762</v>
      </c>
      <c r="C607" t="s">
        <v>574</v>
      </c>
      <c r="D607" t="s">
        <v>575</v>
      </c>
      <c r="E607" s="2">
        <v>393.26100000000002</v>
      </c>
      <c r="F607" s="2">
        <v>12.045</v>
      </c>
      <c r="G607" s="2">
        <v>127.096</v>
      </c>
      <c r="H607" s="2">
        <v>-91.366999999999905</v>
      </c>
      <c r="I607" s="1">
        <v>0.64627817149424904</v>
      </c>
      <c r="J607" s="1">
        <v>0.60085159728526305</v>
      </c>
      <c r="K607" s="1">
        <v>0.46416574394061799</v>
      </c>
      <c r="L607" s="1">
        <v>0.29827828178275501</v>
      </c>
      <c r="M607" s="2"/>
      <c r="N607" s="2"/>
      <c r="Q607" s="1">
        <f t="shared" si="37"/>
        <v>254.15599999999989</v>
      </c>
      <c r="R607">
        <f t="shared" si="36"/>
        <v>236.29149999999984</v>
      </c>
      <c r="S607" s="1">
        <f t="shared" si="38"/>
        <v>182.53828462783139</v>
      </c>
      <c r="T607" s="1">
        <f t="shared" si="39"/>
        <v>117.30121537216803</v>
      </c>
    </row>
    <row r="608" spans="1:20" x14ac:dyDescent="0.3">
      <c r="A608" t="s">
        <v>359</v>
      </c>
      <c r="B608" t="s">
        <v>448</v>
      </c>
      <c r="C608" t="s">
        <v>574</v>
      </c>
      <c r="D608" t="s">
        <v>575</v>
      </c>
      <c r="E608" s="2">
        <v>4232.8969999999999</v>
      </c>
      <c r="F608" s="2">
        <v>368.28</v>
      </c>
      <c r="G608" s="2">
        <v>1552.88599999999</v>
      </c>
      <c r="H608" s="2">
        <v>-1641.12599999999</v>
      </c>
      <c r="I608" s="1">
        <v>0.639928517041638</v>
      </c>
      <c r="J608" s="1">
        <v>0.65035163860589995</v>
      </c>
      <c r="K608" s="1">
        <v>0.47750293411291</v>
      </c>
      <c r="L608" s="1">
        <v>0.35627934313125598</v>
      </c>
      <c r="M608" s="2"/>
      <c r="N608" s="2"/>
      <c r="Q608" s="1">
        <f t="shared" si="37"/>
        <v>2708.7514999999985</v>
      </c>
      <c r="R608">
        <f t="shared" si="36"/>
        <v>2752.8714999999979</v>
      </c>
      <c r="S608" s="1">
        <f t="shared" si="38"/>
        <v>2021.2207372977343</v>
      </c>
      <c r="T608" s="1">
        <f t="shared" si="39"/>
        <v>1508.093762702264</v>
      </c>
    </row>
    <row r="609" spans="1:20" x14ac:dyDescent="0.3">
      <c r="A609" t="s">
        <v>359</v>
      </c>
      <c r="B609" t="s">
        <v>449</v>
      </c>
      <c r="C609" t="s">
        <v>574</v>
      </c>
      <c r="D609" t="s">
        <v>575</v>
      </c>
      <c r="E609" s="2">
        <v>7014.2790000000005</v>
      </c>
      <c r="F609" s="2">
        <v>1890.4549999999999</v>
      </c>
      <c r="G609" s="2">
        <v>1511.5519999999899</v>
      </c>
      <c r="H609" s="2">
        <v>-1447.7850000000001</v>
      </c>
      <c r="I609" s="1">
        <v>0.47299059532704602</v>
      </c>
      <c r="J609" s="1">
        <v>0.468445081810974</v>
      </c>
      <c r="K609" s="1">
        <v>0.34401020858117698</v>
      </c>
      <c r="L609" s="1">
        <v>0.232183082275944</v>
      </c>
      <c r="M609" s="2"/>
      <c r="N609" s="2"/>
      <c r="Q609" s="1">
        <f t="shared" si="37"/>
        <v>3317.6879999999974</v>
      </c>
      <c r="R609">
        <f t="shared" si="36"/>
        <v>3285.804499999997</v>
      </c>
      <c r="S609" s="1">
        <f t="shared" si="38"/>
        <v>2412.9835818365696</v>
      </c>
      <c r="T609" s="1">
        <f t="shared" si="39"/>
        <v>1628.5969181634264</v>
      </c>
    </row>
    <row r="610" spans="1:20" x14ac:dyDescent="0.3">
      <c r="A610" t="s">
        <v>359</v>
      </c>
      <c r="B610" t="s">
        <v>450</v>
      </c>
      <c r="C610" t="s">
        <v>574</v>
      </c>
      <c r="D610" t="s">
        <v>575</v>
      </c>
      <c r="E610" s="2">
        <v>61.072000000000003</v>
      </c>
      <c r="F610" s="2">
        <v>0</v>
      </c>
      <c r="G610" s="2">
        <v>45.366999999999997</v>
      </c>
      <c r="H610" s="2">
        <v>-55.515999999999998</v>
      </c>
      <c r="I610" s="1">
        <v>0.87142225569819198</v>
      </c>
      <c r="J610" s="1">
        <v>0.95451270631385898</v>
      </c>
      <c r="K610" s="1">
        <v>0.54725951749455004</v>
      </c>
      <c r="L610" s="1">
        <v>0.77867544451750004</v>
      </c>
      <c r="M610" s="2"/>
      <c r="N610" s="2"/>
      <c r="Q610" s="1">
        <f t="shared" si="37"/>
        <v>53.219499999999982</v>
      </c>
      <c r="R610">
        <f t="shared" si="36"/>
        <v>58.293999999999997</v>
      </c>
      <c r="S610" s="1">
        <f t="shared" si="38"/>
        <v>33.422233252427162</v>
      </c>
      <c r="T610" s="1">
        <f t="shared" si="39"/>
        <v>47.555266747572766</v>
      </c>
    </row>
    <row r="611" spans="1:20" x14ac:dyDescent="0.3">
      <c r="A611" t="s">
        <v>359</v>
      </c>
      <c r="B611" t="s">
        <v>451</v>
      </c>
      <c r="C611" t="s">
        <v>574</v>
      </c>
      <c r="D611" t="s">
        <v>575</v>
      </c>
      <c r="E611" s="2">
        <v>96.25</v>
      </c>
      <c r="F611" s="2">
        <v>0</v>
      </c>
      <c r="G611" s="2">
        <v>56.865000000000002</v>
      </c>
      <c r="H611" s="2">
        <v>-85.926000000000002</v>
      </c>
      <c r="I611" s="1">
        <v>0.795402597402597</v>
      </c>
      <c r="J611" s="1">
        <v>0.94636883116883097</v>
      </c>
      <c r="K611" s="1">
        <v>0.48484705963938901</v>
      </c>
      <c r="L611" s="1">
        <v>0.75692436893203796</v>
      </c>
      <c r="M611" s="2"/>
      <c r="N611" s="2"/>
      <c r="Q611" s="1">
        <f t="shared" si="37"/>
        <v>76.557499999999962</v>
      </c>
      <c r="R611">
        <f t="shared" si="36"/>
        <v>91.08799999999998</v>
      </c>
      <c r="S611" s="1">
        <f t="shared" si="38"/>
        <v>46.66652949029119</v>
      </c>
      <c r="T611" s="1">
        <f t="shared" si="39"/>
        <v>72.85397050970866</v>
      </c>
    </row>
    <row r="612" spans="1:20" x14ac:dyDescent="0.3">
      <c r="A612" t="s">
        <v>359</v>
      </c>
      <c r="B612" t="s">
        <v>452</v>
      </c>
      <c r="C612" t="s">
        <v>576</v>
      </c>
      <c r="D612" t="s">
        <v>14</v>
      </c>
      <c r="E612" s="2">
        <v>29</v>
      </c>
      <c r="F612" s="2">
        <v>0</v>
      </c>
      <c r="G612" s="2">
        <v>12.989000000000001</v>
      </c>
      <c r="H612" s="2">
        <v>-24.978999999999999</v>
      </c>
      <c r="I612" s="1">
        <v>0.723948275862069</v>
      </c>
      <c r="J612" s="1">
        <v>0.93067241379310295</v>
      </c>
      <c r="K612" s="1">
        <v>0.52919661310121602</v>
      </c>
      <c r="L612" s="1">
        <v>0.62542407655395504</v>
      </c>
      <c r="M612" s="2"/>
      <c r="N612" s="2"/>
      <c r="Q612" s="1">
        <f t="shared" si="37"/>
        <v>20.994500000000002</v>
      </c>
      <c r="R612">
        <f t="shared" si="36"/>
        <v>26.989499999999985</v>
      </c>
      <c r="S612" s="1">
        <f t="shared" si="38"/>
        <v>15.346701779935264</v>
      </c>
      <c r="T612" s="1">
        <f t="shared" si="39"/>
        <v>18.137298220064697</v>
      </c>
    </row>
    <row r="613" spans="1:20" x14ac:dyDescent="0.3">
      <c r="A613" t="s">
        <v>359</v>
      </c>
      <c r="B613" t="s">
        <v>453</v>
      </c>
      <c r="C613" t="s">
        <v>574</v>
      </c>
      <c r="D613" t="s">
        <v>575</v>
      </c>
      <c r="E613" s="2">
        <v>2103.1109999999999</v>
      </c>
      <c r="F613" s="2">
        <v>193.34</v>
      </c>
      <c r="G613" s="2">
        <v>1409.2349999999999</v>
      </c>
      <c r="H613" s="2">
        <v>-1266.518</v>
      </c>
      <c r="I613" s="1">
        <v>0.78907057211911302</v>
      </c>
      <c r="J613" s="1">
        <v>0.75514059885569496</v>
      </c>
      <c r="K613" s="1">
        <v>0.65882021530412704</v>
      </c>
      <c r="L613" s="1">
        <v>0.43135619478549603</v>
      </c>
      <c r="M613" s="2"/>
      <c r="N613" s="2"/>
      <c r="Q613" s="1">
        <f t="shared" si="37"/>
        <v>1659.5029999999997</v>
      </c>
      <c r="R613">
        <f t="shared" si="36"/>
        <v>1588.1444999999994</v>
      </c>
      <c r="S613" s="1">
        <f t="shared" si="38"/>
        <v>1385.5720418284779</v>
      </c>
      <c r="T613" s="1">
        <f t="shared" si="39"/>
        <v>907.18995817151927</v>
      </c>
    </row>
    <row r="614" spans="1:20" x14ac:dyDescent="0.3">
      <c r="A614" t="s">
        <v>359</v>
      </c>
      <c r="B614" t="s">
        <v>454</v>
      </c>
      <c r="C614" t="s">
        <v>574</v>
      </c>
      <c r="D614" t="s">
        <v>575</v>
      </c>
      <c r="E614" s="2">
        <v>51</v>
      </c>
      <c r="F614" s="2">
        <v>8.2690000000000001</v>
      </c>
      <c r="G614" s="2">
        <v>20.920999999999999</v>
      </c>
      <c r="H614" s="2">
        <v>-16.875</v>
      </c>
      <c r="I614" s="1">
        <v>0.62403921568627396</v>
      </c>
      <c r="J614" s="1">
        <v>0.584372549019607</v>
      </c>
      <c r="K614" s="1">
        <v>0.50291950472745695</v>
      </c>
      <c r="L614" s="1">
        <v>0.286560887429405</v>
      </c>
      <c r="M614" s="2"/>
      <c r="N614" s="2"/>
      <c r="Q614" s="1">
        <f t="shared" si="37"/>
        <v>31.825999999999972</v>
      </c>
      <c r="R614">
        <f t="shared" si="36"/>
        <v>29.802999999999958</v>
      </c>
      <c r="S614" s="1">
        <f t="shared" si="38"/>
        <v>25.648894741100303</v>
      </c>
      <c r="T614" s="1">
        <f t="shared" si="39"/>
        <v>14.614605258899655</v>
      </c>
    </row>
    <row r="615" spans="1:20" x14ac:dyDescent="0.3">
      <c r="A615" t="s">
        <v>359</v>
      </c>
      <c r="B615" t="s">
        <v>455</v>
      </c>
      <c r="C615" t="s">
        <v>574</v>
      </c>
      <c r="D615" t="s">
        <v>575</v>
      </c>
      <c r="E615" s="2">
        <v>408.15100000000001</v>
      </c>
      <c r="F615" s="2">
        <v>0</v>
      </c>
      <c r="G615" s="2">
        <v>313.75299999999999</v>
      </c>
      <c r="H615" s="2">
        <v>-297.83100000000002</v>
      </c>
      <c r="I615" s="1">
        <v>0.88435897498719795</v>
      </c>
      <c r="J615" s="1">
        <v>0.86485393886086204</v>
      </c>
      <c r="K615" s="1">
        <v>0.56970396386786804</v>
      </c>
      <c r="L615" s="1">
        <v>0.67950894998019296</v>
      </c>
      <c r="M615" s="2"/>
      <c r="N615" s="2"/>
      <c r="Q615" s="1">
        <f t="shared" si="37"/>
        <v>360.95199999999983</v>
      </c>
      <c r="R615">
        <f t="shared" si="36"/>
        <v>352.9909999999997</v>
      </c>
      <c r="S615" s="1">
        <f t="shared" si="38"/>
        <v>232.52524255663423</v>
      </c>
      <c r="T615" s="1">
        <f t="shared" si="39"/>
        <v>277.34225744336572</v>
      </c>
    </row>
    <row r="616" spans="1:20" x14ac:dyDescent="0.3">
      <c r="A616" t="s">
        <v>359</v>
      </c>
      <c r="B616" t="s">
        <v>456</v>
      </c>
      <c r="C616" t="s">
        <v>574</v>
      </c>
      <c r="D616" t="s">
        <v>575</v>
      </c>
      <c r="E616" s="2">
        <v>25.63</v>
      </c>
      <c r="F616" s="2">
        <v>0</v>
      </c>
      <c r="G616" s="2">
        <v>12.481</v>
      </c>
      <c r="H616" s="2">
        <v>-12.087999999999999</v>
      </c>
      <c r="I616" s="1">
        <v>0.74348419820522804</v>
      </c>
      <c r="J616" s="1">
        <v>0.73581740148263697</v>
      </c>
      <c r="K616" s="1">
        <v>0.59598382097991398</v>
      </c>
      <c r="L616" s="1">
        <v>0.38331777870795097</v>
      </c>
      <c r="M616" s="2"/>
      <c r="N616" s="2"/>
      <c r="Q616" s="1">
        <f t="shared" si="37"/>
        <v>19.055499999999995</v>
      </c>
      <c r="R616">
        <f t="shared" si="36"/>
        <v>18.858999999999984</v>
      </c>
      <c r="S616" s="1">
        <f t="shared" si="38"/>
        <v>15.275065331715195</v>
      </c>
      <c r="T616" s="1">
        <f t="shared" si="39"/>
        <v>9.8244346682847823</v>
      </c>
    </row>
    <row r="617" spans="1:20" x14ac:dyDescent="0.3">
      <c r="A617" t="s">
        <v>359</v>
      </c>
      <c r="B617" t="s">
        <v>457</v>
      </c>
      <c r="C617" t="s">
        <v>574</v>
      </c>
      <c r="D617" t="s">
        <v>575</v>
      </c>
      <c r="E617" s="2">
        <v>117.72499999999999</v>
      </c>
      <c r="F617" s="2">
        <v>0</v>
      </c>
      <c r="G617" s="2">
        <v>68.248999999999995</v>
      </c>
      <c r="H617" s="2">
        <v>-53.471999999999902</v>
      </c>
      <c r="I617" s="1">
        <v>0.78986621363346698</v>
      </c>
      <c r="J617" s="1">
        <v>0.72710554257804205</v>
      </c>
      <c r="K617" s="1">
        <v>0.53103006190033397</v>
      </c>
      <c r="L617" s="1">
        <v>0.48594169431117501</v>
      </c>
      <c r="M617" s="2"/>
      <c r="N617" s="2"/>
      <c r="Q617" s="1">
        <f t="shared" si="37"/>
        <v>92.986999999999895</v>
      </c>
      <c r="R617">
        <f t="shared" si="36"/>
        <v>85.598500000000001</v>
      </c>
      <c r="S617" s="1">
        <f t="shared" si="38"/>
        <v>62.515514037216811</v>
      </c>
      <c r="T617" s="1">
        <f t="shared" si="39"/>
        <v>57.207485962783075</v>
      </c>
    </row>
    <row r="618" spans="1:20" x14ac:dyDescent="0.3">
      <c r="A618" t="s">
        <v>359</v>
      </c>
      <c r="B618" t="s">
        <v>458</v>
      </c>
      <c r="C618" t="s">
        <v>574</v>
      </c>
      <c r="D618" t="s">
        <v>575</v>
      </c>
      <c r="E618" s="2">
        <v>3596.85</v>
      </c>
      <c r="F618" s="2">
        <v>4.9960000000000004</v>
      </c>
      <c r="G618" s="2">
        <v>1229.3039999999901</v>
      </c>
      <c r="H618" s="2">
        <v>-1326.4570000000001</v>
      </c>
      <c r="I618" s="1">
        <v>0.67019169551135005</v>
      </c>
      <c r="J618" s="1">
        <v>0.68369698486175401</v>
      </c>
      <c r="K618" s="1">
        <v>0.424849396854034</v>
      </c>
      <c r="L618" s="1">
        <v>0.42973378009245999</v>
      </c>
      <c r="M618" s="2"/>
      <c r="N618" s="2"/>
      <c r="Q618" s="1">
        <f t="shared" si="37"/>
        <v>2410.5789999999993</v>
      </c>
      <c r="R618">
        <f t="shared" si="36"/>
        <v>2459.1554999999998</v>
      </c>
      <c r="S618" s="1">
        <f t="shared" si="38"/>
        <v>1528.1195530744321</v>
      </c>
      <c r="T618" s="1">
        <f t="shared" si="39"/>
        <v>1545.6879469255648</v>
      </c>
    </row>
    <row r="619" spans="1:20" x14ac:dyDescent="0.3">
      <c r="A619" t="s">
        <v>359</v>
      </c>
      <c r="B619" t="s">
        <v>459</v>
      </c>
      <c r="C619" t="s">
        <v>576</v>
      </c>
      <c r="D619" t="s">
        <v>577</v>
      </c>
      <c r="E619" s="2">
        <v>88.7</v>
      </c>
      <c r="F619" s="2">
        <v>0</v>
      </c>
      <c r="G619" s="2">
        <v>82.449999999999903</v>
      </c>
      <c r="H619" s="2">
        <v>-86.302999999999997</v>
      </c>
      <c r="I619" s="1">
        <v>0.964768883878241</v>
      </c>
      <c r="J619" s="1">
        <v>0.98648816234498204</v>
      </c>
      <c r="K619" s="1">
        <v>0.92989828446127598</v>
      </c>
      <c r="L619" s="1">
        <v>0.52135876176194795</v>
      </c>
      <c r="M619" s="2"/>
      <c r="N619" s="2"/>
      <c r="Q619" s="1">
        <f t="shared" si="37"/>
        <v>85.574999999999974</v>
      </c>
      <c r="R619">
        <f t="shared" si="36"/>
        <v>87.501499999999908</v>
      </c>
      <c r="S619" s="1">
        <f t="shared" si="38"/>
        <v>82.481977831715184</v>
      </c>
      <c r="T619" s="1">
        <f t="shared" si="39"/>
        <v>46.244522168284782</v>
      </c>
    </row>
    <row r="620" spans="1:20" x14ac:dyDescent="0.3">
      <c r="A620" t="s">
        <v>359</v>
      </c>
      <c r="B620" t="s">
        <v>763</v>
      </c>
      <c r="C620" t="s">
        <v>574</v>
      </c>
      <c r="D620" t="s">
        <v>575</v>
      </c>
      <c r="E620" s="2">
        <v>1344.8040000000001</v>
      </c>
      <c r="F620" s="2">
        <v>205.78200000000001</v>
      </c>
      <c r="G620" s="2">
        <v>454.32600000000002</v>
      </c>
      <c r="H620" s="2">
        <v>-401.79099999999897</v>
      </c>
      <c r="I620" s="1">
        <v>0.59240900532717</v>
      </c>
      <c r="J620" s="1">
        <v>0.57287641916591503</v>
      </c>
      <c r="K620" s="1">
        <v>0.37626046688301701</v>
      </c>
      <c r="L620" s="1">
        <v>0.36553499178605198</v>
      </c>
      <c r="M620" s="2"/>
      <c r="N620" s="2"/>
      <c r="Q620" s="1">
        <f t="shared" si="37"/>
        <v>796.67399999999952</v>
      </c>
      <c r="R620">
        <f t="shared" si="36"/>
        <v>770.40649999999926</v>
      </c>
      <c r="S620" s="1">
        <f t="shared" si="38"/>
        <v>505.99658090614884</v>
      </c>
      <c r="T620" s="1">
        <f t="shared" si="39"/>
        <v>491.57291909384986</v>
      </c>
    </row>
    <row r="621" spans="1:20" x14ac:dyDescent="0.3">
      <c r="A621" t="s">
        <v>359</v>
      </c>
      <c r="B621" t="s">
        <v>460</v>
      </c>
      <c r="C621" t="s">
        <v>574</v>
      </c>
      <c r="D621" t="s">
        <v>575</v>
      </c>
      <c r="E621" s="2">
        <v>97.71</v>
      </c>
      <c r="F621" s="2">
        <v>0</v>
      </c>
      <c r="G621" s="2">
        <v>41.796999999999997</v>
      </c>
      <c r="H621" s="2">
        <v>-23.323999999999899</v>
      </c>
      <c r="I621" s="1">
        <v>0.71388291884146904</v>
      </c>
      <c r="J621" s="1">
        <v>0.61935318800532102</v>
      </c>
      <c r="K621" s="1">
        <v>0.53724645721984898</v>
      </c>
      <c r="L621" s="1">
        <v>0.29598964962694202</v>
      </c>
      <c r="M621" s="2"/>
      <c r="N621" s="2"/>
      <c r="Q621" s="1">
        <f t="shared" si="37"/>
        <v>69.753499999999931</v>
      </c>
      <c r="R621">
        <f t="shared" si="36"/>
        <v>60.516999999999911</v>
      </c>
      <c r="S621" s="1">
        <f t="shared" si="38"/>
        <v>52.494351334951439</v>
      </c>
      <c r="T621" s="1">
        <f t="shared" si="39"/>
        <v>28.921148665048502</v>
      </c>
    </row>
    <row r="622" spans="1:20" x14ac:dyDescent="0.3">
      <c r="A622" t="s">
        <v>359</v>
      </c>
      <c r="B622" t="s">
        <v>461</v>
      </c>
      <c r="C622" t="s">
        <v>576</v>
      </c>
      <c r="D622" t="s">
        <v>577</v>
      </c>
      <c r="E622" s="2">
        <v>252.399</v>
      </c>
      <c r="F622" s="2">
        <v>0</v>
      </c>
      <c r="G622" s="2">
        <v>190.81899999999999</v>
      </c>
      <c r="H622" s="2">
        <v>-212.22399999999999</v>
      </c>
      <c r="I622" s="1">
        <v>0.87801061018466797</v>
      </c>
      <c r="J622" s="1">
        <v>0.92041371003846995</v>
      </c>
      <c r="K622" s="1">
        <v>0.79512290433171495</v>
      </c>
      <c r="L622" s="1">
        <v>0.50330141589142297</v>
      </c>
      <c r="M622" s="2"/>
      <c r="N622" s="2"/>
      <c r="Q622" s="1">
        <f t="shared" si="37"/>
        <v>221.60900000000001</v>
      </c>
      <c r="R622">
        <f t="shared" si="36"/>
        <v>232.31149999999977</v>
      </c>
      <c r="S622" s="1">
        <f t="shared" si="38"/>
        <v>200.68822593042051</v>
      </c>
      <c r="T622" s="1">
        <f t="shared" si="39"/>
        <v>127.03277406957926</v>
      </c>
    </row>
    <row r="623" spans="1:20" x14ac:dyDescent="0.3">
      <c r="A623" t="s">
        <v>359</v>
      </c>
      <c r="B623" t="s">
        <v>462</v>
      </c>
      <c r="C623" t="s">
        <v>576</v>
      </c>
      <c r="D623" t="s">
        <v>577</v>
      </c>
      <c r="E623" s="2">
        <v>116.724</v>
      </c>
      <c r="F623" s="2">
        <v>0</v>
      </c>
      <c r="G623" s="2">
        <v>86.856999999999999</v>
      </c>
      <c r="H623" s="2">
        <v>-99.994999999999905</v>
      </c>
      <c r="I623" s="1">
        <v>0.87206144409033204</v>
      </c>
      <c r="J623" s="1">
        <v>0.928339501730578</v>
      </c>
      <c r="K623" s="1">
        <v>0.84684768159425405</v>
      </c>
      <c r="L623" s="1">
        <v>0.45355326422665598</v>
      </c>
      <c r="M623" s="2"/>
      <c r="N623" s="2"/>
      <c r="Q623" s="1">
        <f t="shared" si="37"/>
        <v>101.79049999999992</v>
      </c>
      <c r="R623">
        <f t="shared" si="36"/>
        <v>108.35949999999998</v>
      </c>
      <c r="S623" s="1">
        <f t="shared" si="38"/>
        <v>98.84744878640771</v>
      </c>
      <c r="T623" s="1">
        <f t="shared" si="39"/>
        <v>52.940551213592194</v>
      </c>
    </row>
    <row r="624" spans="1:20" x14ac:dyDescent="0.3">
      <c r="A624" t="s">
        <v>359</v>
      </c>
      <c r="B624" t="s">
        <v>463</v>
      </c>
      <c r="C624" t="s">
        <v>576</v>
      </c>
      <c r="D624" t="s">
        <v>14</v>
      </c>
      <c r="E624" s="2">
        <v>23.449000000000002</v>
      </c>
      <c r="F624" s="2">
        <v>0</v>
      </c>
      <c r="G624" s="2">
        <v>22.568999999999999</v>
      </c>
      <c r="H624" s="2">
        <v>-0.05</v>
      </c>
      <c r="I624" s="1">
        <v>0.981235873598021</v>
      </c>
      <c r="J624" s="1">
        <v>0.501066143545567</v>
      </c>
      <c r="K624" s="1">
        <v>0.51860625833728402</v>
      </c>
      <c r="L624" s="1">
        <v>0.46369575880630398</v>
      </c>
      <c r="M624" s="2"/>
      <c r="N624" s="2"/>
      <c r="Q624" s="1">
        <f t="shared" si="37"/>
        <v>23.008999999999997</v>
      </c>
      <c r="R624">
        <f t="shared" si="36"/>
        <v>11.749500000000001</v>
      </c>
      <c r="S624" s="1">
        <f t="shared" si="38"/>
        <v>12.160798151750974</v>
      </c>
      <c r="T624" s="1">
        <f t="shared" si="39"/>
        <v>10.873201848249023</v>
      </c>
    </row>
    <row r="625" spans="1:20" x14ac:dyDescent="0.3">
      <c r="A625" t="s">
        <v>359</v>
      </c>
      <c r="B625" t="s">
        <v>464</v>
      </c>
      <c r="C625" t="s">
        <v>574</v>
      </c>
      <c r="D625" t="s">
        <v>575</v>
      </c>
      <c r="E625" s="2">
        <v>0</v>
      </c>
      <c r="F625" s="2">
        <v>0</v>
      </c>
      <c r="G625" s="2">
        <v>0</v>
      </c>
      <c r="H625" s="2">
        <v>0</v>
      </c>
      <c r="I625" s="1">
        <v>0</v>
      </c>
      <c r="J625" s="1">
        <v>0</v>
      </c>
      <c r="K625" s="1">
        <v>0</v>
      </c>
      <c r="L625" s="1">
        <v>0</v>
      </c>
      <c r="M625" s="2"/>
      <c r="N625" s="2"/>
      <c r="Q625" s="1">
        <f t="shared" si="37"/>
        <v>0</v>
      </c>
      <c r="R625">
        <f t="shared" si="36"/>
        <v>0</v>
      </c>
      <c r="S625" s="1">
        <f t="shared" si="38"/>
        <v>0</v>
      </c>
      <c r="T625" s="1">
        <f t="shared" si="39"/>
        <v>0</v>
      </c>
    </row>
    <row r="626" spans="1:20" x14ac:dyDescent="0.3">
      <c r="A626" t="s">
        <v>359</v>
      </c>
      <c r="B626" t="s">
        <v>465</v>
      </c>
      <c r="C626" t="s">
        <v>574</v>
      </c>
      <c r="D626" t="s">
        <v>575</v>
      </c>
      <c r="E626" s="2">
        <v>903.21900000000005</v>
      </c>
      <c r="F626" s="2">
        <v>103.15</v>
      </c>
      <c r="G626" s="2">
        <v>601.39499999999998</v>
      </c>
      <c r="H626" s="2">
        <v>-618.97299999999996</v>
      </c>
      <c r="I626" s="1">
        <v>0.77581627490121396</v>
      </c>
      <c r="J626" s="1">
        <v>0.78554702680080901</v>
      </c>
      <c r="K626" s="1">
        <v>0.54659320797278799</v>
      </c>
      <c r="L626" s="1">
        <v>0.57187141688563403</v>
      </c>
      <c r="M626" s="2"/>
      <c r="N626" s="2"/>
      <c r="Q626" s="1">
        <f t="shared" si="37"/>
        <v>700.73199999999963</v>
      </c>
      <c r="R626">
        <f t="shared" si="36"/>
        <v>709.52099999999996</v>
      </c>
      <c r="S626" s="1">
        <f t="shared" si="38"/>
        <v>493.69337071197361</v>
      </c>
      <c r="T626" s="1">
        <f t="shared" si="39"/>
        <v>516.52512928802548</v>
      </c>
    </row>
    <row r="627" spans="1:20" x14ac:dyDescent="0.3">
      <c r="A627" t="s">
        <v>359</v>
      </c>
      <c r="B627" t="s">
        <v>466</v>
      </c>
      <c r="C627" t="s">
        <v>574</v>
      </c>
      <c r="D627" t="s">
        <v>575</v>
      </c>
      <c r="E627" s="2">
        <v>31.109000000000002</v>
      </c>
      <c r="F627" s="2">
        <v>0</v>
      </c>
      <c r="G627" s="2">
        <v>20.539000000000001</v>
      </c>
      <c r="H627" s="2">
        <v>-19.289000000000001</v>
      </c>
      <c r="I627" s="1">
        <v>0.83011347198559904</v>
      </c>
      <c r="J627" s="1">
        <v>0.81002282297727302</v>
      </c>
      <c r="K627" s="1">
        <v>0.638194733342342</v>
      </c>
      <c r="L627" s="1">
        <v>0.50194156162053005</v>
      </c>
      <c r="M627" s="2"/>
      <c r="N627" s="2"/>
      <c r="Q627" s="1">
        <f t="shared" si="37"/>
        <v>25.824000000000002</v>
      </c>
      <c r="R627">
        <f t="shared" si="36"/>
        <v>25.198999999999987</v>
      </c>
      <c r="S627" s="1">
        <f t="shared" si="38"/>
        <v>19.853599959546919</v>
      </c>
      <c r="T627" s="1">
        <f t="shared" si="39"/>
        <v>15.614900040453071</v>
      </c>
    </row>
    <row r="628" spans="1:20" x14ac:dyDescent="0.3">
      <c r="A628" t="s">
        <v>359</v>
      </c>
      <c r="B628" t="s">
        <v>467</v>
      </c>
      <c r="C628" t="s">
        <v>574</v>
      </c>
      <c r="D628" t="s">
        <v>575</v>
      </c>
      <c r="E628" s="2">
        <v>1079.566</v>
      </c>
      <c r="F628" s="2">
        <v>0.71799999999999997</v>
      </c>
      <c r="G628" s="2">
        <v>649.596</v>
      </c>
      <c r="H628" s="2">
        <v>-705.36599999999999</v>
      </c>
      <c r="I628" s="1">
        <v>0.80052724891298899</v>
      </c>
      <c r="J628" s="1">
        <v>0.82635707312012396</v>
      </c>
      <c r="K628" s="1">
        <v>0.61580379010270703</v>
      </c>
      <c r="L628" s="1">
        <v>0.51141307297004501</v>
      </c>
      <c r="M628" s="2"/>
      <c r="N628" s="2"/>
      <c r="Q628" s="1">
        <f t="shared" si="37"/>
        <v>864.22199999999987</v>
      </c>
      <c r="R628">
        <f t="shared" si="36"/>
        <v>892.10699999999974</v>
      </c>
      <c r="S628" s="1">
        <f t="shared" si="38"/>
        <v>664.80083446601907</v>
      </c>
      <c r="T628" s="1">
        <f t="shared" si="39"/>
        <v>552.10416553397965</v>
      </c>
    </row>
    <row r="629" spans="1:20" x14ac:dyDescent="0.3">
      <c r="A629" t="s">
        <v>359</v>
      </c>
      <c r="B629" t="s">
        <v>468</v>
      </c>
      <c r="C629" t="s">
        <v>576</v>
      </c>
      <c r="D629" t="s">
        <v>577</v>
      </c>
      <c r="E629" s="2">
        <v>239.904</v>
      </c>
      <c r="F629" s="2">
        <v>0</v>
      </c>
      <c r="G629" s="2">
        <v>127.654</v>
      </c>
      <c r="H629" s="2">
        <v>-200.20500000000001</v>
      </c>
      <c r="I629" s="1">
        <v>0.76605225423502699</v>
      </c>
      <c r="J629" s="1">
        <v>0.917260654261704</v>
      </c>
      <c r="K629" s="1">
        <v>0.73909482296829199</v>
      </c>
      <c r="L629" s="1">
        <v>0.44421808552844</v>
      </c>
      <c r="M629" s="2"/>
      <c r="N629" s="2"/>
      <c r="Q629" s="1">
        <f t="shared" si="37"/>
        <v>183.77899999999991</v>
      </c>
      <c r="R629">
        <f t="shared" si="36"/>
        <v>220.05449999999982</v>
      </c>
      <c r="S629" s="1">
        <f t="shared" si="38"/>
        <v>177.3118044093851</v>
      </c>
      <c r="T629" s="1">
        <f t="shared" si="39"/>
        <v>106.56969559061487</v>
      </c>
    </row>
    <row r="630" spans="1:20" x14ac:dyDescent="0.3">
      <c r="A630" t="s">
        <v>359</v>
      </c>
      <c r="B630" t="s">
        <v>469</v>
      </c>
      <c r="C630" t="s">
        <v>574</v>
      </c>
      <c r="D630" t="s">
        <v>575</v>
      </c>
      <c r="E630" s="2">
        <v>181.35</v>
      </c>
      <c r="F630" s="2">
        <v>0</v>
      </c>
      <c r="G630" s="2">
        <v>90.335999999999899</v>
      </c>
      <c r="H630" s="2">
        <v>-94.649000000000001</v>
      </c>
      <c r="I630" s="1">
        <v>0.74906534325889096</v>
      </c>
      <c r="J630" s="1">
        <v>0.76095671353735805</v>
      </c>
      <c r="K630" s="1">
        <v>0.60135834977332003</v>
      </c>
      <c r="L630" s="1">
        <v>0.40866370702292998</v>
      </c>
      <c r="M630" s="2"/>
      <c r="N630" s="2"/>
      <c r="Q630" s="1">
        <f t="shared" si="37"/>
        <v>135.84299999999988</v>
      </c>
      <c r="R630">
        <f t="shared" si="36"/>
        <v>137.99949999999987</v>
      </c>
      <c r="S630" s="1">
        <f t="shared" si="38"/>
        <v>109.05633673139158</v>
      </c>
      <c r="T630" s="1">
        <f t="shared" si="39"/>
        <v>74.111163268608351</v>
      </c>
    </row>
    <row r="631" spans="1:20" x14ac:dyDescent="0.3">
      <c r="A631" t="s">
        <v>359</v>
      </c>
      <c r="B631" t="s">
        <v>470</v>
      </c>
      <c r="C631" t="s">
        <v>574</v>
      </c>
      <c r="D631" t="s">
        <v>575</v>
      </c>
      <c r="E631" s="2">
        <v>1385.96</v>
      </c>
      <c r="F631" s="2">
        <v>138.03700000000001</v>
      </c>
      <c r="G631" s="2">
        <v>978.03800000000001</v>
      </c>
      <c r="H631" s="2">
        <v>-791.31299999999999</v>
      </c>
      <c r="I631" s="1">
        <v>0.803039409506767</v>
      </c>
      <c r="J631" s="1">
        <v>0.73567635429593903</v>
      </c>
      <c r="K631" s="1">
        <v>0.65341807446261102</v>
      </c>
      <c r="L631" s="1">
        <v>0.43509602406837</v>
      </c>
      <c r="M631" s="2"/>
      <c r="N631" s="2"/>
      <c r="Q631" s="1">
        <f t="shared" si="37"/>
        <v>1112.9804999999988</v>
      </c>
      <c r="R631">
        <f t="shared" si="36"/>
        <v>1019.6179999999997</v>
      </c>
      <c r="S631" s="1">
        <f t="shared" si="38"/>
        <v>905.61131448220044</v>
      </c>
      <c r="T631" s="1">
        <f t="shared" si="39"/>
        <v>603.02568551779814</v>
      </c>
    </row>
    <row r="632" spans="1:20" x14ac:dyDescent="0.3">
      <c r="A632" t="s">
        <v>359</v>
      </c>
      <c r="B632" t="s">
        <v>471</v>
      </c>
      <c r="C632" t="s">
        <v>576</v>
      </c>
      <c r="D632" t="s">
        <v>577</v>
      </c>
      <c r="E632" s="2">
        <v>591.51300000000003</v>
      </c>
      <c r="F632" s="2">
        <v>0</v>
      </c>
      <c r="G632" s="2">
        <v>316.260999999999</v>
      </c>
      <c r="H632" s="2">
        <v>-537.596</v>
      </c>
      <c r="I632" s="1">
        <v>0.76733224798102395</v>
      </c>
      <c r="J632" s="1">
        <v>0.95442450123665901</v>
      </c>
      <c r="K632" s="1">
        <v>0.46376180788690702</v>
      </c>
      <c r="L632" s="1">
        <v>0.75799494133077605</v>
      </c>
      <c r="M632" s="2"/>
      <c r="N632" s="2"/>
      <c r="Q632" s="1">
        <f t="shared" si="37"/>
        <v>453.88699999999943</v>
      </c>
      <c r="R632">
        <f t="shared" si="36"/>
        <v>564.55449999999996</v>
      </c>
      <c r="S632" s="1">
        <f t="shared" si="38"/>
        <v>274.32113826860802</v>
      </c>
      <c r="T632" s="1">
        <f t="shared" si="39"/>
        <v>448.36386173139135</v>
      </c>
    </row>
    <row r="633" spans="1:20" x14ac:dyDescent="0.3">
      <c r="A633" t="s">
        <v>359</v>
      </c>
      <c r="B633" t="s">
        <v>472</v>
      </c>
      <c r="C633" t="s">
        <v>574</v>
      </c>
      <c r="D633" t="s">
        <v>575</v>
      </c>
      <c r="E633" s="2">
        <v>196.00299999999999</v>
      </c>
      <c r="F633" s="2">
        <v>0</v>
      </c>
      <c r="G633" s="2">
        <v>138.096</v>
      </c>
      <c r="H633" s="2">
        <v>-158.59699999999901</v>
      </c>
      <c r="I633" s="1">
        <v>0.85228032223996497</v>
      </c>
      <c r="J633" s="1">
        <v>0.90457799115319604</v>
      </c>
      <c r="K633" s="1">
        <v>0.61460415365480403</v>
      </c>
      <c r="L633" s="1">
        <v>0.64225415973835798</v>
      </c>
      <c r="M633" s="2"/>
      <c r="N633" s="2"/>
      <c r="Q633" s="1">
        <f t="shared" si="37"/>
        <v>167.04949999999985</v>
      </c>
      <c r="R633">
        <f t="shared" si="36"/>
        <v>177.29999999999987</v>
      </c>
      <c r="S633" s="1">
        <f t="shared" si="38"/>
        <v>120.46425792880254</v>
      </c>
      <c r="T633" s="1">
        <f t="shared" si="39"/>
        <v>125.88374207119737</v>
      </c>
    </row>
    <row r="634" spans="1:20" x14ac:dyDescent="0.3">
      <c r="A634" t="s">
        <v>359</v>
      </c>
      <c r="B634" t="s">
        <v>473</v>
      </c>
      <c r="C634" t="s">
        <v>574</v>
      </c>
      <c r="D634" t="s">
        <v>575</v>
      </c>
      <c r="E634" s="2">
        <v>441.32100000000003</v>
      </c>
      <c r="F634" s="2">
        <v>69.507000000000005</v>
      </c>
      <c r="G634" s="2">
        <v>249.62100000000001</v>
      </c>
      <c r="H634" s="2">
        <v>-264.91800000000001</v>
      </c>
      <c r="I634" s="1">
        <v>0.70406234917441002</v>
      </c>
      <c r="J634" s="1">
        <v>0.72139327156423505</v>
      </c>
      <c r="K634" s="1">
        <v>0.48533586836003201</v>
      </c>
      <c r="L634" s="1">
        <v>0.518868554271113</v>
      </c>
      <c r="M634" s="2"/>
      <c r="N634" s="2"/>
      <c r="Q634" s="1">
        <f t="shared" si="37"/>
        <v>310.7174999999998</v>
      </c>
      <c r="R634">
        <f t="shared" si="36"/>
        <v>318.36599999999981</v>
      </c>
      <c r="S634" s="1">
        <f t="shared" si="38"/>
        <v>214.1889107605177</v>
      </c>
      <c r="T634" s="1">
        <f t="shared" si="39"/>
        <v>228.98758923948188</v>
      </c>
    </row>
    <row r="635" spans="1:20" x14ac:dyDescent="0.3">
      <c r="A635" t="s">
        <v>359</v>
      </c>
      <c r="B635" t="s">
        <v>474</v>
      </c>
      <c r="C635" t="s">
        <v>576</v>
      </c>
      <c r="D635" t="s">
        <v>14</v>
      </c>
      <c r="E635" s="2">
        <v>0</v>
      </c>
      <c r="F635" s="2">
        <v>0</v>
      </c>
      <c r="G635" s="2">
        <v>0</v>
      </c>
      <c r="H635" s="2">
        <v>0</v>
      </c>
      <c r="I635" s="1">
        <v>0</v>
      </c>
      <c r="J635" s="1">
        <v>0</v>
      </c>
      <c r="K635" s="1">
        <v>0</v>
      </c>
      <c r="L635" s="1">
        <v>0</v>
      </c>
      <c r="M635" s="2"/>
      <c r="N635" s="2"/>
      <c r="Q635" s="1">
        <f t="shared" si="37"/>
        <v>0</v>
      </c>
      <c r="R635">
        <f t="shared" si="36"/>
        <v>0</v>
      </c>
      <c r="S635" s="1">
        <f t="shared" si="38"/>
        <v>0</v>
      </c>
      <c r="T635" s="1">
        <f t="shared" si="39"/>
        <v>0</v>
      </c>
    </row>
    <row r="636" spans="1:20" x14ac:dyDescent="0.3">
      <c r="A636" t="s">
        <v>359</v>
      </c>
      <c r="B636" t="s">
        <v>475</v>
      </c>
      <c r="C636" t="s">
        <v>574</v>
      </c>
      <c r="D636" t="s">
        <v>575</v>
      </c>
      <c r="E636" s="2">
        <v>403.46899999999999</v>
      </c>
      <c r="F636" s="2">
        <v>1.2999999999999999E-2</v>
      </c>
      <c r="G636" s="2">
        <v>301.60599999999999</v>
      </c>
      <c r="H636" s="2">
        <v>-305.23</v>
      </c>
      <c r="I636" s="1">
        <v>0.87374990395792496</v>
      </c>
      <c r="J636" s="1">
        <v>0.87824095531502999</v>
      </c>
      <c r="K636" s="1">
        <v>0.66319678299895601</v>
      </c>
      <c r="L636" s="1">
        <v>0.58881018655756501</v>
      </c>
      <c r="M636" s="2"/>
      <c r="N636" s="2"/>
      <c r="Q636" s="1">
        <f t="shared" si="37"/>
        <v>352.53100000000001</v>
      </c>
      <c r="R636">
        <f t="shared" si="36"/>
        <v>354.34299999999985</v>
      </c>
      <c r="S636" s="1">
        <f t="shared" si="38"/>
        <v>267.5793428398058</v>
      </c>
      <c r="T636" s="1">
        <f t="shared" si="39"/>
        <v>237.56665716019418</v>
      </c>
    </row>
    <row r="637" spans="1:20" x14ac:dyDescent="0.3">
      <c r="A637" t="s">
        <v>359</v>
      </c>
      <c r="B637" t="s">
        <v>764</v>
      </c>
      <c r="C637" t="s">
        <v>574</v>
      </c>
      <c r="D637" t="s">
        <v>575</v>
      </c>
      <c r="E637" s="2">
        <v>0</v>
      </c>
      <c r="F637" s="2">
        <v>0</v>
      </c>
      <c r="G637" s="2">
        <v>0</v>
      </c>
      <c r="H637" s="2">
        <v>0</v>
      </c>
      <c r="I637" s="1">
        <v>0</v>
      </c>
      <c r="J637" s="1">
        <v>0</v>
      </c>
      <c r="K637" s="1">
        <v>0</v>
      </c>
      <c r="L637" s="1">
        <v>0</v>
      </c>
      <c r="M637" s="2"/>
      <c r="N637" s="2"/>
      <c r="Q637" s="1">
        <f t="shared" si="37"/>
        <v>0</v>
      </c>
      <c r="R637">
        <f t="shared" si="36"/>
        <v>0</v>
      </c>
      <c r="S637" s="1">
        <f t="shared" si="38"/>
        <v>0</v>
      </c>
      <c r="T637" s="1">
        <f t="shared" si="39"/>
        <v>0</v>
      </c>
    </row>
    <row r="638" spans="1:20" x14ac:dyDescent="0.3">
      <c r="A638" t="s">
        <v>359</v>
      </c>
      <c r="B638" t="s">
        <v>765</v>
      </c>
      <c r="C638" t="s">
        <v>574</v>
      </c>
      <c r="D638" t="s">
        <v>575</v>
      </c>
      <c r="E638" s="2">
        <v>374.04199999999997</v>
      </c>
      <c r="F638" s="2">
        <v>146.16</v>
      </c>
      <c r="G638" s="2">
        <v>101.09699999999999</v>
      </c>
      <c r="H638" s="2">
        <v>-106.78299999999901</v>
      </c>
      <c r="I638" s="1">
        <v>0.43976211227616102</v>
      </c>
      <c r="J638" s="1">
        <v>0.44736286299399503</v>
      </c>
      <c r="K638" s="1">
        <v>0.24352108585870999</v>
      </c>
      <c r="L638" s="1">
        <v>0.33898301795850799</v>
      </c>
      <c r="M638" s="2"/>
      <c r="N638" s="2"/>
      <c r="Q638" s="1">
        <f t="shared" si="37"/>
        <v>164.48949999999982</v>
      </c>
      <c r="R638">
        <f t="shared" si="36"/>
        <v>167.33249999999987</v>
      </c>
      <c r="S638" s="1">
        <f t="shared" si="38"/>
        <v>91.087113996763591</v>
      </c>
      <c r="T638" s="1">
        <f t="shared" si="39"/>
        <v>126.79388600323624</v>
      </c>
    </row>
    <row r="639" spans="1:20" x14ac:dyDescent="0.3">
      <c r="A639" t="s">
        <v>359</v>
      </c>
      <c r="B639" t="s">
        <v>476</v>
      </c>
      <c r="C639" t="s">
        <v>576</v>
      </c>
      <c r="D639" t="s">
        <v>577</v>
      </c>
      <c r="E639" s="2">
        <v>832.8</v>
      </c>
      <c r="F639" s="2">
        <v>0</v>
      </c>
      <c r="G639" s="2">
        <v>266.01</v>
      </c>
      <c r="H639" s="2">
        <v>-490.16999999999899</v>
      </c>
      <c r="I639" s="1">
        <v>0.65970821325648399</v>
      </c>
      <c r="J639" s="1">
        <v>0.79429034582132496</v>
      </c>
      <c r="K639" s="1">
        <v>0.55215272798910298</v>
      </c>
      <c r="L639" s="1">
        <v>0.40184583108870597</v>
      </c>
      <c r="M639" s="2"/>
      <c r="N639" s="2"/>
      <c r="Q639" s="1">
        <f t="shared" si="37"/>
        <v>549.40499999999986</v>
      </c>
      <c r="R639">
        <f t="shared" si="36"/>
        <v>661.48499999999945</v>
      </c>
      <c r="S639" s="1">
        <f t="shared" si="38"/>
        <v>459.83279186932492</v>
      </c>
      <c r="T639" s="1">
        <f t="shared" si="39"/>
        <v>334.65720813067429</v>
      </c>
    </row>
    <row r="640" spans="1:20" x14ac:dyDescent="0.3">
      <c r="A640" t="s">
        <v>359</v>
      </c>
      <c r="B640" t="s">
        <v>477</v>
      </c>
      <c r="C640" t="s">
        <v>574</v>
      </c>
      <c r="D640" t="s">
        <v>575</v>
      </c>
      <c r="E640" s="2">
        <v>342.04300000000001</v>
      </c>
      <c r="F640" s="2">
        <v>0.12</v>
      </c>
      <c r="G640" s="2">
        <v>259.32100000000003</v>
      </c>
      <c r="H640" s="2">
        <v>-268.63900000000001</v>
      </c>
      <c r="I640" s="1">
        <v>0.87890119078595297</v>
      </c>
      <c r="J640" s="1">
        <v>0.89252228520975396</v>
      </c>
      <c r="K640" s="1">
        <v>0.71627130850909204</v>
      </c>
      <c r="L640" s="1">
        <v>0.55532758402781102</v>
      </c>
      <c r="M640" s="2"/>
      <c r="N640" s="2"/>
      <c r="Q640" s="1">
        <f t="shared" si="37"/>
        <v>300.62199999999973</v>
      </c>
      <c r="R640">
        <f t="shared" si="36"/>
        <v>305.28099999999989</v>
      </c>
      <c r="S640" s="1">
        <f t="shared" si="38"/>
        <v>244.99558717637538</v>
      </c>
      <c r="T640" s="1">
        <f t="shared" si="39"/>
        <v>189.94591282362455</v>
      </c>
    </row>
    <row r="641" spans="1:20" x14ac:dyDescent="0.3">
      <c r="A641" t="s">
        <v>359</v>
      </c>
      <c r="B641" t="s">
        <v>478</v>
      </c>
      <c r="C641" t="s">
        <v>576</v>
      </c>
      <c r="D641" t="s">
        <v>577</v>
      </c>
      <c r="E641" s="2">
        <v>390.65</v>
      </c>
      <c r="F641" s="2">
        <v>0</v>
      </c>
      <c r="G641" s="2">
        <v>269.03100000000001</v>
      </c>
      <c r="H641" s="2">
        <v>-312.79999999999899</v>
      </c>
      <c r="I641" s="1">
        <v>0.84433764239088704</v>
      </c>
      <c r="J641" s="1">
        <v>0.90035837706386701</v>
      </c>
      <c r="K641" s="1">
        <v>0.82053179333092197</v>
      </c>
      <c r="L641" s="1">
        <v>0.42416422612383198</v>
      </c>
      <c r="M641" s="2"/>
      <c r="N641" s="2"/>
      <c r="Q641" s="1">
        <f t="shared" si="37"/>
        <v>329.84050000000002</v>
      </c>
      <c r="R641">
        <f t="shared" si="36"/>
        <v>351.72499999999962</v>
      </c>
      <c r="S641" s="1">
        <f t="shared" si="38"/>
        <v>320.54074506472466</v>
      </c>
      <c r="T641" s="1">
        <f t="shared" si="39"/>
        <v>165.69975493527494</v>
      </c>
    </row>
    <row r="642" spans="1:20" x14ac:dyDescent="0.3">
      <c r="A642" t="s">
        <v>359</v>
      </c>
      <c r="B642" t="s">
        <v>479</v>
      </c>
      <c r="C642" t="s">
        <v>574</v>
      </c>
      <c r="D642" t="s">
        <v>575</v>
      </c>
      <c r="E642" s="2">
        <v>511.19600000000003</v>
      </c>
      <c r="F642" s="2">
        <v>0</v>
      </c>
      <c r="G642" s="2">
        <v>349.07299999999998</v>
      </c>
      <c r="H642" s="2">
        <v>-355.37900000000002</v>
      </c>
      <c r="I642" s="1">
        <v>0.84142774982589796</v>
      </c>
      <c r="J642" s="1">
        <v>0.84759563846352404</v>
      </c>
      <c r="K642" s="1">
        <v>0.62382860741183099</v>
      </c>
      <c r="L642" s="1">
        <v>0.56519478087759201</v>
      </c>
      <c r="M642" s="2"/>
      <c r="N642" s="2"/>
      <c r="Q642" s="1">
        <f t="shared" si="37"/>
        <v>430.13449999999978</v>
      </c>
      <c r="R642">
        <f t="shared" ref="R642:R705" si="40">J642*E642</f>
        <v>433.28749999999968</v>
      </c>
      <c r="S642" s="1">
        <f t="shared" si="38"/>
        <v>318.89868879449836</v>
      </c>
      <c r="T642" s="1">
        <f t="shared" si="39"/>
        <v>288.92531120550154</v>
      </c>
    </row>
    <row r="643" spans="1:20" x14ac:dyDescent="0.3">
      <c r="A643" t="s">
        <v>359</v>
      </c>
      <c r="B643" t="s">
        <v>766</v>
      </c>
      <c r="C643" t="s">
        <v>576</v>
      </c>
      <c r="D643" t="s">
        <v>14</v>
      </c>
      <c r="E643" s="2">
        <v>50.976999999999997</v>
      </c>
      <c r="F643" s="2">
        <v>0</v>
      </c>
      <c r="G643" s="2">
        <v>35.417999999999999</v>
      </c>
      <c r="H643" s="2">
        <v>-39.526000000000003</v>
      </c>
      <c r="I643" s="1">
        <v>0.84739196108048698</v>
      </c>
      <c r="J643" s="1">
        <v>0.88768464209349296</v>
      </c>
      <c r="K643" s="1">
        <v>0.68635160786706695</v>
      </c>
      <c r="L643" s="1">
        <v>0.54872499530691299</v>
      </c>
      <c r="M643" s="2"/>
      <c r="N643" s="2"/>
      <c r="Q643" s="1">
        <f t="shared" ref="Q643:Q706" si="41">I643*E643</f>
        <v>43.197499999999984</v>
      </c>
      <c r="R643">
        <f t="shared" si="40"/>
        <v>45.251499999999986</v>
      </c>
      <c r="S643" s="1">
        <f t="shared" ref="S643:S706" si="42">K643*E643</f>
        <v>34.988145914239468</v>
      </c>
      <c r="T643" s="1">
        <f t="shared" ref="T643:T706" si="43">L643*E643</f>
        <v>27.9723540857605</v>
      </c>
    </row>
    <row r="644" spans="1:20" x14ac:dyDescent="0.3">
      <c r="A644" t="s">
        <v>359</v>
      </c>
      <c r="B644" t="s">
        <v>480</v>
      </c>
      <c r="C644" t="s">
        <v>574</v>
      </c>
      <c r="D644" t="s">
        <v>575</v>
      </c>
      <c r="E644" s="2">
        <v>42.000999999999998</v>
      </c>
      <c r="F644" s="2">
        <v>0</v>
      </c>
      <c r="G644" s="2">
        <v>35.625999999999998</v>
      </c>
      <c r="H644" s="2">
        <v>-20.761999999999901</v>
      </c>
      <c r="I644" s="1">
        <v>0.92410894978690905</v>
      </c>
      <c r="J644" s="1">
        <v>0.74716078188614499</v>
      </c>
      <c r="K644" s="1">
        <v>0.6944188164267</v>
      </c>
      <c r="L644" s="1">
        <v>0.47685091524635398</v>
      </c>
      <c r="M644" s="2"/>
      <c r="N644" s="2"/>
      <c r="Q644" s="1">
        <f t="shared" si="41"/>
        <v>38.813499999999962</v>
      </c>
      <c r="R644">
        <f t="shared" si="40"/>
        <v>31.381499999999974</v>
      </c>
      <c r="S644" s="1">
        <f t="shared" si="42"/>
        <v>29.166284708737827</v>
      </c>
      <c r="T644" s="1">
        <f t="shared" si="43"/>
        <v>20.028215291262111</v>
      </c>
    </row>
    <row r="645" spans="1:20" x14ac:dyDescent="0.3">
      <c r="A645" t="s">
        <v>359</v>
      </c>
      <c r="B645" t="s">
        <v>481</v>
      </c>
      <c r="C645" t="s">
        <v>576</v>
      </c>
      <c r="D645" t="s">
        <v>14</v>
      </c>
      <c r="E645" s="2">
        <v>0</v>
      </c>
      <c r="F645" s="2">
        <v>0</v>
      </c>
      <c r="G645" s="2">
        <v>0</v>
      </c>
      <c r="H645" s="2">
        <v>0</v>
      </c>
      <c r="I645" s="1">
        <v>0</v>
      </c>
      <c r="J645" s="1">
        <v>0</v>
      </c>
      <c r="K645" s="1">
        <v>0</v>
      </c>
      <c r="L645" s="1">
        <v>0</v>
      </c>
      <c r="M645" s="2"/>
      <c r="N645" s="2"/>
      <c r="Q645" s="1">
        <f t="shared" si="41"/>
        <v>0</v>
      </c>
      <c r="R645">
        <f t="shared" si="40"/>
        <v>0</v>
      </c>
      <c r="S645" s="1">
        <f t="shared" si="42"/>
        <v>0</v>
      </c>
      <c r="T645" s="1">
        <f t="shared" si="43"/>
        <v>0</v>
      </c>
    </row>
    <row r="646" spans="1:20" x14ac:dyDescent="0.3">
      <c r="A646" t="s">
        <v>359</v>
      </c>
      <c r="B646" t="s">
        <v>482</v>
      </c>
      <c r="C646" t="s">
        <v>34</v>
      </c>
      <c r="D646" t="s">
        <v>35</v>
      </c>
      <c r="E646" s="2">
        <v>358.98599999999999</v>
      </c>
      <c r="F646" s="2">
        <v>0</v>
      </c>
      <c r="G646" s="2">
        <v>165.23699999999999</v>
      </c>
      <c r="H646" s="2">
        <v>-185.136</v>
      </c>
      <c r="I646" s="1">
        <v>0.73014407247079205</v>
      </c>
      <c r="J646" s="1">
        <v>0.75785963798031097</v>
      </c>
      <c r="K646" s="1">
        <v>0.62992514282452905</v>
      </c>
      <c r="L646" s="1">
        <v>0.35807856762657397</v>
      </c>
      <c r="M646" s="2"/>
      <c r="N646" s="2"/>
      <c r="Q646" s="1">
        <f t="shared" si="41"/>
        <v>262.11149999999975</v>
      </c>
      <c r="R646">
        <f t="shared" si="40"/>
        <v>272.06099999999992</v>
      </c>
      <c r="S646" s="1">
        <f t="shared" si="42"/>
        <v>226.13430732200638</v>
      </c>
      <c r="T646" s="1">
        <f t="shared" si="43"/>
        <v>128.54519267799327</v>
      </c>
    </row>
    <row r="647" spans="1:20" x14ac:dyDescent="0.3">
      <c r="A647" t="s">
        <v>359</v>
      </c>
      <c r="B647" t="s">
        <v>483</v>
      </c>
      <c r="C647" t="s">
        <v>574</v>
      </c>
      <c r="D647" t="s">
        <v>575</v>
      </c>
      <c r="E647" s="2">
        <v>55.575000000000003</v>
      </c>
      <c r="F647" s="2">
        <v>0</v>
      </c>
      <c r="G647" s="2">
        <v>36.575000000000003</v>
      </c>
      <c r="H647" s="2">
        <v>-36.575000000000003</v>
      </c>
      <c r="I647" s="1">
        <v>0.829059829059829</v>
      </c>
      <c r="J647" s="1">
        <v>0.829059829059829</v>
      </c>
      <c r="K647" s="1">
        <v>0.72588742144133001</v>
      </c>
      <c r="L647" s="1">
        <v>0.432232236678327</v>
      </c>
      <c r="M647" s="2"/>
      <c r="N647" s="2"/>
      <c r="Q647" s="1">
        <f t="shared" si="41"/>
        <v>46.074999999999996</v>
      </c>
      <c r="R647">
        <f t="shared" si="40"/>
        <v>46.074999999999996</v>
      </c>
      <c r="S647" s="1">
        <f t="shared" si="42"/>
        <v>40.34119344660192</v>
      </c>
      <c r="T647" s="1">
        <f t="shared" si="43"/>
        <v>24.021306553398023</v>
      </c>
    </row>
    <row r="648" spans="1:20" x14ac:dyDescent="0.3">
      <c r="A648" t="s">
        <v>359</v>
      </c>
      <c r="B648" t="s">
        <v>484</v>
      </c>
      <c r="C648" t="s">
        <v>34</v>
      </c>
      <c r="D648" t="s">
        <v>35</v>
      </c>
      <c r="E648" s="2">
        <v>65.403999999999996</v>
      </c>
      <c r="F648" s="2">
        <v>0</v>
      </c>
      <c r="G648" s="2">
        <v>17.956999999999901</v>
      </c>
      <c r="H648" s="2">
        <v>-22.689999999999898</v>
      </c>
      <c r="I648" s="1">
        <v>0.63727753654210695</v>
      </c>
      <c r="J648" s="1">
        <v>0.67346033881719702</v>
      </c>
      <c r="K648" s="1">
        <v>0.56719761357786302</v>
      </c>
      <c r="L648" s="1">
        <v>0.243540261781441</v>
      </c>
      <c r="M648" s="2"/>
      <c r="N648" s="2"/>
      <c r="Q648" s="1">
        <f t="shared" si="41"/>
        <v>41.680499999999959</v>
      </c>
      <c r="R648">
        <f t="shared" si="40"/>
        <v>44.046999999999954</v>
      </c>
      <c r="S648" s="1">
        <f t="shared" si="42"/>
        <v>37.09699271844655</v>
      </c>
      <c r="T648" s="1">
        <f t="shared" si="43"/>
        <v>15.928507281553367</v>
      </c>
    </row>
    <row r="649" spans="1:20" x14ac:dyDescent="0.3">
      <c r="A649" t="s">
        <v>359</v>
      </c>
      <c r="B649" t="s">
        <v>485</v>
      </c>
      <c r="C649" t="s">
        <v>574</v>
      </c>
      <c r="D649" t="s">
        <v>575</v>
      </c>
      <c r="E649" s="2">
        <v>1446.45</v>
      </c>
      <c r="F649" s="2">
        <v>3.6999999999999998E-2</v>
      </c>
      <c r="G649" s="2">
        <v>1374.45</v>
      </c>
      <c r="H649" s="2">
        <v>-1374.45</v>
      </c>
      <c r="I649" s="1">
        <v>0.97509868989595205</v>
      </c>
      <c r="J649" s="1">
        <v>0.97509868989595205</v>
      </c>
      <c r="K649" s="1">
        <v>0.953883418963132</v>
      </c>
      <c r="L649" s="1">
        <v>0.49632675076274702</v>
      </c>
      <c r="M649" s="2"/>
      <c r="N649" s="2"/>
      <c r="Q649" s="1">
        <f t="shared" si="41"/>
        <v>1410.4314999999999</v>
      </c>
      <c r="R649">
        <f t="shared" si="40"/>
        <v>1410.4314999999999</v>
      </c>
      <c r="S649" s="1">
        <f t="shared" si="42"/>
        <v>1379.7446713592224</v>
      </c>
      <c r="T649" s="1">
        <f t="shared" si="43"/>
        <v>717.91182864077541</v>
      </c>
    </row>
    <row r="650" spans="1:20" x14ac:dyDescent="0.3">
      <c r="A650" t="s">
        <v>359</v>
      </c>
      <c r="B650" t="s">
        <v>486</v>
      </c>
      <c r="C650" t="s">
        <v>34</v>
      </c>
      <c r="D650" t="s">
        <v>35</v>
      </c>
      <c r="E650" s="2">
        <v>744.702</v>
      </c>
      <c r="F650" s="2">
        <v>0</v>
      </c>
      <c r="G650" s="2">
        <v>184.46199999999999</v>
      </c>
      <c r="H650" s="2">
        <v>-367.02499999999998</v>
      </c>
      <c r="I650" s="1">
        <v>0.62384953981592595</v>
      </c>
      <c r="J650" s="1">
        <v>0.74642407298489799</v>
      </c>
      <c r="K650" s="1">
        <v>0.53681128067960004</v>
      </c>
      <c r="L650" s="1">
        <v>0.333462332121224</v>
      </c>
      <c r="M650" s="2"/>
      <c r="N650" s="2"/>
      <c r="Q650" s="1">
        <f t="shared" si="41"/>
        <v>464.58199999999971</v>
      </c>
      <c r="R650">
        <f t="shared" si="40"/>
        <v>555.86349999999948</v>
      </c>
      <c r="S650" s="1">
        <f t="shared" si="42"/>
        <v>399.76443434465949</v>
      </c>
      <c r="T650" s="1">
        <f t="shared" si="43"/>
        <v>248.33006565533975</v>
      </c>
    </row>
    <row r="651" spans="1:20" x14ac:dyDescent="0.3">
      <c r="A651" t="s">
        <v>359</v>
      </c>
      <c r="B651" t="s">
        <v>487</v>
      </c>
      <c r="C651" t="s">
        <v>574</v>
      </c>
      <c r="D651" t="s">
        <v>575</v>
      </c>
      <c r="E651" s="2">
        <v>207</v>
      </c>
      <c r="F651" s="2">
        <v>0</v>
      </c>
      <c r="G651" s="2">
        <v>199</v>
      </c>
      <c r="H651" s="2">
        <v>-199</v>
      </c>
      <c r="I651" s="1">
        <v>0.98067632850241504</v>
      </c>
      <c r="J651" s="1">
        <v>0.98067632850241504</v>
      </c>
      <c r="K651" s="1">
        <v>0.71777696891171405</v>
      </c>
      <c r="L651" s="1">
        <v>0.74357568809311603</v>
      </c>
      <c r="M651" s="2"/>
      <c r="N651" s="2"/>
      <c r="Q651" s="1">
        <f t="shared" si="41"/>
        <v>202.99999999999991</v>
      </c>
      <c r="R651">
        <f t="shared" si="40"/>
        <v>202.99999999999991</v>
      </c>
      <c r="S651" s="1">
        <f t="shared" si="42"/>
        <v>148.5798325647248</v>
      </c>
      <c r="T651" s="1">
        <f t="shared" si="43"/>
        <v>153.920167435275</v>
      </c>
    </row>
    <row r="652" spans="1:20" x14ac:dyDescent="0.3">
      <c r="A652" t="s">
        <v>359</v>
      </c>
      <c r="B652" t="s">
        <v>488</v>
      </c>
      <c r="C652" t="s">
        <v>576</v>
      </c>
      <c r="D652" t="s">
        <v>591</v>
      </c>
      <c r="E652" s="2">
        <v>262</v>
      </c>
      <c r="F652" s="2">
        <v>0</v>
      </c>
      <c r="G652" s="2">
        <v>135.887</v>
      </c>
      <c r="H652" s="2">
        <v>-134.887</v>
      </c>
      <c r="I652" s="1">
        <v>0.75932633587786202</v>
      </c>
      <c r="J652" s="1">
        <v>0.75741793893129705</v>
      </c>
      <c r="K652" s="1">
        <v>0.48417590077570999</v>
      </c>
      <c r="L652" s="1">
        <v>0.53256837403344903</v>
      </c>
      <c r="M652" s="2"/>
      <c r="N652" s="2"/>
      <c r="Q652" s="1">
        <f t="shared" si="41"/>
        <v>198.94349999999986</v>
      </c>
      <c r="R652">
        <f t="shared" si="40"/>
        <v>198.44349999999983</v>
      </c>
      <c r="S652" s="1">
        <f t="shared" si="42"/>
        <v>126.85408600323602</v>
      </c>
      <c r="T652" s="1">
        <f t="shared" si="43"/>
        <v>139.53291399676365</v>
      </c>
    </row>
    <row r="653" spans="1:20" x14ac:dyDescent="0.3">
      <c r="A653" t="s">
        <v>359</v>
      </c>
      <c r="B653" t="s">
        <v>489</v>
      </c>
      <c r="C653" t="s">
        <v>34</v>
      </c>
      <c r="D653" t="s">
        <v>35</v>
      </c>
      <c r="E653" s="2">
        <v>1516.1849999999999</v>
      </c>
      <c r="F653" s="2">
        <v>0</v>
      </c>
      <c r="G653" s="2">
        <v>462.35199999999998</v>
      </c>
      <c r="H653" s="2">
        <v>-579.32000000000005</v>
      </c>
      <c r="I653" s="1">
        <v>0.652472158740523</v>
      </c>
      <c r="J653" s="1">
        <v>0.69104528800904896</v>
      </c>
      <c r="K653" s="1">
        <v>0.560781251659214</v>
      </c>
      <c r="L653" s="1">
        <v>0.28273619509035802</v>
      </c>
      <c r="M653" s="2"/>
      <c r="N653" s="2"/>
      <c r="Q653" s="1">
        <f t="shared" si="41"/>
        <v>989.26849999999979</v>
      </c>
      <c r="R653">
        <f t="shared" si="40"/>
        <v>1047.7524999999998</v>
      </c>
      <c r="S653" s="1">
        <f t="shared" si="42"/>
        <v>850.24812204692535</v>
      </c>
      <c r="T653" s="1">
        <f t="shared" si="43"/>
        <v>428.68037795307447</v>
      </c>
    </row>
    <row r="654" spans="1:20" x14ac:dyDescent="0.3">
      <c r="A654" t="s">
        <v>359</v>
      </c>
      <c r="B654" t="s">
        <v>490</v>
      </c>
      <c r="C654" t="s">
        <v>574</v>
      </c>
      <c r="D654" t="s">
        <v>575</v>
      </c>
      <c r="E654" s="2">
        <v>141</v>
      </c>
      <c r="F654" s="2">
        <v>8.0180000000000007</v>
      </c>
      <c r="G654" s="2">
        <v>60.174999999999997</v>
      </c>
      <c r="H654" s="2">
        <v>-59.674999999999997</v>
      </c>
      <c r="I654" s="1">
        <v>0.68495390070921902</v>
      </c>
      <c r="J654" s="1">
        <v>0.68318085106382898</v>
      </c>
      <c r="K654" s="1">
        <v>0.453837971665633</v>
      </c>
      <c r="L654" s="1">
        <v>0.44272940422089002</v>
      </c>
      <c r="M654" s="2"/>
      <c r="N654" s="2"/>
      <c r="Q654" s="1">
        <f t="shared" si="41"/>
        <v>96.578499999999877</v>
      </c>
      <c r="R654">
        <f t="shared" si="40"/>
        <v>96.328499999999892</v>
      </c>
      <c r="S654" s="1">
        <f t="shared" si="42"/>
        <v>63.991154004854252</v>
      </c>
      <c r="T654" s="1">
        <f t="shared" si="43"/>
        <v>62.424845995145496</v>
      </c>
    </row>
    <row r="655" spans="1:20" x14ac:dyDescent="0.3">
      <c r="A655" t="s">
        <v>359</v>
      </c>
      <c r="B655" t="s">
        <v>491</v>
      </c>
      <c r="C655" t="s">
        <v>576</v>
      </c>
      <c r="D655" t="s">
        <v>591</v>
      </c>
      <c r="E655" s="2">
        <v>1644.9880000000001</v>
      </c>
      <c r="F655" s="2">
        <v>0</v>
      </c>
      <c r="G655" s="2">
        <v>1642.9880000000001</v>
      </c>
      <c r="H655" s="2">
        <v>-1642.9880000000001</v>
      </c>
      <c r="I655" s="1">
        <v>0.99939209282985597</v>
      </c>
      <c r="J655" s="1">
        <v>0.99939209282985597</v>
      </c>
      <c r="K655" s="1">
        <v>0.98552514005315495</v>
      </c>
      <c r="L655" s="1">
        <v>0.513259045606557</v>
      </c>
      <c r="M655" s="2"/>
      <c r="N655" s="2"/>
      <c r="Q655" s="1">
        <f t="shared" si="41"/>
        <v>1643.9879999999991</v>
      </c>
      <c r="R655">
        <f t="shared" si="40"/>
        <v>1643.9879999999991</v>
      </c>
      <c r="S655" s="1">
        <f t="shared" si="42"/>
        <v>1621.1770290857594</v>
      </c>
      <c r="T655" s="1">
        <f t="shared" si="43"/>
        <v>844.30497091423899</v>
      </c>
    </row>
    <row r="656" spans="1:20" x14ac:dyDescent="0.3">
      <c r="A656" t="s">
        <v>359</v>
      </c>
      <c r="B656" t="s">
        <v>492</v>
      </c>
      <c r="C656" t="s">
        <v>574</v>
      </c>
      <c r="D656" t="s">
        <v>575</v>
      </c>
      <c r="E656" s="2">
        <v>46</v>
      </c>
      <c r="F656" s="2">
        <v>0</v>
      </c>
      <c r="G656" s="2">
        <v>20.982999999999901</v>
      </c>
      <c r="H656" s="2">
        <v>-12.989000000000001</v>
      </c>
      <c r="I656" s="1">
        <v>0.72807608695652104</v>
      </c>
      <c r="J656" s="1">
        <v>0.64118478260869505</v>
      </c>
      <c r="K656" s="1">
        <v>0.52579470856198096</v>
      </c>
      <c r="L656" s="1">
        <v>0.34346616100323601</v>
      </c>
      <c r="M656" s="2"/>
      <c r="N656" s="2"/>
      <c r="Q656" s="1">
        <f t="shared" si="41"/>
        <v>33.491499999999967</v>
      </c>
      <c r="R656">
        <f t="shared" si="40"/>
        <v>29.494499999999974</v>
      </c>
      <c r="S656" s="1">
        <f t="shared" si="42"/>
        <v>24.186556593851122</v>
      </c>
      <c r="T656" s="1">
        <f t="shared" si="43"/>
        <v>15.799443406148857</v>
      </c>
    </row>
    <row r="657" spans="1:20" x14ac:dyDescent="0.3">
      <c r="A657" t="s">
        <v>359</v>
      </c>
      <c r="B657" t="s">
        <v>493</v>
      </c>
      <c r="C657" t="s">
        <v>34</v>
      </c>
      <c r="D657" t="s">
        <v>35</v>
      </c>
      <c r="E657" s="2">
        <v>74</v>
      </c>
      <c r="F657" s="2">
        <v>0</v>
      </c>
      <c r="G657" s="2">
        <v>52</v>
      </c>
      <c r="H657" s="2">
        <v>-49</v>
      </c>
      <c r="I657" s="1">
        <v>0.85135135135135098</v>
      </c>
      <c r="J657" s="1">
        <v>0.83108108108108103</v>
      </c>
      <c r="K657" s="1">
        <v>0.72060745757893796</v>
      </c>
      <c r="L657" s="1">
        <v>0.461824974853494</v>
      </c>
      <c r="M657" s="2"/>
      <c r="N657" s="2"/>
      <c r="Q657" s="1">
        <f t="shared" si="41"/>
        <v>62.999999999999972</v>
      </c>
      <c r="R657">
        <f t="shared" si="40"/>
        <v>61.499999999999993</v>
      </c>
      <c r="S657" s="1">
        <f t="shared" si="42"/>
        <v>53.324951860841409</v>
      </c>
      <c r="T657" s="1">
        <f t="shared" si="43"/>
        <v>34.175048139158555</v>
      </c>
    </row>
    <row r="658" spans="1:20" x14ac:dyDescent="0.3">
      <c r="A658" t="s">
        <v>359</v>
      </c>
      <c r="B658" t="s">
        <v>494</v>
      </c>
      <c r="C658" t="s">
        <v>34</v>
      </c>
      <c r="D658" t="s">
        <v>35</v>
      </c>
      <c r="E658" s="2">
        <v>3547.491</v>
      </c>
      <c r="F658" s="2">
        <v>0</v>
      </c>
      <c r="G658" s="2">
        <v>1121.44099999999</v>
      </c>
      <c r="H658" s="2">
        <v>-1713.097</v>
      </c>
      <c r="I658" s="1">
        <v>0.65806114800573101</v>
      </c>
      <c r="J658" s="1">
        <v>0.74145191629802498</v>
      </c>
      <c r="K658" s="1">
        <v>0.55513131723210196</v>
      </c>
      <c r="L658" s="1">
        <v>0.34438174707165398</v>
      </c>
      <c r="M658" s="2"/>
      <c r="N658" s="2"/>
      <c r="Q658" s="1">
        <f t="shared" si="41"/>
        <v>2334.4659999999985</v>
      </c>
      <c r="R658">
        <f t="shared" si="40"/>
        <v>2630.2939999999971</v>
      </c>
      <c r="S658" s="1">
        <f t="shared" si="42"/>
        <v>1969.3233516990267</v>
      </c>
      <c r="T658" s="1">
        <f t="shared" si="43"/>
        <v>1221.6911483009687</v>
      </c>
    </row>
    <row r="659" spans="1:20" x14ac:dyDescent="0.3">
      <c r="A659" t="s">
        <v>359</v>
      </c>
      <c r="B659" t="s">
        <v>495</v>
      </c>
      <c r="C659" t="s">
        <v>574</v>
      </c>
      <c r="D659" t="s">
        <v>575</v>
      </c>
      <c r="E659" s="2">
        <v>681</v>
      </c>
      <c r="F659" s="2">
        <v>6.1189999999999998</v>
      </c>
      <c r="G659" s="2">
        <v>238.33799999999999</v>
      </c>
      <c r="H659" s="2">
        <v>-237.33799999999999</v>
      </c>
      <c r="I659" s="1">
        <v>0.67049853157121797</v>
      </c>
      <c r="J659" s="1">
        <v>0.66976431718061602</v>
      </c>
      <c r="K659" s="1">
        <v>0.40926806375309399</v>
      </c>
      <c r="L659" s="1">
        <v>0.43548744285483398</v>
      </c>
      <c r="M659" s="2"/>
      <c r="N659" s="2"/>
      <c r="Q659" s="1">
        <f t="shared" si="41"/>
        <v>456.60949999999946</v>
      </c>
      <c r="R659">
        <f t="shared" si="40"/>
        <v>456.10949999999951</v>
      </c>
      <c r="S659" s="1">
        <f t="shared" si="42"/>
        <v>278.711551415857</v>
      </c>
      <c r="T659" s="1">
        <f t="shared" si="43"/>
        <v>296.56694858414193</v>
      </c>
    </row>
    <row r="660" spans="1:20" x14ac:dyDescent="0.3">
      <c r="A660" t="s">
        <v>359</v>
      </c>
      <c r="B660" t="s">
        <v>496</v>
      </c>
      <c r="C660" t="s">
        <v>576</v>
      </c>
      <c r="D660" t="s">
        <v>591</v>
      </c>
      <c r="E660" s="2">
        <v>422</v>
      </c>
      <c r="F660" s="2">
        <v>0</v>
      </c>
      <c r="G660" s="2">
        <v>272.529</v>
      </c>
      <c r="H660" s="2">
        <v>-397.66800000000001</v>
      </c>
      <c r="I660" s="1">
        <v>0.82290165876777199</v>
      </c>
      <c r="J660" s="1">
        <v>0.971170616113744</v>
      </c>
      <c r="K660" s="1">
        <v>0.55293978809107502</v>
      </c>
      <c r="L660" s="1">
        <v>0.74113248679044097</v>
      </c>
      <c r="M660" s="2"/>
      <c r="N660" s="2"/>
      <c r="Q660" s="1">
        <f t="shared" si="41"/>
        <v>347.26449999999977</v>
      </c>
      <c r="R660">
        <f t="shared" si="40"/>
        <v>409.83399999999995</v>
      </c>
      <c r="S660" s="1">
        <f t="shared" si="42"/>
        <v>233.34059057443366</v>
      </c>
      <c r="T660" s="1">
        <f t="shared" si="43"/>
        <v>312.75790942556608</v>
      </c>
    </row>
    <row r="661" spans="1:20" x14ac:dyDescent="0.3">
      <c r="A661" t="s">
        <v>359</v>
      </c>
      <c r="B661" t="s">
        <v>497</v>
      </c>
      <c r="C661" t="s">
        <v>574</v>
      </c>
      <c r="D661" t="s">
        <v>575</v>
      </c>
      <c r="E661" s="2">
        <v>35.438000000000002</v>
      </c>
      <c r="F661" s="2">
        <v>8.0000000000000002E-3</v>
      </c>
      <c r="G661" s="2">
        <v>14.438000000000001</v>
      </c>
      <c r="H661" s="2">
        <v>-14.438000000000001</v>
      </c>
      <c r="I661" s="1">
        <v>0.703595011005135</v>
      </c>
      <c r="J661" s="1">
        <v>0.703595011005135</v>
      </c>
      <c r="K661" s="1">
        <v>0.42771611037353902</v>
      </c>
      <c r="L661" s="1">
        <v>0.47958678482370598</v>
      </c>
      <c r="M661" s="2"/>
      <c r="N661" s="2"/>
      <c r="Q661" s="1">
        <f t="shared" si="41"/>
        <v>24.933999999999976</v>
      </c>
      <c r="R661">
        <f t="shared" si="40"/>
        <v>24.933999999999976</v>
      </c>
      <c r="S661" s="1">
        <f t="shared" si="42"/>
        <v>15.157403519417477</v>
      </c>
      <c r="T661" s="1">
        <f t="shared" si="43"/>
        <v>16.995596480582492</v>
      </c>
    </row>
    <row r="662" spans="1:20" x14ac:dyDescent="0.3">
      <c r="A662" t="s">
        <v>359</v>
      </c>
      <c r="B662" t="s">
        <v>498</v>
      </c>
      <c r="C662" t="s">
        <v>34</v>
      </c>
      <c r="D662" t="s">
        <v>35</v>
      </c>
      <c r="E662" s="2">
        <v>1139.8869999999999</v>
      </c>
      <c r="F662" s="2">
        <v>0</v>
      </c>
      <c r="G662" s="2">
        <v>382.767</v>
      </c>
      <c r="H662" s="2">
        <v>-316.88099999999997</v>
      </c>
      <c r="I662" s="1">
        <v>0.66789690557046399</v>
      </c>
      <c r="J662" s="1">
        <v>0.63899667247718395</v>
      </c>
      <c r="K662" s="1">
        <v>0.57301547711609102</v>
      </c>
      <c r="L662" s="1">
        <v>0.233878100931556</v>
      </c>
      <c r="M662" s="2"/>
      <c r="N662" s="2"/>
      <c r="Q662" s="1">
        <f t="shared" si="41"/>
        <v>761.32699999999943</v>
      </c>
      <c r="R662">
        <f t="shared" si="40"/>
        <v>728.38399999999979</v>
      </c>
      <c r="S662" s="1">
        <f t="shared" si="42"/>
        <v>653.17289316342965</v>
      </c>
      <c r="T662" s="1">
        <f t="shared" si="43"/>
        <v>266.59460683656857</v>
      </c>
    </row>
    <row r="663" spans="1:20" x14ac:dyDescent="0.3">
      <c r="A663" t="s">
        <v>359</v>
      </c>
      <c r="B663" t="s">
        <v>499</v>
      </c>
      <c r="C663" t="s">
        <v>574</v>
      </c>
      <c r="D663" t="s">
        <v>575</v>
      </c>
      <c r="E663" s="2">
        <v>202</v>
      </c>
      <c r="F663" s="2">
        <v>4.0860000000000003</v>
      </c>
      <c r="G663" s="2">
        <v>69.564999999999998</v>
      </c>
      <c r="H663" s="2">
        <v>-102.914</v>
      </c>
      <c r="I663" s="1">
        <v>0.66207673267326705</v>
      </c>
      <c r="J663" s="1">
        <v>0.74462376237623695</v>
      </c>
      <c r="K663" s="1">
        <v>0.33364820784869698</v>
      </c>
      <c r="L663" s="1">
        <v>0.58316614858694604</v>
      </c>
      <c r="M663" s="2"/>
      <c r="N663" s="2"/>
      <c r="Q663" s="1">
        <f t="shared" si="41"/>
        <v>133.73949999999994</v>
      </c>
      <c r="R663">
        <f t="shared" si="40"/>
        <v>150.41399999999987</v>
      </c>
      <c r="S663" s="1">
        <f t="shared" si="42"/>
        <v>67.396937985436793</v>
      </c>
      <c r="T663" s="1">
        <f t="shared" si="43"/>
        <v>117.79956201456309</v>
      </c>
    </row>
    <row r="664" spans="1:20" x14ac:dyDescent="0.3">
      <c r="A664" t="s">
        <v>359</v>
      </c>
      <c r="B664" t="s">
        <v>500</v>
      </c>
      <c r="C664" t="s">
        <v>576</v>
      </c>
      <c r="D664" t="s">
        <v>591</v>
      </c>
      <c r="E664" s="2">
        <v>41</v>
      </c>
      <c r="F664" s="2">
        <v>0</v>
      </c>
      <c r="G664" s="2">
        <v>16.986000000000001</v>
      </c>
      <c r="H664" s="2">
        <v>-21.981999999999999</v>
      </c>
      <c r="I664" s="1">
        <v>0.70714634146341404</v>
      </c>
      <c r="J664" s="1">
        <v>0.768073170731707</v>
      </c>
      <c r="K664" s="1">
        <v>0.57668742106717197</v>
      </c>
      <c r="L664" s="1">
        <v>0.39853209112795002</v>
      </c>
      <c r="M664" s="2"/>
      <c r="N664" s="2"/>
      <c r="Q664" s="1">
        <f t="shared" si="41"/>
        <v>28.992999999999977</v>
      </c>
      <c r="R664">
        <f t="shared" si="40"/>
        <v>31.490999999999985</v>
      </c>
      <c r="S664" s="1">
        <f t="shared" si="42"/>
        <v>23.644184263754049</v>
      </c>
      <c r="T664" s="1">
        <f t="shared" si="43"/>
        <v>16.339815736245949</v>
      </c>
    </row>
    <row r="665" spans="1:20" x14ac:dyDescent="0.3">
      <c r="A665" t="s">
        <v>359</v>
      </c>
      <c r="B665" t="s">
        <v>501</v>
      </c>
      <c r="C665" t="s">
        <v>574</v>
      </c>
      <c r="D665" t="s">
        <v>575</v>
      </c>
      <c r="E665" s="2">
        <v>49</v>
      </c>
      <c r="F665" s="2">
        <v>0</v>
      </c>
      <c r="G665" s="2">
        <v>12.9889999999999</v>
      </c>
      <c r="H665" s="2">
        <v>-43.988</v>
      </c>
      <c r="I665" s="1">
        <v>0.63254081632653003</v>
      </c>
      <c r="J665" s="1">
        <v>0.94885714285714196</v>
      </c>
      <c r="K665" s="1">
        <v>0.617911986493626</v>
      </c>
      <c r="L665" s="1">
        <v>0.46348597269004699</v>
      </c>
      <c r="M665" s="2"/>
      <c r="N665" s="2"/>
      <c r="Q665" s="1">
        <f t="shared" si="41"/>
        <v>30.99449999999997</v>
      </c>
      <c r="R665">
        <f t="shared" si="40"/>
        <v>46.493999999999957</v>
      </c>
      <c r="S665" s="1">
        <f t="shared" si="42"/>
        <v>30.277687338187675</v>
      </c>
      <c r="T665" s="1">
        <f t="shared" si="43"/>
        <v>22.710812661812302</v>
      </c>
    </row>
    <row r="666" spans="1:20" x14ac:dyDescent="0.3">
      <c r="A666" t="s">
        <v>359</v>
      </c>
      <c r="B666" t="s">
        <v>502</v>
      </c>
      <c r="C666" t="s">
        <v>576</v>
      </c>
      <c r="D666" t="s">
        <v>591</v>
      </c>
      <c r="E666" s="2">
        <v>0</v>
      </c>
      <c r="F666" s="2">
        <v>0</v>
      </c>
      <c r="G666" s="2">
        <v>0</v>
      </c>
      <c r="H666" s="2">
        <v>0</v>
      </c>
      <c r="I666" s="1">
        <v>0</v>
      </c>
      <c r="J666" s="1">
        <v>0</v>
      </c>
      <c r="K666" s="1">
        <v>0</v>
      </c>
      <c r="L666" s="1">
        <v>0</v>
      </c>
      <c r="M666" s="2"/>
      <c r="N666" s="2"/>
      <c r="Q666" s="1">
        <f t="shared" si="41"/>
        <v>0</v>
      </c>
      <c r="R666">
        <f t="shared" si="40"/>
        <v>0</v>
      </c>
      <c r="S666" s="1">
        <f t="shared" si="42"/>
        <v>0</v>
      </c>
      <c r="T666" s="1">
        <f t="shared" si="43"/>
        <v>0</v>
      </c>
    </row>
    <row r="667" spans="1:20" x14ac:dyDescent="0.3">
      <c r="A667" t="s">
        <v>359</v>
      </c>
      <c r="B667" t="s">
        <v>503</v>
      </c>
      <c r="C667" t="s">
        <v>574</v>
      </c>
      <c r="D667" t="s">
        <v>575</v>
      </c>
      <c r="E667" s="2">
        <v>22.288</v>
      </c>
      <c r="F667" s="2">
        <v>3.0000000000000001E-3</v>
      </c>
      <c r="G667" s="2">
        <v>18.288</v>
      </c>
      <c r="H667" s="2">
        <v>-18.288</v>
      </c>
      <c r="I667" s="1">
        <v>0.91019831299353904</v>
      </c>
      <c r="J667" s="1">
        <v>0.91019831299353904</v>
      </c>
      <c r="K667" s="1">
        <v>0.82138231574829701</v>
      </c>
      <c r="L667" s="1">
        <v>0.49908161102844301</v>
      </c>
      <c r="M667" s="2"/>
      <c r="N667" s="2"/>
      <c r="Q667" s="1">
        <f t="shared" si="41"/>
        <v>20.286499999999997</v>
      </c>
      <c r="R667">
        <f t="shared" si="40"/>
        <v>20.286499999999997</v>
      </c>
      <c r="S667" s="1">
        <f t="shared" si="42"/>
        <v>18.306969053398046</v>
      </c>
      <c r="T667" s="1">
        <f t="shared" si="43"/>
        <v>11.123530946601937</v>
      </c>
    </row>
    <row r="668" spans="1:20" x14ac:dyDescent="0.3">
      <c r="A668" t="s">
        <v>359</v>
      </c>
      <c r="B668" t="s">
        <v>504</v>
      </c>
      <c r="C668" t="s">
        <v>576</v>
      </c>
      <c r="D668" t="s">
        <v>591</v>
      </c>
      <c r="E668" s="2">
        <v>12.5</v>
      </c>
      <c r="F668" s="2">
        <v>0</v>
      </c>
      <c r="G668" s="2">
        <v>11.55</v>
      </c>
      <c r="H668" s="2">
        <v>-11.99</v>
      </c>
      <c r="I668" s="1">
        <v>0.96199999999999997</v>
      </c>
      <c r="J668" s="1">
        <v>0.97960000000000003</v>
      </c>
      <c r="K668" s="1">
        <v>0.68764092880258898</v>
      </c>
      <c r="L668" s="1">
        <v>0.75395907119741101</v>
      </c>
      <c r="M668" s="2"/>
      <c r="N668" s="2"/>
      <c r="Q668" s="1">
        <f t="shared" si="41"/>
        <v>12.025</v>
      </c>
      <c r="R668">
        <f t="shared" si="40"/>
        <v>12.245000000000001</v>
      </c>
      <c r="S668" s="1">
        <f t="shared" si="42"/>
        <v>8.5955116100323625</v>
      </c>
      <c r="T668" s="1">
        <f t="shared" si="43"/>
        <v>9.424488389967637</v>
      </c>
    </row>
    <row r="669" spans="1:20" x14ac:dyDescent="0.3">
      <c r="A669" t="s">
        <v>359</v>
      </c>
      <c r="B669" t="s">
        <v>505</v>
      </c>
      <c r="C669" t="s">
        <v>34</v>
      </c>
      <c r="D669" t="s">
        <v>35</v>
      </c>
      <c r="E669" s="2">
        <v>6.7380000000000004</v>
      </c>
      <c r="F669" s="2">
        <v>0</v>
      </c>
      <c r="G669" s="2">
        <v>6.7380000000000004</v>
      </c>
      <c r="H669" s="2">
        <v>-6.7380000000000004</v>
      </c>
      <c r="I669" s="1">
        <v>1</v>
      </c>
      <c r="J669" s="1">
        <v>1</v>
      </c>
      <c r="K669" s="1">
        <v>0.99600015273467102</v>
      </c>
      <c r="L669" s="1">
        <v>0.50399984726532898</v>
      </c>
      <c r="M669" s="2"/>
      <c r="N669" s="2"/>
      <c r="Q669" s="1">
        <f t="shared" si="41"/>
        <v>6.7380000000000004</v>
      </c>
      <c r="R669">
        <f t="shared" si="40"/>
        <v>6.7380000000000004</v>
      </c>
      <c r="S669" s="1">
        <f t="shared" si="42"/>
        <v>6.7110490291262135</v>
      </c>
      <c r="T669" s="1">
        <f t="shared" si="43"/>
        <v>3.3959509708737867</v>
      </c>
    </row>
    <row r="670" spans="1:20" x14ac:dyDescent="0.3">
      <c r="A670" t="s">
        <v>359</v>
      </c>
      <c r="B670" t="s">
        <v>506</v>
      </c>
      <c r="C670" t="s">
        <v>34</v>
      </c>
      <c r="D670" t="s">
        <v>35</v>
      </c>
      <c r="E670" s="2">
        <v>1821.4580000000001</v>
      </c>
      <c r="F670" s="2">
        <v>0</v>
      </c>
      <c r="G670" s="2">
        <v>528.59900000000005</v>
      </c>
      <c r="H670" s="2">
        <v>-508.438999999999</v>
      </c>
      <c r="I670" s="1">
        <v>0.64510326342962598</v>
      </c>
      <c r="J670" s="1">
        <v>0.639569235195101</v>
      </c>
      <c r="K670" s="1">
        <v>0.54965031258556996</v>
      </c>
      <c r="L670" s="1">
        <v>0.23502218603915701</v>
      </c>
      <c r="M670" s="2"/>
      <c r="N670" s="2"/>
      <c r="Q670" s="1">
        <f t="shared" si="41"/>
        <v>1175.0284999999997</v>
      </c>
      <c r="R670">
        <f t="shared" si="40"/>
        <v>1164.9484999999984</v>
      </c>
      <c r="S670" s="1">
        <f t="shared" si="42"/>
        <v>1001.1649590614871</v>
      </c>
      <c r="T670" s="1">
        <f t="shared" si="43"/>
        <v>428.08304093851086</v>
      </c>
    </row>
    <row r="671" spans="1:20" x14ac:dyDescent="0.3">
      <c r="A671" t="s">
        <v>359</v>
      </c>
      <c r="B671" t="s">
        <v>507</v>
      </c>
      <c r="C671" t="s">
        <v>574</v>
      </c>
      <c r="D671" t="s">
        <v>575</v>
      </c>
      <c r="E671" s="2">
        <v>630</v>
      </c>
      <c r="F671" s="2">
        <v>39.24</v>
      </c>
      <c r="G671" s="2">
        <v>186.88800000000001</v>
      </c>
      <c r="H671" s="2">
        <v>-287.76</v>
      </c>
      <c r="I671" s="1">
        <v>0.61718095238095205</v>
      </c>
      <c r="J671" s="1">
        <v>0.69723809523809499</v>
      </c>
      <c r="K671" s="1">
        <v>0.29044189301124901</v>
      </c>
      <c r="L671" s="1">
        <v>0.55512001175065395</v>
      </c>
      <c r="M671" s="2"/>
      <c r="N671" s="2"/>
      <c r="Q671" s="1">
        <f t="shared" si="41"/>
        <v>388.82399999999978</v>
      </c>
      <c r="R671">
        <f t="shared" si="40"/>
        <v>439.25999999999982</v>
      </c>
      <c r="S671" s="1">
        <f t="shared" si="42"/>
        <v>182.97839259708687</v>
      </c>
      <c r="T671" s="1">
        <f t="shared" si="43"/>
        <v>349.72560740291198</v>
      </c>
    </row>
    <row r="672" spans="1:20" x14ac:dyDescent="0.3">
      <c r="A672" t="s">
        <v>359</v>
      </c>
      <c r="B672" t="s">
        <v>508</v>
      </c>
      <c r="C672" t="s">
        <v>576</v>
      </c>
      <c r="D672" t="s">
        <v>591</v>
      </c>
      <c r="E672" s="2">
        <v>90</v>
      </c>
      <c r="F672" s="2">
        <v>0.75</v>
      </c>
      <c r="G672" s="2">
        <v>40.164000000000001</v>
      </c>
      <c r="H672" s="2">
        <v>-55.953000000000003</v>
      </c>
      <c r="I672" s="1">
        <v>0.71896666666666598</v>
      </c>
      <c r="J672" s="1">
        <v>0.80668333333333297</v>
      </c>
      <c r="K672" s="1">
        <v>0.49782171296296202</v>
      </c>
      <c r="L672" s="1">
        <v>0.53199495370370298</v>
      </c>
      <c r="M672" s="2"/>
      <c r="N672" s="2"/>
      <c r="Q672" s="1">
        <f t="shared" si="41"/>
        <v>64.706999999999937</v>
      </c>
      <c r="R672">
        <f t="shared" si="40"/>
        <v>72.601499999999973</v>
      </c>
      <c r="S672" s="1">
        <f t="shared" si="42"/>
        <v>44.803954166666578</v>
      </c>
      <c r="T672" s="1">
        <f t="shared" si="43"/>
        <v>47.879545833333268</v>
      </c>
    </row>
    <row r="673" spans="1:20" x14ac:dyDescent="0.3">
      <c r="A673" t="s">
        <v>359</v>
      </c>
      <c r="B673" t="s">
        <v>509</v>
      </c>
      <c r="C673" t="s">
        <v>574</v>
      </c>
      <c r="D673" t="s">
        <v>575</v>
      </c>
      <c r="E673" s="2">
        <v>62</v>
      </c>
      <c r="F673" s="2">
        <v>2.1</v>
      </c>
      <c r="G673" s="2">
        <v>53.9</v>
      </c>
      <c r="H673" s="2">
        <v>-53.9</v>
      </c>
      <c r="I673" s="1">
        <v>0.91774193548387095</v>
      </c>
      <c r="J673" s="1">
        <v>0.91774193548387095</v>
      </c>
      <c r="K673" s="1">
        <v>0.553173780535546</v>
      </c>
      <c r="L673" s="1">
        <v>0.79924557430316301</v>
      </c>
      <c r="M673" s="2"/>
      <c r="N673" s="2"/>
      <c r="Q673" s="1">
        <f t="shared" si="41"/>
        <v>56.9</v>
      </c>
      <c r="R673">
        <f t="shared" si="40"/>
        <v>56.9</v>
      </c>
      <c r="S673" s="1">
        <f t="shared" si="42"/>
        <v>34.296774393203854</v>
      </c>
      <c r="T673" s="1">
        <f t="shared" si="43"/>
        <v>49.553225606796104</v>
      </c>
    </row>
    <row r="674" spans="1:20" x14ac:dyDescent="0.3">
      <c r="A674" t="s">
        <v>359</v>
      </c>
      <c r="B674" t="s">
        <v>510</v>
      </c>
      <c r="C674" t="s">
        <v>34</v>
      </c>
      <c r="D674" t="s">
        <v>35</v>
      </c>
      <c r="E674" s="2">
        <v>135.29400000000001</v>
      </c>
      <c r="F674" s="2">
        <v>0</v>
      </c>
      <c r="G674" s="2">
        <v>39.633000000000003</v>
      </c>
      <c r="H674" s="2">
        <v>-33.028999999999897</v>
      </c>
      <c r="I674" s="1">
        <v>0.64646990997383402</v>
      </c>
      <c r="J674" s="1">
        <v>0.62206380179460996</v>
      </c>
      <c r="K674" s="1">
        <v>0.57832553849047796</v>
      </c>
      <c r="L674" s="1">
        <v>0.19020817327796599</v>
      </c>
      <c r="M674" s="2"/>
      <c r="N674" s="2"/>
      <c r="Q674" s="1">
        <f t="shared" si="41"/>
        <v>87.463499999999911</v>
      </c>
      <c r="R674">
        <f t="shared" si="40"/>
        <v>84.161499999999961</v>
      </c>
      <c r="S674" s="1">
        <f t="shared" si="42"/>
        <v>78.24397540453073</v>
      </c>
      <c r="T674" s="1">
        <f t="shared" si="43"/>
        <v>25.734024595469133</v>
      </c>
    </row>
    <row r="675" spans="1:20" x14ac:dyDescent="0.3">
      <c r="A675" t="s">
        <v>359</v>
      </c>
      <c r="B675" t="s">
        <v>511</v>
      </c>
      <c r="C675" t="s">
        <v>574</v>
      </c>
      <c r="D675" t="s">
        <v>575</v>
      </c>
      <c r="E675" s="2">
        <v>18</v>
      </c>
      <c r="F675" s="2">
        <v>0</v>
      </c>
      <c r="G675" s="2">
        <v>13.988</v>
      </c>
      <c r="H675" s="2">
        <v>-8.9930000000000003</v>
      </c>
      <c r="I675" s="1">
        <v>0.88855555555555499</v>
      </c>
      <c r="J675" s="1">
        <v>0.74980555555555495</v>
      </c>
      <c r="K675" s="1">
        <v>0.63697633944624199</v>
      </c>
      <c r="L675" s="1">
        <v>0.50138477166486795</v>
      </c>
      <c r="M675" s="2"/>
      <c r="N675" s="2"/>
      <c r="Q675" s="1">
        <f t="shared" si="41"/>
        <v>15.993999999999989</v>
      </c>
      <c r="R675">
        <f t="shared" si="40"/>
        <v>13.496499999999989</v>
      </c>
      <c r="S675" s="1">
        <f t="shared" si="42"/>
        <v>11.465574110032357</v>
      </c>
      <c r="T675" s="1">
        <f t="shared" si="43"/>
        <v>9.0249258899676228</v>
      </c>
    </row>
    <row r="676" spans="1:20" x14ac:dyDescent="0.3">
      <c r="A676" t="s">
        <v>359</v>
      </c>
      <c r="B676" t="s">
        <v>512</v>
      </c>
      <c r="C676" t="s">
        <v>574</v>
      </c>
      <c r="D676" t="s">
        <v>575</v>
      </c>
      <c r="E676" s="2">
        <v>29</v>
      </c>
      <c r="F676" s="2">
        <v>6.0000000000000001E-3</v>
      </c>
      <c r="G676" s="2">
        <v>20.212</v>
      </c>
      <c r="H676" s="2">
        <v>-20.212</v>
      </c>
      <c r="I676" s="1">
        <v>0.84837931034482705</v>
      </c>
      <c r="J676" s="1">
        <v>0.84837931034482705</v>
      </c>
      <c r="K676" s="1">
        <v>0.56485420154000598</v>
      </c>
      <c r="L676" s="1">
        <v>0.63200786742550996</v>
      </c>
      <c r="M676" s="2"/>
      <c r="N676" s="2"/>
      <c r="Q676" s="1">
        <f t="shared" si="41"/>
        <v>24.602999999999984</v>
      </c>
      <c r="R676">
        <f t="shared" si="40"/>
        <v>24.602999999999984</v>
      </c>
      <c r="S676" s="1">
        <f t="shared" si="42"/>
        <v>16.380771844660174</v>
      </c>
      <c r="T676" s="1">
        <f t="shared" si="43"/>
        <v>18.32822815533979</v>
      </c>
    </row>
    <row r="677" spans="1:20" x14ac:dyDescent="0.3">
      <c r="A677" t="s">
        <v>359</v>
      </c>
      <c r="B677" t="s">
        <v>513</v>
      </c>
      <c r="C677" t="s">
        <v>580</v>
      </c>
      <c r="D677" t="s">
        <v>581</v>
      </c>
      <c r="E677" s="2">
        <v>22</v>
      </c>
      <c r="F677" s="2">
        <v>6.0000000000000001E-3</v>
      </c>
      <c r="G677" s="2">
        <v>11.489999999999901</v>
      </c>
      <c r="H677" s="2">
        <v>-11.498999999999899</v>
      </c>
      <c r="I677" s="1">
        <v>0.76099999999999901</v>
      </c>
      <c r="J677" s="1">
        <v>0.76120454545454497</v>
      </c>
      <c r="K677" s="1">
        <v>0.62338475286849004</v>
      </c>
      <c r="L677" s="1">
        <v>0.39895615622241798</v>
      </c>
      <c r="M677" s="2"/>
      <c r="N677" s="2"/>
      <c r="Q677" s="1">
        <f t="shared" si="41"/>
        <v>16.74199999999998</v>
      </c>
      <c r="R677">
        <f t="shared" si="40"/>
        <v>16.74649999999999</v>
      </c>
      <c r="S677" s="1">
        <f t="shared" si="42"/>
        <v>13.71446456310678</v>
      </c>
      <c r="T677" s="1">
        <f t="shared" si="43"/>
        <v>8.7770354368931951</v>
      </c>
    </row>
    <row r="678" spans="1:20" x14ac:dyDescent="0.3">
      <c r="A678" t="s">
        <v>359</v>
      </c>
      <c r="B678" t="s">
        <v>514</v>
      </c>
      <c r="C678" t="s">
        <v>34</v>
      </c>
      <c r="D678" t="s">
        <v>35</v>
      </c>
      <c r="E678" s="2">
        <v>1486.059</v>
      </c>
      <c r="F678" s="2">
        <v>0</v>
      </c>
      <c r="G678" s="2">
        <v>836.76900000000001</v>
      </c>
      <c r="H678" s="2">
        <v>-719.80399999999997</v>
      </c>
      <c r="I678" s="1">
        <v>0.78153962931485199</v>
      </c>
      <c r="J678" s="1">
        <v>0.742185539066753</v>
      </c>
      <c r="K678" s="1">
        <v>0.71202867304717099</v>
      </c>
      <c r="L678" s="1">
        <v>0.311696495334434</v>
      </c>
      <c r="M678" s="2"/>
      <c r="N678" s="2"/>
      <c r="Q678" s="1">
        <f t="shared" si="41"/>
        <v>1161.4139999999995</v>
      </c>
      <c r="R678">
        <f t="shared" si="40"/>
        <v>1102.9314999999999</v>
      </c>
      <c r="S678" s="1">
        <f t="shared" si="42"/>
        <v>1058.1166178398059</v>
      </c>
      <c r="T678" s="1">
        <f t="shared" si="43"/>
        <v>463.19938216019364</v>
      </c>
    </row>
    <row r="679" spans="1:20" x14ac:dyDescent="0.3">
      <c r="A679" t="s">
        <v>359</v>
      </c>
      <c r="B679" t="s">
        <v>515</v>
      </c>
      <c r="C679" t="s">
        <v>574</v>
      </c>
      <c r="D679" t="s">
        <v>575</v>
      </c>
      <c r="E679" s="2">
        <v>246</v>
      </c>
      <c r="F679" s="2">
        <v>6.9000000000000006E-2</v>
      </c>
      <c r="G679" s="2">
        <v>91.552000000000007</v>
      </c>
      <c r="H679" s="2">
        <v>-90.552000000000007</v>
      </c>
      <c r="I679" s="1">
        <v>0.68594105691056895</v>
      </c>
      <c r="J679" s="1">
        <v>0.68390853658536499</v>
      </c>
      <c r="K679" s="1">
        <v>0.390460695562659</v>
      </c>
      <c r="L679" s="1">
        <v>0.47952914183571399</v>
      </c>
      <c r="M679" s="2"/>
      <c r="N679" s="2"/>
      <c r="Q679" s="1">
        <f t="shared" si="41"/>
        <v>168.74149999999997</v>
      </c>
      <c r="R679">
        <f t="shared" si="40"/>
        <v>168.24149999999977</v>
      </c>
      <c r="S679" s="1">
        <f t="shared" si="42"/>
        <v>96.053331108414113</v>
      </c>
      <c r="T679" s="1">
        <f t="shared" si="43"/>
        <v>117.96416889158564</v>
      </c>
    </row>
    <row r="680" spans="1:20" x14ac:dyDescent="0.3">
      <c r="A680" t="s">
        <v>359</v>
      </c>
      <c r="B680" t="s">
        <v>516</v>
      </c>
      <c r="C680" t="s">
        <v>576</v>
      </c>
      <c r="D680" t="s">
        <v>591</v>
      </c>
      <c r="E680" s="2">
        <v>23</v>
      </c>
      <c r="F680" s="2">
        <v>0</v>
      </c>
      <c r="G680" s="2">
        <v>8</v>
      </c>
      <c r="H680" s="2">
        <v>-8.9949999999999992</v>
      </c>
      <c r="I680" s="1">
        <v>0.67391304347825998</v>
      </c>
      <c r="J680" s="1">
        <v>0.69554347826086904</v>
      </c>
      <c r="K680" s="1">
        <v>0.48854065006331698</v>
      </c>
      <c r="L680" s="1">
        <v>0.38091587167581198</v>
      </c>
      <c r="M680" s="2"/>
      <c r="N680" s="2"/>
      <c r="Q680" s="1">
        <f t="shared" si="41"/>
        <v>15.499999999999979</v>
      </c>
      <c r="R680">
        <f t="shared" si="40"/>
        <v>15.997499999999988</v>
      </c>
      <c r="S680" s="1">
        <f t="shared" si="42"/>
        <v>11.236434951456291</v>
      </c>
      <c r="T680" s="1">
        <f t="shared" si="43"/>
        <v>8.7610650485436761</v>
      </c>
    </row>
    <row r="681" spans="1:20" x14ac:dyDescent="0.3">
      <c r="A681" t="s">
        <v>359</v>
      </c>
      <c r="B681" t="s">
        <v>517</v>
      </c>
      <c r="C681" t="s">
        <v>574</v>
      </c>
      <c r="D681" t="s">
        <v>575</v>
      </c>
      <c r="E681" s="2">
        <v>3</v>
      </c>
      <c r="F681" s="2">
        <v>1E-3</v>
      </c>
      <c r="G681" s="2">
        <v>1</v>
      </c>
      <c r="H681" s="2">
        <v>-1</v>
      </c>
      <c r="I681" s="1">
        <v>0.66649999999999998</v>
      </c>
      <c r="J681" s="1">
        <v>0.66649999999999998</v>
      </c>
      <c r="K681" s="1">
        <v>0.43937709007551201</v>
      </c>
      <c r="L681" s="1">
        <v>0.39378957659115399</v>
      </c>
      <c r="M681" s="2"/>
      <c r="N681" s="2"/>
      <c r="Q681" s="1">
        <f t="shared" si="41"/>
        <v>1.9994999999999998</v>
      </c>
      <c r="R681">
        <f t="shared" si="40"/>
        <v>1.9994999999999998</v>
      </c>
      <c r="S681" s="1">
        <f t="shared" si="42"/>
        <v>1.318131270226536</v>
      </c>
      <c r="T681" s="1">
        <f t="shared" si="43"/>
        <v>1.1813687297734621</v>
      </c>
    </row>
    <row r="682" spans="1:20" x14ac:dyDescent="0.3">
      <c r="A682" t="s">
        <v>359</v>
      </c>
      <c r="B682" t="s">
        <v>518</v>
      </c>
      <c r="C682" t="s">
        <v>34</v>
      </c>
      <c r="D682" t="s">
        <v>35</v>
      </c>
      <c r="E682" s="2">
        <v>326.20400000000001</v>
      </c>
      <c r="F682" s="2">
        <v>0</v>
      </c>
      <c r="G682" s="2">
        <v>86.337000000000003</v>
      </c>
      <c r="H682" s="2">
        <v>-90.695999999999998</v>
      </c>
      <c r="I682" s="1">
        <v>0.63233590023420905</v>
      </c>
      <c r="J682" s="1">
        <v>0.63901730205638096</v>
      </c>
      <c r="K682" s="1">
        <v>0.55007849449561197</v>
      </c>
      <c r="L682" s="1">
        <v>0.22127470779497899</v>
      </c>
      <c r="M682" s="2"/>
      <c r="N682" s="2"/>
      <c r="Q682" s="1">
        <f t="shared" si="41"/>
        <v>206.27049999999994</v>
      </c>
      <c r="R682">
        <f t="shared" si="40"/>
        <v>208.4499999999997</v>
      </c>
      <c r="S682" s="1">
        <f t="shared" si="42"/>
        <v>179.43780521844661</v>
      </c>
      <c r="T682" s="1">
        <f t="shared" si="43"/>
        <v>72.180694781553328</v>
      </c>
    </row>
    <row r="683" spans="1:20" x14ac:dyDescent="0.3">
      <c r="A683" t="s">
        <v>359</v>
      </c>
      <c r="B683" t="s">
        <v>519</v>
      </c>
      <c r="C683" t="s">
        <v>574</v>
      </c>
      <c r="D683" t="s">
        <v>575</v>
      </c>
      <c r="E683" s="2">
        <v>195.25</v>
      </c>
      <c r="F683" s="2">
        <v>1.018</v>
      </c>
      <c r="G683" s="2">
        <v>96.25</v>
      </c>
      <c r="H683" s="2">
        <v>-96.25</v>
      </c>
      <c r="I683" s="1">
        <v>0.74387195902688796</v>
      </c>
      <c r="J683" s="1">
        <v>0.74387195902688796</v>
      </c>
      <c r="K683" s="1">
        <v>0.52008047975999505</v>
      </c>
      <c r="L683" s="1">
        <v>0.47027035250632898</v>
      </c>
      <c r="M683" s="2"/>
      <c r="N683" s="2"/>
      <c r="Q683" s="1">
        <f t="shared" si="41"/>
        <v>145.24099999999987</v>
      </c>
      <c r="R683">
        <f t="shared" si="40"/>
        <v>145.24099999999987</v>
      </c>
      <c r="S683" s="1">
        <f t="shared" si="42"/>
        <v>101.54571367313903</v>
      </c>
      <c r="T683" s="1">
        <f t="shared" si="43"/>
        <v>91.820286326860739</v>
      </c>
    </row>
    <row r="684" spans="1:20" x14ac:dyDescent="0.3">
      <c r="A684" t="s">
        <v>359</v>
      </c>
      <c r="B684" t="s">
        <v>520</v>
      </c>
      <c r="C684" t="s">
        <v>34</v>
      </c>
      <c r="D684" t="s">
        <v>35</v>
      </c>
      <c r="E684" s="2">
        <v>43.271000000000001</v>
      </c>
      <c r="F684" s="2">
        <v>0</v>
      </c>
      <c r="G684" s="2">
        <v>19.970999999999901</v>
      </c>
      <c r="H684" s="2">
        <v>-11.3819999999999</v>
      </c>
      <c r="I684" s="1">
        <v>0.73076656421159603</v>
      </c>
      <c r="J684" s="1">
        <v>0.63151995562848096</v>
      </c>
      <c r="K684" s="1">
        <v>0.70149080484631399</v>
      </c>
      <c r="L684" s="1">
        <v>0.16079571499376299</v>
      </c>
      <c r="M684" s="2"/>
      <c r="N684" s="2"/>
      <c r="Q684" s="1">
        <f t="shared" si="41"/>
        <v>31.620999999999974</v>
      </c>
      <c r="R684">
        <f t="shared" si="40"/>
        <v>27.326499999999999</v>
      </c>
      <c r="S684" s="1">
        <f t="shared" si="42"/>
        <v>30.354208616504852</v>
      </c>
      <c r="T684" s="1">
        <f t="shared" si="43"/>
        <v>6.9577913834951186</v>
      </c>
    </row>
    <row r="685" spans="1:20" x14ac:dyDescent="0.3">
      <c r="A685" t="s">
        <v>359</v>
      </c>
      <c r="B685" t="s">
        <v>521</v>
      </c>
      <c r="C685" t="s">
        <v>574</v>
      </c>
      <c r="D685" t="s">
        <v>575</v>
      </c>
      <c r="E685" s="2">
        <v>3</v>
      </c>
      <c r="F685" s="2">
        <v>0</v>
      </c>
      <c r="G685" s="2">
        <v>1.95</v>
      </c>
      <c r="H685" s="2">
        <v>-1.998</v>
      </c>
      <c r="I685" s="1">
        <v>0.82499999999999996</v>
      </c>
      <c r="J685" s="1">
        <v>0.83299999999999996</v>
      </c>
      <c r="K685" s="1">
        <v>0.55882022653721597</v>
      </c>
      <c r="L685" s="1">
        <v>0.59917977346278295</v>
      </c>
      <c r="M685" s="2"/>
      <c r="N685" s="2"/>
      <c r="Q685" s="1">
        <f t="shared" si="41"/>
        <v>2.4749999999999996</v>
      </c>
      <c r="R685">
        <f t="shared" si="40"/>
        <v>2.4989999999999997</v>
      </c>
      <c r="S685" s="1">
        <f t="shared" si="42"/>
        <v>1.6764606796116479</v>
      </c>
      <c r="T685" s="1">
        <f t="shared" si="43"/>
        <v>1.7975393203883487</v>
      </c>
    </row>
    <row r="686" spans="1:20" x14ac:dyDescent="0.3">
      <c r="A686" t="s">
        <v>359</v>
      </c>
      <c r="B686" t="s">
        <v>522</v>
      </c>
      <c r="C686" t="s">
        <v>34</v>
      </c>
      <c r="D686" t="s">
        <v>35</v>
      </c>
      <c r="E686" s="2">
        <v>71.664000000000001</v>
      </c>
      <c r="F686" s="2">
        <v>0</v>
      </c>
      <c r="G686" s="2">
        <v>18.001000000000001</v>
      </c>
      <c r="H686" s="2">
        <v>-17.934999999999999</v>
      </c>
      <c r="I686" s="1">
        <v>0.62559304532261595</v>
      </c>
      <c r="J686" s="1">
        <v>0.62513256307211396</v>
      </c>
      <c r="K686" s="1">
        <v>0.55897240543066495</v>
      </c>
      <c r="L686" s="1">
        <v>0.19175320296406601</v>
      </c>
      <c r="M686" s="2"/>
      <c r="N686" s="2"/>
      <c r="Q686" s="1">
        <f t="shared" si="41"/>
        <v>44.832499999999953</v>
      </c>
      <c r="R686">
        <f t="shared" si="40"/>
        <v>44.799499999999973</v>
      </c>
      <c r="S686" s="1">
        <f t="shared" si="42"/>
        <v>40.058198462783174</v>
      </c>
      <c r="T686" s="1">
        <f t="shared" si="43"/>
        <v>13.741801537216826</v>
      </c>
    </row>
    <row r="687" spans="1:20" x14ac:dyDescent="0.3">
      <c r="A687" t="s">
        <v>359</v>
      </c>
      <c r="B687" t="s">
        <v>523</v>
      </c>
      <c r="C687" t="s">
        <v>34</v>
      </c>
      <c r="D687" t="s">
        <v>35</v>
      </c>
      <c r="E687" s="2">
        <v>5</v>
      </c>
      <c r="F687" s="2">
        <v>0</v>
      </c>
      <c r="G687" s="2">
        <v>3.85</v>
      </c>
      <c r="H687" s="2">
        <v>-3.85</v>
      </c>
      <c r="I687" s="1">
        <v>0.88500000000000001</v>
      </c>
      <c r="J687" s="1">
        <v>0.88500000000000001</v>
      </c>
      <c r="K687" s="1">
        <v>0.75513897249190898</v>
      </c>
      <c r="L687" s="1">
        <v>0.51486102750809004</v>
      </c>
      <c r="M687" s="2"/>
      <c r="N687" s="2"/>
      <c r="Q687" s="1">
        <f t="shared" si="41"/>
        <v>4.4249999999999998</v>
      </c>
      <c r="R687">
        <f t="shared" si="40"/>
        <v>4.4249999999999998</v>
      </c>
      <c r="S687" s="1">
        <f t="shared" si="42"/>
        <v>3.7756948624595448</v>
      </c>
      <c r="T687" s="1">
        <f t="shared" si="43"/>
        <v>2.57430513754045</v>
      </c>
    </row>
    <row r="688" spans="1:20" x14ac:dyDescent="0.3">
      <c r="A688" t="s">
        <v>359</v>
      </c>
      <c r="B688" t="s">
        <v>524</v>
      </c>
      <c r="C688" t="s">
        <v>34</v>
      </c>
      <c r="D688" t="s">
        <v>35</v>
      </c>
      <c r="E688" s="2">
        <v>3964.1390000000001</v>
      </c>
      <c r="F688" s="2">
        <v>0</v>
      </c>
      <c r="G688" s="2">
        <v>1493.1479999999999</v>
      </c>
      <c r="H688" s="2">
        <v>-1518.74</v>
      </c>
      <c r="I688" s="1">
        <v>0.68833194295154598</v>
      </c>
      <c r="J688" s="1">
        <v>0.69155988223419995</v>
      </c>
      <c r="K688" s="1">
        <v>0.59154845674356704</v>
      </c>
      <c r="L688" s="1">
        <v>0.28834336844217801</v>
      </c>
      <c r="M688" s="2"/>
      <c r="N688" s="2"/>
      <c r="Q688" s="1">
        <f t="shared" si="41"/>
        <v>2728.6434999999988</v>
      </c>
      <c r="R688">
        <f t="shared" si="40"/>
        <v>2741.439499999999</v>
      </c>
      <c r="S688" s="1">
        <f t="shared" si="42"/>
        <v>2344.9803077669872</v>
      </c>
      <c r="T688" s="1">
        <f t="shared" si="43"/>
        <v>1143.0331922330072</v>
      </c>
    </row>
    <row r="689" spans="1:20" x14ac:dyDescent="0.3">
      <c r="A689" t="s">
        <v>359</v>
      </c>
      <c r="B689" t="s">
        <v>525</v>
      </c>
      <c r="C689" t="s">
        <v>574</v>
      </c>
      <c r="D689" t="s">
        <v>575</v>
      </c>
      <c r="E689" s="2">
        <v>186</v>
      </c>
      <c r="F689" s="2">
        <v>5.7000000000000002E-2</v>
      </c>
      <c r="G689" s="2">
        <v>153.03700000000001</v>
      </c>
      <c r="H689" s="2">
        <v>-153.03700000000001</v>
      </c>
      <c r="I689" s="1">
        <v>0.91123655913978496</v>
      </c>
      <c r="J689" s="1">
        <v>0.91123655913978496</v>
      </c>
      <c r="K689" s="1">
        <v>0.60442900093955498</v>
      </c>
      <c r="L689" s="1">
        <v>0.71819734314646599</v>
      </c>
      <c r="M689" s="2"/>
      <c r="N689" s="2"/>
      <c r="Q689" s="1">
        <f t="shared" si="41"/>
        <v>169.49</v>
      </c>
      <c r="R689">
        <f t="shared" si="40"/>
        <v>169.49</v>
      </c>
      <c r="S689" s="1">
        <f t="shared" si="42"/>
        <v>112.42379417475723</v>
      </c>
      <c r="T689" s="1">
        <f t="shared" si="43"/>
        <v>133.58470582524268</v>
      </c>
    </row>
    <row r="690" spans="1:20" x14ac:dyDescent="0.3">
      <c r="A690" t="s">
        <v>359</v>
      </c>
      <c r="B690" t="s">
        <v>526</v>
      </c>
      <c r="C690" t="s">
        <v>576</v>
      </c>
      <c r="D690" t="s">
        <v>591</v>
      </c>
      <c r="E690" s="2">
        <v>1352</v>
      </c>
      <c r="F690" s="2">
        <v>0</v>
      </c>
      <c r="G690" s="2">
        <v>885.22699999999998</v>
      </c>
      <c r="H690" s="2">
        <v>-1283.9280000000001</v>
      </c>
      <c r="I690" s="1">
        <v>0.82737684911242604</v>
      </c>
      <c r="J690" s="1">
        <v>0.97482544378698199</v>
      </c>
      <c r="K690" s="1">
        <v>0.58283751690531505</v>
      </c>
      <c r="L690" s="1">
        <v>0.71936477599409199</v>
      </c>
      <c r="M690" s="2"/>
      <c r="N690" s="2"/>
      <c r="Q690" s="1">
        <f t="shared" si="41"/>
        <v>1118.6134999999999</v>
      </c>
      <c r="R690">
        <f t="shared" si="40"/>
        <v>1317.9639999999997</v>
      </c>
      <c r="S690" s="1">
        <f t="shared" si="42"/>
        <v>787.99632285598591</v>
      </c>
      <c r="T690" s="1">
        <f t="shared" si="43"/>
        <v>972.58117714401237</v>
      </c>
    </row>
    <row r="691" spans="1:20" x14ac:dyDescent="0.3">
      <c r="A691" t="s">
        <v>359</v>
      </c>
      <c r="B691" t="s">
        <v>767</v>
      </c>
      <c r="C691" t="s">
        <v>576</v>
      </c>
      <c r="D691" t="s">
        <v>589</v>
      </c>
      <c r="E691" s="2">
        <v>71.596999999999994</v>
      </c>
      <c r="F691" s="2">
        <v>0</v>
      </c>
      <c r="G691" s="2">
        <v>63.340999999999902</v>
      </c>
      <c r="H691" s="2">
        <v>-48.619</v>
      </c>
      <c r="I691" s="1">
        <v>0.94234395295892204</v>
      </c>
      <c r="J691" s="1">
        <v>0.83953238264173002</v>
      </c>
      <c r="K691" s="1">
        <v>0.94201189388302597</v>
      </c>
      <c r="L691" s="1">
        <v>0.33986444171762697</v>
      </c>
      <c r="M691" s="2"/>
      <c r="N691" s="2"/>
      <c r="Q691" s="1">
        <f t="shared" si="41"/>
        <v>67.468999999999937</v>
      </c>
      <c r="R691">
        <f t="shared" si="40"/>
        <v>60.10799999999994</v>
      </c>
      <c r="S691" s="1">
        <f t="shared" si="42"/>
        <v>67.445225566343012</v>
      </c>
      <c r="T691" s="1">
        <f t="shared" si="43"/>
        <v>24.333274433656936</v>
      </c>
    </row>
    <row r="692" spans="1:20" x14ac:dyDescent="0.3">
      <c r="A692" t="s">
        <v>359</v>
      </c>
      <c r="B692" t="s">
        <v>527</v>
      </c>
      <c r="C692" t="s">
        <v>574</v>
      </c>
      <c r="D692" t="s">
        <v>575</v>
      </c>
      <c r="E692" s="2">
        <v>84.97</v>
      </c>
      <c r="F692" s="2">
        <v>0</v>
      </c>
      <c r="G692" s="2">
        <v>76.578999999999994</v>
      </c>
      <c r="H692" s="2">
        <v>-60.011000000000003</v>
      </c>
      <c r="I692" s="1">
        <v>0.95062374955866702</v>
      </c>
      <c r="J692" s="1">
        <v>0.85313051665293604</v>
      </c>
      <c r="K692" s="1">
        <v>0.69842807027265996</v>
      </c>
      <c r="L692" s="1">
        <v>0.60532619593894299</v>
      </c>
      <c r="M692" s="2"/>
      <c r="N692" s="2"/>
      <c r="Q692" s="1">
        <f t="shared" si="41"/>
        <v>80.774499999999932</v>
      </c>
      <c r="R692">
        <f t="shared" si="40"/>
        <v>72.490499999999969</v>
      </c>
      <c r="S692" s="1">
        <f t="shared" si="42"/>
        <v>59.345433131067914</v>
      </c>
      <c r="T692" s="1">
        <f t="shared" si="43"/>
        <v>51.434566868931988</v>
      </c>
    </row>
    <row r="693" spans="1:20" x14ac:dyDescent="0.3">
      <c r="A693" t="s">
        <v>359</v>
      </c>
      <c r="B693" t="s">
        <v>528</v>
      </c>
      <c r="C693" t="s">
        <v>574</v>
      </c>
      <c r="D693" t="s">
        <v>575</v>
      </c>
      <c r="E693" s="2">
        <v>735</v>
      </c>
      <c r="F693" s="2">
        <v>0</v>
      </c>
      <c r="G693" s="2">
        <v>734.92899999999997</v>
      </c>
      <c r="H693" s="2">
        <v>-734.92899999999997</v>
      </c>
      <c r="I693" s="1">
        <v>0.99995170068027195</v>
      </c>
      <c r="J693" s="1">
        <v>0.99995170068027195</v>
      </c>
      <c r="K693" s="1">
        <v>0.99116713729828498</v>
      </c>
      <c r="L693" s="1">
        <v>0.50873626406225902</v>
      </c>
      <c r="M693" s="2"/>
      <c r="N693" s="2"/>
      <c r="Q693" s="1">
        <f t="shared" si="41"/>
        <v>734.96449999999993</v>
      </c>
      <c r="R693">
        <f t="shared" si="40"/>
        <v>734.96449999999993</v>
      </c>
      <c r="S693" s="1">
        <f t="shared" si="42"/>
        <v>728.50784591423951</v>
      </c>
      <c r="T693" s="1">
        <f t="shared" si="43"/>
        <v>373.92115408576041</v>
      </c>
    </row>
    <row r="694" spans="1:20" x14ac:dyDescent="0.3">
      <c r="A694" t="s">
        <v>359</v>
      </c>
      <c r="B694" t="s">
        <v>529</v>
      </c>
      <c r="C694" t="s">
        <v>574</v>
      </c>
      <c r="D694" t="s">
        <v>575</v>
      </c>
      <c r="E694" s="2">
        <v>3.02</v>
      </c>
      <c r="F694" s="2">
        <v>0</v>
      </c>
      <c r="G694" s="2">
        <v>0</v>
      </c>
      <c r="H694" s="2">
        <v>-3.02</v>
      </c>
      <c r="I694" s="1">
        <v>0.5</v>
      </c>
      <c r="J694" s="1">
        <v>1</v>
      </c>
      <c r="K694" s="1">
        <v>0.15728155339805799</v>
      </c>
      <c r="L694" s="1">
        <v>0.84271844660194095</v>
      </c>
      <c r="M694" s="2"/>
      <c r="N694" s="2"/>
      <c r="Q694" s="1">
        <f t="shared" si="41"/>
        <v>1.51</v>
      </c>
      <c r="R694">
        <f t="shared" si="40"/>
        <v>3.02</v>
      </c>
      <c r="S694" s="1">
        <f t="shared" si="42"/>
        <v>0.47499029126213516</v>
      </c>
      <c r="T694" s="1">
        <f t="shared" si="43"/>
        <v>2.5450097087378616</v>
      </c>
    </row>
    <row r="695" spans="1:20" x14ac:dyDescent="0.3">
      <c r="A695" t="s">
        <v>359</v>
      </c>
      <c r="B695" t="s">
        <v>768</v>
      </c>
      <c r="C695" t="s">
        <v>576</v>
      </c>
      <c r="D695" t="s">
        <v>577</v>
      </c>
      <c r="E695" s="2">
        <v>28.46</v>
      </c>
      <c r="F695" s="2">
        <v>0</v>
      </c>
      <c r="G695" s="2">
        <v>28.46</v>
      </c>
      <c r="H695" s="2">
        <v>-15.3</v>
      </c>
      <c r="I695" s="1">
        <v>1</v>
      </c>
      <c r="J695" s="1">
        <v>0.76879831342234695</v>
      </c>
      <c r="K695" s="1">
        <v>0.72349507740381602</v>
      </c>
      <c r="L695" s="1">
        <v>0.54530323601853004</v>
      </c>
      <c r="M695" s="2"/>
      <c r="N695" s="2"/>
      <c r="Q695" s="1">
        <f t="shared" si="41"/>
        <v>28.46</v>
      </c>
      <c r="R695">
        <f t="shared" si="40"/>
        <v>21.879999999999995</v>
      </c>
      <c r="S695" s="1">
        <f t="shared" si="42"/>
        <v>20.590669902912605</v>
      </c>
      <c r="T695" s="1">
        <f t="shared" si="43"/>
        <v>15.519330097087366</v>
      </c>
    </row>
    <row r="696" spans="1:20" x14ac:dyDescent="0.3">
      <c r="A696" t="s">
        <v>359</v>
      </c>
      <c r="B696" t="s">
        <v>530</v>
      </c>
      <c r="C696" t="s">
        <v>574</v>
      </c>
      <c r="D696" t="s">
        <v>575</v>
      </c>
      <c r="E696" s="2">
        <v>503.97899999999998</v>
      </c>
      <c r="F696" s="2">
        <v>0.11899999999999999</v>
      </c>
      <c r="G696" s="2">
        <v>437.74299999999999</v>
      </c>
      <c r="H696" s="2">
        <v>-410.33199999999999</v>
      </c>
      <c r="I696" s="1">
        <v>0.93416888402096099</v>
      </c>
      <c r="J696" s="1">
        <v>0.90697429853227995</v>
      </c>
      <c r="K696" s="1">
        <v>0.65712602322690095</v>
      </c>
      <c r="L696" s="1">
        <v>0.68413521980108105</v>
      </c>
      <c r="M696" s="2"/>
      <c r="N696" s="2"/>
      <c r="Q696" s="1">
        <f t="shared" si="41"/>
        <v>470.80149999999986</v>
      </c>
      <c r="R696">
        <f t="shared" si="40"/>
        <v>457.09599999999989</v>
      </c>
      <c r="S696" s="1">
        <f t="shared" si="42"/>
        <v>331.17771605987031</v>
      </c>
      <c r="T696" s="1">
        <f t="shared" si="43"/>
        <v>344.78978394012904</v>
      </c>
    </row>
    <row r="697" spans="1:20" x14ac:dyDescent="0.3">
      <c r="A697" t="s">
        <v>359</v>
      </c>
      <c r="B697" t="s">
        <v>531</v>
      </c>
      <c r="C697" t="s">
        <v>574</v>
      </c>
      <c r="D697" t="s">
        <v>575</v>
      </c>
      <c r="E697" s="2">
        <v>73.444999999999993</v>
      </c>
      <c r="F697" s="2">
        <v>0</v>
      </c>
      <c r="G697" s="2">
        <v>38.420999999999999</v>
      </c>
      <c r="H697" s="2">
        <v>-45.792999999999999</v>
      </c>
      <c r="I697" s="1">
        <v>0.76156307440942195</v>
      </c>
      <c r="J697" s="1">
        <v>0.81175028933215299</v>
      </c>
      <c r="K697" s="1">
        <v>0.46895822964633899</v>
      </c>
      <c r="L697" s="1">
        <v>0.604355134095235</v>
      </c>
      <c r="M697" s="2"/>
      <c r="N697" s="2"/>
      <c r="Q697" s="1">
        <f t="shared" si="41"/>
        <v>55.932999999999993</v>
      </c>
      <c r="R697">
        <f t="shared" si="40"/>
        <v>59.618999999999971</v>
      </c>
      <c r="S697" s="1">
        <f t="shared" si="42"/>
        <v>34.442637176375364</v>
      </c>
      <c r="T697" s="1">
        <f t="shared" si="43"/>
        <v>44.386862823624533</v>
      </c>
    </row>
    <row r="698" spans="1:20" x14ac:dyDescent="0.3">
      <c r="A698" t="s">
        <v>359</v>
      </c>
      <c r="B698" t="s">
        <v>532</v>
      </c>
      <c r="C698" t="s">
        <v>574</v>
      </c>
      <c r="D698" t="s">
        <v>575</v>
      </c>
      <c r="E698" s="2">
        <v>50.832000000000001</v>
      </c>
      <c r="F698" s="2">
        <v>0</v>
      </c>
      <c r="G698" s="2">
        <v>46.228000000000002</v>
      </c>
      <c r="H698" s="2">
        <v>-48.588999999999999</v>
      </c>
      <c r="I698" s="1">
        <v>0.95471356625747505</v>
      </c>
      <c r="J698" s="1">
        <v>0.97793712621970397</v>
      </c>
      <c r="K698" s="1">
        <v>0.67399593817135295</v>
      </c>
      <c r="L698" s="1">
        <v>0.75865475430582596</v>
      </c>
      <c r="M698" s="2"/>
      <c r="N698" s="2"/>
      <c r="Q698" s="1">
        <f t="shared" si="41"/>
        <v>48.529999999999973</v>
      </c>
      <c r="R698">
        <f t="shared" si="40"/>
        <v>49.710499999999996</v>
      </c>
      <c r="S698" s="1">
        <f t="shared" si="42"/>
        <v>34.260561529126214</v>
      </c>
      <c r="T698" s="1">
        <f t="shared" si="43"/>
        <v>38.563938470873744</v>
      </c>
    </row>
    <row r="699" spans="1:20" x14ac:dyDescent="0.3">
      <c r="A699" t="s">
        <v>359</v>
      </c>
      <c r="B699" t="s">
        <v>533</v>
      </c>
      <c r="C699" t="s">
        <v>576</v>
      </c>
      <c r="D699" t="s">
        <v>14</v>
      </c>
      <c r="E699" s="2">
        <v>10.589</v>
      </c>
      <c r="F699" s="2">
        <v>10.589</v>
      </c>
      <c r="G699" s="2">
        <v>0</v>
      </c>
      <c r="H699" s="2">
        <v>0</v>
      </c>
      <c r="I699" s="1">
        <v>0</v>
      </c>
      <c r="J699" s="1">
        <v>0</v>
      </c>
      <c r="K699" s="1">
        <v>0</v>
      </c>
      <c r="L699" s="1">
        <v>0</v>
      </c>
      <c r="M699" s="2"/>
      <c r="N699" s="2"/>
      <c r="Q699" s="1">
        <f t="shared" si="41"/>
        <v>0</v>
      </c>
      <c r="R699">
        <f t="shared" si="40"/>
        <v>0</v>
      </c>
      <c r="S699" s="1">
        <f t="shared" si="42"/>
        <v>0</v>
      </c>
      <c r="T699" s="1">
        <f t="shared" si="43"/>
        <v>0</v>
      </c>
    </row>
    <row r="700" spans="1:20" x14ac:dyDescent="0.3">
      <c r="A700" t="s">
        <v>359</v>
      </c>
      <c r="B700" t="s">
        <v>769</v>
      </c>
      <c r="C700" t="s">
        <v>574</v>
      </c>
      <c r="D700" t="s">
        <v>575</v>
      </c>
      <c r="E700" s="2">
        <v>78.716999999999999</v>
      </c>
      <c r="F700" s="2">
        <v>0</v>
      </c>
      <c r="G700" s="2">
        <v>36.405000000000001</v>
      </c>
      <c r="H700" s="2">
        <v>-21.863</v>
      </c>
      <c r="I700" s="1">
        <v>0.73123975761271298</v>
      </c>
      <c r="J700" s="1">
        <v>0.63887089192931601</v>
      </c>
      <c r="K700" s="1">
        <v>0.56549257215835202</v>
      </c>
      <c r="L700" s="1">
        <v>0.30461807738367802</v>
      </c>
      <c r="M700" s="2"/>
      <c r="N700" s="2"/>
      <c r="Q700" s="1">
        <f t="shared" si="41"/>
        <v>57.560999999999929</v>
      </c>
      <c r="R700">
        <f t="shared" si="40"/>
        <v>50.289999999999971</v>
      </c>
      <c r="S700" s="1">
        <f t="shared" si="42"/>
        <v>44.513878802588998</v>
      </c>
      <c r="T700" s="1">
        <f t="shared" si="43"/>
        <v>23.978621197410984</v>
      </c>
    </row>
    <row r="701" spans="1:20" x14ac:dyDescent="0.3">
      <c r="A701" t="s">
        <v>359</v>
      </c>
      <c r="B701" t="s">
        <v>534</v>
      </c>
      <c r="C701" t="s">
        <v>576</v>
      </c>
      <c r="D701" t="s">
        <v>577</v>
      </c>
      <c r="E701" s="2">
        <v>0</v>
      </c>
      <c r="F701" s="2">
        <v>0</v>
      </c>
      <c r="G701" s="2">
        <v>0</v>
      </c>
      <c r="H701" s="2">
        <v>0</v>
      </c>
      <c r="I701" s="1">
        <v>0</v>
      </c>
      <c r="J701" s="1">
        <v>0</v>
      </c>
      <c r="K701" s="1">
        <v>0</v>
      </c>
      <c r="L701" s="1">
        <v>0</v>
      </c>
      <c r="M701" s="2"/>
      <c r="N701" s="2"/>
      <c r="Q701" s="1">
        <f t="shared" si="41"/>
        <v>0</v>
      </c>
      <c r="R701">
        <f t="shared" si="40"/>
        <v>0</v>
      </c>
      <c r="S701" s="1">
        <f t="shared" si="42"/>
        <v>0</v>
      </c>
      <c r="T701" s="1">
        <f t="shared" si="43"/>
        <v>0</v>
      </c>
    </row>
    <row r="702" spans="1:20" x14ac:dyDescent="0.3">
      <c r="A702" t="s">
        <v>359</v>
      </c>
      <c r="B702" t="s">
        <v>535</v>
      </c>
      <c r="C702" t="s">
        <v>574</v>
      </c>
      <c r="D702" t="s">
        <v>575</v>
      </c>
      <c r="E702" s="2">
        <v>177.035</v>
      </c>
      <c r="F702" s="2">
        <v>3.4809999999999999</v>
      </c>
      <c r="G702" s="2">
        <v>84.393999999999906</v>
      </c>
      <c r="H702" s="2">
        <v>-126.73399999999999</v>
      </c>
      <c r="I702" s="1">
        <v>0.72852260852373796</v>
      </c>
      <c r="J702" s="1">
        <v>0.84810348236224398</v>
      </c>
      <c r="K702" s="1">
        <v>0.36078002443705198</v>
      </c>
      <c r="L702" s="1">
        <v>0.72567745572223796</v>
      </c>
      <c r="M702" s="2"/>
      <c r="N702" s="2"/>
      <c r="Q702" s="1">
        <f t="shared" si="41"/>
        <v>128.97399999999993</v>
      </c>
      <c r="R702">
        <f t="shared" si="40"/>
        <v>150.14399999999986</v>
      </c>
      <c r="S702" s="1">
        <f t="shared" si="42"/>
        <v>63.8706916262135</v>
      </c>
      <c r="T702" s="1">
        <f t="shared" si="43"/>
        <v>128.47030837378639</v>
      </c>
    </row>
    <row r="703" spans="1:20" x14ac:dyDescent="0.3">
      <c r="A703" t="s">
        <v>359</v>
      </c>
      <c r="B703" t="s">
        <v>536</v>
      </c>
      <c r="C703" t="s">
        <v>576</v>
      </c>
      <c r="D703" t="s">
        <v>577</v>
      </c>
      <c r="E703" s="2">
        <v>115.899</v>
      </c>
      <c r="F703" s="2">
        <v>0</v>
      </c>
      <c r="G703" s="2">
        <v>98.427999999999997</v>
      </c>
      <c r="H703" s="2">
        <v>-100.497</v>
      </c>
      <c r="I703" s="1">
        <v>0.92462834019275397</v>
      </c>
      <c r="J703" s="1">
        <v>0.93355421530815597</v>
      </c>
      <c r="K703" s="1">
        <v>0.90601885126741399</v>
      </c>
      <c r="L703" s="1">
        <v>0.452163704233495</v>
      </c>
      <c r="M703" s="2"/>
      <c r="N703" s="2"/>
      <c r="Q703" s="1">
        <f t="shared" si="41"/>
        <v>107.1635</v>
      </c>
      <c r="R703">
        <f t="shared" si="40"/>
        <v>108.19799999999996</v>
      </c>
      <c r="S703" s="1">
        <f t="shared" si="42"/>
        <v>105.00667884304201</v>
      </c>
      <c r="T703" s="1">
        <f t="shared" si="43"/>
        <v>52.405321156957839</v>
      </c>
    </row>
    <row r="704" spans="1:20" x14ac:dyDescent="0.3">
      <c r="A704" t="s">
        <v>359</v>
      </c>
      <c r="B704" t="s">
        <v>537</v>
      </c>
      <c r="C704" t="s">
        <v>576</v>
      </c>
      <c r="D704" t="s">
        <v>577</v>
      </c>
      <c r="E704" s="2">
        <v>74.326999999999998</v>
      </c>
      <c r="F704" s="2">
        <v>0</v>
      </c>
      <c r="G704" s="2">
        <v>66.012</v>
      </c>
      <c r="H704" s="2">
        <v>-68.051999999999893</v>
      </c>
      <c r="I704" s="1">
        <v>0.94406474094205295</v>
      </c>
      <c r="J704" s="1">
        <v>0.95778788327256503</v>
      </c>
      <c r="K704" s="1">
        <v>0.92392343237220398</v>
      </c>
      <c r="L704" s="1">
        <v>0.477929191842415</v>
      </c>
      <c r="M704" s="2"/>
      <c r="N704" s="2"/>
      <c r="Q704" s="1">
        <f t="shared" si="41"/>
        <v>70.169499999999971</v>
      </c>
      <c r="R704">
        <f t="shared" si="40"/>
        <v>71.189499999999938</v>
      </c>
      <c r="S704" s="1">
        <f t="shared" si="42"/>
        <v>68.672456957928802</v>
      </c>
      <c r="T704" s="1">
        <f t="shared" si="43"/>
        <v>35.52304304207118</v>
      </c>
    </row>
    <row r="705" spans="1:20" x14ac:dyDescent="0.3">
      <c r="A705" t="s">
        <v>359</v>
      </c>
      <c r="B705" t="s">
        <v>770</v>
      </c>
      <c r="C705" t="s">
        <v>574</v>
      </c>
      <c r="D705" t="s">
        <v>575</v>
      </c>
      <c r="E705" s="2">
        <v>248.21</v>
      </c>
      <c r="F705" s="2">
        <v>0</v>
      </c>
      <c r="G705" s="2">
        <v>171.59700000000001</v>
      </c>
      <c r="H705" s="2">
        <v>-154.38299999999899</v>
      </c>
      <c r="I705" s="1">
        <v>0.84566898996817197</v>
      </c>
      <c r="J705" s="1">
        <v>0.81099270778776</v>
      </c>
      <c r="K705" s="1">
        <v>0.48696619233843702</v>
      </c>
      <c r="L705" s="1">
        <v>0.66969550541749401</v>
      </c>
      <c r="M705" s="2"/>
      <c r="N705" s="2"/>
      <c r="Q705" s="1">
        <f t="shared" si="41"/>
        <v>209.90349999999998</v>
      </c>
      <c r="R705">
        <f t="shared" si="40"/>
        <v>201.29649999999992</v>
      </c>
      <c r="S705" s="1">
        <f t="shared" si="42"/>
        <v>120.86987860032346</v>
      </c>
      <c r="T705" s="1">
        <f t="shared" si="43"/>
        <v>166.2251213996762</v>
      </c>
    </row>
    <row r="706" spans="1:20" x14ac:dyDescent="0.3">
      <c r="A706" t="s">
        <v>359</v>
      </c>
      <c r="B706" t="s">
        <v>538</v>
      </c>
      <c r="C706" t="s">
        <v>574</v>
      </c>
      <c r="D706" t="s">
        <v>575</v>
      </c>
      <c r="E706" s="2">
        <v>112.631</v>
      </c>
      <c r="F706" s="2">
        <v>0</v>
      </c>
      <c r="G706" s="2">
        <v>68.016999999999996</v>
      </c>
      <c r="H706" s="2">
        <v>-66.262</v>
      </c>
      <c r="I706" s="1">
        <v>0.80194617822801895</v>
      </c>
      <c r="J706" s="1">
        <v>0.79415525033072598</v>
      </c>
      <c r="K706" s="1">
        <v>0.61164550454143596</v>
      </c>
      <c r="L706" s="1">
        <v>0.48445592401730803</v>
      </c>
      <c r="M706" s="2"/>
      <c r="N706" s="2"/>
      <c r="Q706" s="1">
        <f t="shared" si="41"/>
        <v>90.323999999999998</v>
      </c>
      <c r="R706">
        <f t="shared" ref="R706:R769" si="44">J706*E706</f>
        <v>89.4465</v>
      </c>
      <c r="S706" s="1">
        <f t="shared" si="42"/>
        <v>68.89024482200648</v>
      </c>
      <c r="T706" s="1">
        <f t="shared" si="43"/>
        <v>54.564755177993419</v>
      </c>
    </row>
    <row r="707" spans="1:20" x14ac:dyDescent="0.3">
      <c r="A707" t="s">
        <v>359</v>
      </c>
      <c r="B707" t="s">
        <v>539</v>
      </c>
      <c r="C707" t="s">
        <v>574</v>
      </c>
      <c r="D707" t="s">
        <v>575</v>
      </c>
      <c r="E707" s="2">
        <v>1435.4090000000001</v>
      </c>
      <c r="F707" s="2">
        <v>392.26900000000001</v>
      </c>
      <c r="G707" s="2">
        <v>550.67899999999997</v>
      </c>
      <c r="H707" s="2">
        <v>-537.91800000000001</v>
      </c>
      <c r="I707" s="1">
        <v>0.55517939486237</v>
      </c>
      <c r="J707" s="1">
        <v>0.55073432032263903</v>
      </c>
      <c r="K707" s="1">
        <v>0.37570956691073598</v>
      </c>
      <c r="L707" s="1">
        <v>0.36684429752789999</v>
      </c>
      <c r="M707" s="2"/>
      <c r="N707" s="2"/>
      <c r="Q707" s="1">
        <f t="shared" ref="Q707:Q770" si="45">I707*E707</f>
        <v>796.90949999999975</v>
      </c>
      <c r="R707">
        <f t="shared" si="44"/>
        <v>790.52899999999897</v>
      </c>
      <c r="S707" s="1">
        <f t="shared" ref="S707:S770" si="46">K707*E707</f>
        <v>539.29689372977271</v>
      </c>
      <c r="T707" s="1">
        <f t="shared" ref="T707:T770" si="47">L707*E707</f>
        <v>526.5716062702254</v>
      </c>
    </row>
    <row r="708" spans="1:20" x14ac:dyDescent="0.3">
      <c r="A708" t="s">
        <v>359</v>
      </c>
      <c r="B708" t="s">
        <v>540</v>
      </c>
      <c r="C708" t="s">
        <v>576</v>
      </c>
      <c r="D708" t="s">
        <v>14</v>
      </c>
      <c r="E708" s="2">
        <v>0</v>
      </c>
      <c r="F708" s="2">
        <v>0</v>
      </c>
      <c r="G708" s="2">
        <v>0</v>
      </c>
      <c r="H708" s="2">
        <v>0</v>
      </c>
      <c r="I708" s="1">
        <v>0</v>
      </c>
      <c r="J708" s="1">
        <v>0</v>
      </c>
      <c r="K708" s="1">
        <v>0</v>
      </c>
      <c r="L708" s="1">
        <v>0</v>
      </c>
      <c r="M708" s="2"/>
      <c r="N708" s="2"/>
      <c r="Q708" s="1">
        <f t="shared" si="45"/>
        <v>0</v>
      </c>
      <c r="R708">
        <f t="shared" si="44"/>
        <v>0</v>
      </c>
      <c r="S708" s="1">
        <f t="shared" si="46"/>
        <v>0</v>
      </c>
      <c r="T708" s="1">
        <f t="shared" si="47"/>
        <v>0</v>
      </c>
    </row>
    <row r="709" spans="1:20" x14ac:dyDescent="0.3">
      <c r="A709" t="s">
        <v>359</v>
      </c>
      <c r="B709" t="s">
        <v>771</v>
      </c>
      <c r="C709" t="s">
        <v>576</v>
      </c>
      <c r="D709" t="s">
        <v>577</v>
      </c>
      <c r="E709" s="2">
        <v>75.043000000000006</v>
      </c>
      <c r="F709" s="2">
        <v>0</v>
      </c>
      <c r="G709" s="2">
        <v>69.575999999999993</v>
      </c>
      <c r="H709" s="2">
        <v>-72.828000000000003</v>
      </c>
      <c r="I709" s="1">
        <v>0.96357421744866201</v>
      </c>
      <c r="J709" s="1">
        <v>0.98524179470436901</v>
      </c>
      <c r="K709" s="1">
        <v>0.95588087802691102</v>
      </c>
      <c r="L709" s="1">
        <v>0.492935134126121</v>
      </c>
      <c r="M709" s="2"/>
      <c r="N709" s="2"/>
      <c r="Q709" s="1">
        <f t="shared" si="45"/>
        <v>72.309499999999943</v>
      </c>
      <c r="R709">
        <f t="shared" si="44"/>
        <v>73.935499999999976</v>
      </c>
      <c r="S709" s="1">
        <f t="shared" si="46"/>
        <v>71.732168729773491</v>
      </c>
      <c r="T709" s="1">
        <f t="shared" si="47"/>
        <v>36.991331270226503</v>
      </c>
    </row>
    <row r="710" spans="1:20" x14ac:dyDescent="0.3">
      <c r="A710" t="s">
        <v>359</v>
      </c>
      <c r="B710" t="s">
        <v>541</v>
      </c>
      <c r="C710" t="s">
        <v>576</v>
      </c>
      <c r="D710" t="s">
        <v>14</v>
      </c>
      <c r="E710" s="2">
        <v>0</v>
      </c>
      <c r="F710" s="2">
        <v>0</v>
      </c>
      <c r="G710" s="2">
        <v>0</v>
      </c>
      <c r="H710" s="2">
        <v>0</v>
      </c>
      <c r="I710" s="1">
        <v>0</v>
      </c>
      <c r="J710" s="1">
        <v>0</v>
      </c>
      <c r="K710" s="1">
        <v>0</v>
      </c>
      <c r="L710" s="1">
        <v>0</v>
      </c>
      <c r="M710" s="2"/>
      <c r="N710" s="2"/>
      <c r="Q710" s="1">
        <f t="shared" si="45"/>
        <v>0</v>
      </c>
      <c r="R710">
        <f t="shared" si="44"/>
        <v>0</v>
      </c>
      <c r="S710" s="1">
        <f t="shared" si="46"/>
        <v>0</v>
      </c>
      <c r="T710" s="1">
        <f t="shared" si="47"/>
        <v>0</v>
      </c>
    </row>
    <row r="711" spans="1:20" x14ac:dyDescent="0.3">
      <c r="A711" t="s">
        <v>359</v>
      </c>
      <c r="B711" t="s">
        <v>772</v>
      </c>
      <c r="C711" t="s">
        <v>574</v>
      </c>
      <c r="D711" t="s">
        <v>575</v>
      </c>
      <c r="E711" s="2">
        <v>255.84399999999999</v>
      </c>
      <c r="F711" s="2">
        <v>0</v>
      </c>
      <c r="G711" s="2">
        <v>164.797</v>
      </c>
      <c r="H711" s="2">
        <v>-195.5</v>
      </c>
      <c r="I711" s="1">
        <v>0.82206539922765398</v>
      </c>
      <c r="J711" s="1">
        <v>0.88206876065102102</v>
      </c>
      <c r="K711" s="1">
        <v>0.65667135051046699</v>
      </c>
      <c r="L711" s="1">
        <v>0.54746280936820801</v>
      </c>
      <c r="M711" s="2"/>
      <c r="N711" s="2"/>
      <c r="Q711" s="1">
        <f t="shared" si="45"/>
        <v>210.3204999999999</v>
      </c>
      <c r="R711">
        <f t="shared" si="44"/>
        <v>225.67199999999983</v>
      </c>
      <c r="S711" s="1">
        <f t="shared" si="46"/>
        <v>168.00542499999992</v>
      </c>
      <c r="T711" s="1">
        <f t="shared" si="47"/>
        <v>140.06507499999981</v>
      </c>
    </row>
    <row r="712" spans="1:20" x14ac:dyDescent="0.3">
      <c r="A712" t="s">
        <v>359</v>
      </c>
      <c r="B712" t="s">
        <v>773</v>
      </c>
      <c r="C712" t="s">
        <v>576</v>
      </c>
      <c r="D712" t="s">
        <v>14</v>
      </c>
      <c r="E712" s="2">
        <v>0</v>
      </c>
      <c r="F712" s="2">
        <v>0</v>
      </c>
      <c r="G712" s="2">
        <v>0</v>
      </c>
      <c r="H712" s="2">
        <v>0</v>
      </c>
      <c r="I712" s="1">
        <v>0</v>
      </c>
      <c r="J712" s="1">
        <v>0</v>
      </c>
      <c r="K712" s="1">
        <v>0</v>
      </c>
      <c r="L712" s="1">
        <v>0</v>
      </c>
      <c r="M712" s="2"/>
      <c r="N712" s="2"/>
      <c r="Q712" s="1">
        <f t="shared" si="45"/>
        <v>0</v>
      </c>
      <c r="R712">
        <f t="shared" si="44"/>
        <v>0</v>
      </c>
      <c r="S712" s="1">
        <f t="shared" si="46"/>
        <v>0</v>
      </c>
      <c r="T712" s="1">
        <f t="shared" si="47"/>
        <v>0</v>
      </c>
    </row>
    <row r="713" spans="1:20" x14ac:dyDescent="0.3">
      <c r="A713" t="s">
        <v>359</v>
      </c>
      <c r="B713" t="s">
        <v>542</v>
      </c>
      <c r="C713" t="s">
        <v>574</v>
      </c>
      <c r="D713" t="s">
        <v>575</v>
      </c>
      <c r="E713" s="2">
        <v>106.59699999999999</v>
      </c>
      <c r="F713" s="2">
        <v>0</v>
      </c>
      <c r="G713" s="2">
        <v>56.8</v>
      </c>
      <c r="H713" s="2">
        <v>-63.331000000000003</v>
      </c>
      <c r="I713" s="1">
        <v>0.76642400818034195</v>
      </c>
      <c r="J713" s="1">
        <v>0.79705807855755795</v>
      </c>
      <c r="K713" s="1">
        <v>0.54463876520626797</v>
      </c>
      <c r="L713" s="1">
        <v>0.51884332153163204</v>
      </c>
      <c r="M713" s="2"/>
      <c r="N713" s="2"/>
      <c r="Q713" s="1">
        <f t="shared" si="45"/>
        <v>81.69849999999991</v>
      </c>
      <c r="R713">
        <f t="shared" si="44"/>
        <v>84.963999999999999</v>
      </c>
      <c r="S713" s="1">
        <f t="shared" si="46"/>
        <v>58.056858454692545</v>
      </c>
      <c r="T713" s="1">
        <f t="shared" si="47"/>
        <v>55.307141545307374</v>
      </c>
    </row>
    <row r="714" spans="1:20" x14ac:dyDescent="0.3">
      <c r="A714" t="s">
        <v>359</v>
      </c>
      <c r="B714" t="s">
        <v>543</v>
      </c>
      <c r="C714" t="s">
        <v>574</v>
      </c>
      <c r="D714" t="s">
        <v>575</v>
      </c>
      <c r="E714" s="2">
        <v>0</v>
      </c>
      <c r="F714" s="2">
        <v>0</v>
      </c>
      <c r="G714" s="2">
        <v>0</v>
      </c>
      <c r="H714" s="2">
        <v>0</v>
      </c>
      <c r="I714" s="1">
        <v>0</v>
      </c>
      <c r="J714" s="1">
        <v>0</v>
      </c>
      <c r="K714" s="1">
        <v>0</v>
      </c>
      <c r="L714" s="1">
        <v>0</v>
      </c>
      <c r="M714" s="2"/>
      <c r="N714" s="2"/>
      <c r="Q714" s="1">
        <f t="shared" si="45"/>
        <v>0</v>
      </c>
      <c r="R714">
        <f t="shared" si="44"/>
        <v>0</v>
      </c>
      <c r="S714" s="1">
        <f t="shared" si="46"/>
        <v>0</v>
      </c>
      <c r="T714" s="1">
        <f t="shared" si="47"/>
        <v>0</v>
      </c>
    </row>
    <row r="715" spans="1:20" x14ac:dyDescent="0.3">
      <c r="A715" t="s">
        <v>359</v>
      </c>
      <c r="B715" t="s">
        <v>774</v>
      </c>
      <c r="C715" t="s">
        <v>576</v>
      </c>
      <c r="D715" t="s">
        <v>14</v>
      </c>
      <c r="E715" s="2">
        <v>0</v>
      </c>
      <c r="F715" s="2">
        <v>0</v>
      </c>
      <c r="G715" s="2">
        <v>0</v>
      </c>
      <c r="H715" s="2">
        <v>0</v>
      </c>
      <c r="I715" s="1">
        <v>0</v>
      </c>
      <c r="J715" s="1">
        <v>0</v>
      </c>
      <c r="K715" s="1">
        <v>0</v>
      </c>
      <c r="L715" s="1">
        <v>0</v>
      </c>
      <c r="M715" s="2"/>
      <c r="N715" s="2"/>
      <c r="Q715" s="1">
        <f t="shared" si="45"/>
        <v>0</v>
      </c>
      <c r="R715">
        <f t="shared" si="44"/>
        <v>0</v>
      </c>
      <c r="S715" s="1">
        <f t="shared" si="46"/>
        <v>0</v>
      </c>
      <c r="T715" s="1">
        <f t="shared" si="47"/>
        <v>0</v>
      </c>
    </row>
    <row r="716" spans="1:20" x14ac:dyDescent="0.3">
      <c r="A716" t="s">
        <v>359</v>
      </c>
      <c r="B716" t="s">
        <v>544</v>
      </c>
      <c r="C716" t="s">
        <v>574</v>
      </c>
      <c r="D716" t="s">
        <v>575</v>
      </c>
      <c r="E716" s="2">
        <v>64.009</v>
      </c>
      <c r="F716" s="2">
        <v>0</v>
      </c>
      <c r="G716" s="2">
        <v>27.701999999999899</v>
      </c>
      <c r="H716" s="2">
        <v>-28.314</v>
      </c>
      <c r="I716" s="1">
        <v>0.71639144495305296</v>
      </c>
      <c r="J716" s="1">
        <v>0.72117202268431002</v>
      </c>
      <c r="K716" s="1">
        <v>0.53773206814413799</v>
      </c>
      <c r="L716" s="1">
        <v>0.39983139949322399</v>
      </c>
      <c r="M716" s="2"/>
      <c r="N716" s="2"/>
      <c r="Q716" s="1">
        <f t="shared" si="45"/>
        <v>45.855499999999964</v>
      </c>
      <c r="R716">
        <f t="shared" si="44"/>
        <v>46.161500000000004</v>
      </c>
      <c r="S716" s="1">
        <f t="shared" si="46"/>
        <v>34.419691949838132</v>
      </c>
      <c r="T716" s="1">
        <f t="shared" si="47"/>
        <v>25.592808050161775</v>
      </c>
    </row>
    <row r="717" spans="1:20" x14ac:dyDescent="0.3">
      <c r="A717" t="s">
        <v>359</v>
      </c>
      <c r="B717" t="s">
        <v>545</v>
      </c>
      <c r="C717" t="s">
        <v>574</v>
      </c>
      <c r="D717" t="s">
        <v>575</v>
      </c>
      <c r="E717" s="2">
        <v>135.47900000000001</v>
      </c>
      <c r="F717" s="2">
        <v>12.507</v>
      </c>
      <c r="G717" s="2">
        <v>56.091999999999999</v>
      </c>
      <c r="H717" s="2">
        <v>-69.158000000000001</v>
      </c>
      <c r="I717" s="1">
        <v>0.66085518788889797</v>
      </c>
      <c r="J717" s="1">
        <v>0.70907668347123898</v>
      </c>
      <c r="K717" s="1">
        <v>0.52717741116375905</v>
      </c>
      <c r="L717" s="1">
        <v>0.38891290541666901</v>
      </c>
      <c r="M717" s="2"/>
      <c r="N717" s="2"/>
      <c r="Q717" s="1">
        <f t="shared" si="45"/>
        <v>89.532000000000011</v>
      </c>
      <c r="R717">
        <f t="shared" si="44"/>
        <v>96.064999999999998</v>
      </c>
      <c r="S717" s="1">
        <f t="shared" si="46"/>
        <v>71.421468487054923</v>
      </c>
      <c r="T717" s="1">
        <f t="shared" si="47"/>
        <v>52.689531512944903</v>
      </c>
    </row>
    <row r="718" spans="1:20" x14ac:dyDescent="0.3">
      <c r="A718" t="s">
        <v>359</v>
      </c>
      <c r="B718" t="s">
        <v>546</v>
      </c>
      <c r="C718" t="s">
        <v>574</v>
      </c>
      <c r="D718" t="s">
        <v>575</v>
      </c>
      <c r="E718" s="2">
        <v>73.096999999999994</v>
      </c>
      <c r="F718" s="2">
        <v>0</v>
      </c>
      <c r="G718" s="2">
        <v>73.096999999999994</v>
      </c>
      <c r="H718" s="2">
        <v>-73.096999999999994</v>
      </c>
      <c r="I718" s="1">
        <v>1</v>
      </c>
      <c r="J718" s="1">
        <v>1</v>
      </c>
      <c r="K718" s="1">
        <v>0.86705634839778201</v>
      </c>
      <c r="L718" s="1">
        <v>0.63294365160221799</v>
      </c>
      <c r="M718" s="2"/>
      <c r="N718" s="2"/>
      <c r="Q718" s="1">
        <f t="shared" si="45"/>
        <v>73.096999999999994</v>
      </c>
      <c r="R718">
        <f t="shared" si="44"/>
        <v>73.096999999999994</v>
      </c>
      <c r="S718" s="1">
        <f t="shared" si="46"/>
        <v>63.379217898832664</v>
      </c>
      <c r="T718" s="1">
        <f t="shared" si="47"/>
        <v>46.266282101167327</v>
      </c>
    </row>
    <row r="719" spans="1:20" x14ac:dyDescent="0.3">
      <c r="A719" t="s">
        <v>359</v>
      </c>
      <c r="B719" t="s">
        <v>547</v>
      </c>
      <c r="C719" t="s">
        <v>574</v>
      </c>
      <c r="D719" t="s">
        <v>575</v>
      </c>
      <c r="E719" s="2">
        <v>56.171999999999997</v>
      </c>
      <c r="F719" s="2">
        <v>0</v>
      </c>
      <c r="G719" s="2">
        <v>29.720999999999901</v>
      </c>
      <c r="H719" s="2">
        <v>-52.765000000000001</v>
      </c>
      <c r="I719" s="1">
        <v>0.76455351420636597</v>
      </c>
      <c r="J719" s="1">
        <v>0.96967350281278897</v>
      </c>
      <c r="K719" s="1">
        <v>0.44350938587376199</v>
      </c>
      <c r="L719" s="1">
        <v>0.79071763114539295</v>
      </c>
      <c r="M719" s="2"/>
      <c r="N719" s="2"/>
      <c r="Q719" s="1">
        <f t="shared" si="45"/>
        <v>42.946499999999986</v>
      </c>
      <c r="R719">
        <f t="shared" si="44"/>
        <v>54.468499999999977</v>
      </c>
      <c r="S719" s="1">
        <f t="shared" si="46"/>
        <v>24.912809223300957</v>
      </c>
      <c r="T719" s="1">
        <f t="shared" si="47"/>
        <v>44.416190776699011</v>
      </c>
    </row>
    <row r="720" spans="1:20" x14ac:dyDescent="0.3">
      <c r="A720" t="s">
        <v>359</v>
      </c>
      <c r="B720" t="s">
        <v>548</v>
      </c>
      <c r="C720" t="s">
        <v>574</v>
      </c>
      <c r="D720" t="s">
        <v>575</v>
      </c>
      <c r="E720" s="2">
        <v>350</v>
      </c>
      <c r="F720" s="2">
        <v>0.128</v>
      </c>
      <c r="G720" s="2">
        <v>210.272999999999</v>
      </c>
      <c r="H720" s="2">
        <v>-215.24799999999999</v>
      </c>
      <c r="I720" s="1">
        <v>0.80020714285714201</v>
      </c>
      <c r="J720" s="1">
        <v>0.80731428571428498</v>
      </c>
      <c r="K720" s="1">
        <v>0.58263654230235695</v>
      </c>
      <c r="L720" s="1">
        <v>0.52506774341192697</v>
      </c>
      <c r="M720" s="2"/>
      <c r="N720" s="2"/>
      <c r="Q720" s="1">
        <f t="shared" si="45"/>
        <v>280.07249999999971</v>
      </c>
      <c r="R720">
        <f t="shared" si="44"/>
        <v>282.55999999999972</v>
      </c>
      <c r="S720" s="1">
        <f t="shared" si="46"/>
        <v>203.92278980582492</v>
      </c>
      <c r="T720" s="1">
        <f t="shared" si="47"/>
        <v>183.77371019417444</v>
      </c>
    </row>
    <row r="721" spans="1:20" x14ac:dyDescent="0.3">
      <c r="A721" t="s">
        <v>359</v>
      </c>
      <c r="B721" t="s">
        <v>549</v>
      </c>
      <c r="C721" t="s">
        <v>574</v>
      </c>
      <c r="D721" t="s">
        <v>575</v>
      </c>
      <c r="E721" s="2">
        <v>0</v>
      </c>
      <c r="F721" s="2">
        <v>0</v>
      </c>
      <c r="G721" s="2">
        <v>0</v>
      </c>
      <c r="H721" s="2">
        <v>0</v>
      </c>
      <c r="I721" s="1">
        <v>0</v>
      </c>
      <c r="J721" s="1">
        <v>0</v>
      </c>
      <c r="K721" s="1">
        <v>0</v>
      </c>
      <c r="L721" s="1">
        <v>0</v>
      </c>
      <c r="M721" s="2"/>
      <c r="N721" s="2"/>
      <c r="Q721" s="1">
        <f t="shared" si="45"/>
        <v>0</v>
      </c>
      <c r="R721">
        <f t="shared" si="44"/>
        <v>0</v>
      </c>
      <c r="S721" s="1">
        <f t="shared" si="46"/>
        <v>0</v>
      </c>
      <c r="T721" s="1">
        <f t="shared" si="47"/>
        <v>0</v>
      </c>
    </row>
    <row r="722" spans="1:20" x14ac:dyDescent="0.3">
      <c r="A722" t="s">
        <v>359</v>
      </c>
      <c r="B722" t="s">
        <v>550</v>
      </c>
      <c r="C722" t="s">
        <v>574</v>
      </c>
      <c r="D722" t="s">
        <v>575</v>
      </c>
      <c r="E722" s="2">
        <v>116.00700000000001</v>
      </c>
      <c r="F722" s="2">
        <v>0</v>
      </c>
      <c r="G722" s="2">
        <v>65.77</v>
      </c>
      <c r="H722" s="2">
        <v>-62.942</v>
      </c>
      <c r="I722" s="1">
        <v>0.78347427310420903</v>
      </c>
      <c r="J722" s="1">
        <v>0.77128535347004901</v>
      </c>
      <c r="K722" s="1">
        <v>0.54662078023525096</v>
      </c>
      <c r="L722" s="1">
        <v>0.50813884633900697</v>
      </c>
      <c r="M722" s="2"/>
      <c r="N722" s="2"/>
      <c r="Q722" s="1">
        <f t="shared" si="45"/>
        <v>90.888499999999979</v>
      </c>
      <c r="R722">
        <f t="shared" si="44"/>
        <v>89.474499999999978</v>
      </c>
      <c r="S722" s="1">
        <f t="shared" si="46"/>
        <v>63.41183685275076</v>
      </c>
      <c r="T722" s="1">
        <f t="shared" si="47"/>
        <v>58.94766314724918</v>
      </c>
    </row>
    <row r="723" spans="1:20" x14ac:dyDescent="0.3">
      <c r="A723" t="s">
        <v>359</v>
      </c>
      <c r="B723" t="s">
        <v>775</v>
      </c>
      <c r="C723" t="s">
        <v>574</v>
      </c>
      <c r="D723" t="s">
        <v>575</v>
      </c>
      <c r="E723" s="2">
        <v>46.021999999999998</v>
      </c>
      <c r="F723" s="2">
        <v>0</v>
      </c>
      <c r="G723" s="2">
        <v>41.164999999999999</v>
      </c>
      <c r="H723" s="2">
        <v>-43.131</v>
      </c>
      <c r="I723" s="1">
        <v>0.94723175872408805</v>
      </c>
      <c r="J723" s="1">
        <v>0.96859110860023401</v>
      </c>
      <c r="K723" s="1">
        <v>0.71398557943091501</v>
      </c>
      <c r="L723" s="1">
        <v>0.70183728789340705</v>
      </c>
      <c r="M723" s="2"/>
      <c r="N723" s="2"/>
      <c r="Q723" s="1">
        <f t="shared" si="45"/>
        <v>43.593499999999977</v>
      </c>
      <c r="R723">
        <f t="shared" si="44"/>
        <v>44.576499999999967</v>
      </c>
      <c r="S723" s="1">
        <f t="shared" si="46"/>
        <v>32.859044336569568</v>
      </c>
      <c r="T723" s="1">
        <f t="shared" si="47"/>
        <v>32.299955663430381</v>
      </c>
    </row>
    <row r="724" spans="1:20" x14ac:dyDescent="0.3">
      <c r="A724" t="s">
        <v>359</v>
      </c>
      <c r="B724" t="s">
        <v>551</v>
      </c>
      <c r="C724" t="s">
        <v>574</v>
      </c>
      <c r="D724" t="s">
        <v>575</v>
      </c>
      <c r="E724" s="2">
        <v>100.131</v>
      </c>
      <c r="F724" s="2">
        <v>0</v>
      </c>
      <c r="G724" s="2">
        <v>58.097000000000001</v>
      </c>
      <c r="H724" s="2">
        <v>-53.601999999999997</v>
      </c>
      <c r="I724" s="1">
        <v>0.79010496249912598</v>
      </c>
      <c r="J724" s="1">
        <v>0.76765936623023801</v>
      </c>
      <c r="K724" s="1">
        <v>0.54285266721307002</v>
      </c>
      <c r="L724" s="1">
        <v>0.51491166151629397</v>
      </c>
      <c r="M724" s="2"/>
      <c r="N724" s="2"/>
      <c r="Q724" s="1">
        <f t="shared" si="45"/>
        <v>79.11399999999999</v>
      </c>
      <c r="R724">
        <f t="shared" si="44"/>
        <v>76.866499999999959</v>
      </c>
      <c r="S724" s="1">
        <f t="shared" si="46"/>
        <v>54.356380420711915</v>
      </c>
      <c r="T724" s="1">
        <f t="shared" si="47"/>
        <v>51.558619579288035</v>
      </c>
    </row>
    <row r="725" spans="1:20" x14ac:dyDescent="0.3">
      <c r="A725" t="s">
        <v>359</v>
      </c>
      <c r="B725" t="s">
        <v>552</v>
      </c>
      <c r="C725" t="s">
        <v>574</v>
      </c>
      <c r="D725" t="s">
        <v>575</v>
      </c>
      <c r="E725" s="2">
        <v>70.424000000000007</v>
      </c>
      <c r="F725" s="2">
        <v>0</v>
      </c>
      <c r="G725" s="2">
        <v>34.325999999999901</v>
      </c>
      <c r="H725" s="2">
        <v>-35.332000000000001</v>
      </c>
      <c r="I725" s="1">
        <v>0.74370953084175795</v>
      </c>
      <c r="J725" s="1">
        <v>0.75085198227876804</v>
      </c>
      <c r="K725" s="1">
        <v>0.49420283099373602</v>
      </c>
      <c r="L725" s="1">
        <v>0.50035868212679002</v>
      </c>
      <c r="M725" s="2"/>
      <c r="N725" s="2"/>
      <c r="Q725" s="1">
        <f t="shared" si="45"/>
        <v>52.374999999999964</v>
      </c>
      <c r="R725">
        <f t="shared" si="44"/>
        <v>52.877999999999965</v>
      </c>
      <c r="S725" s="1">
        <f t="shared" si="46"/>
        <v>34.803740169902866</v>
      </c>
      <c r="T725" s="1">
        <f t="shared" si="47"/>
        <v>35.237259830097067</v>
      </c>
    </row>
    <row r="726" spans="1:20" x14ac:dyDescent="0.3">
      <c r="A726" t="s">
        <v>359</v>
      </c>
      <c r="B726" t="s">
        <v>553</v>
      </c>
      <c r="C726" t="s">
        <v>574</v>
      </c>
      <c r="D726" t="s">
        <v>575</v>
      </c>
      <c r="E726" s="2">
        <v>91.843999999999994</v>
      </c>
      <c r="F726" s="2">
        <v>0</v>
      </c>
      <c r="G726" s="2">
        <v>45.688000000000002</v>
      </c>
      <c r="H726" s="2">
        <v>-47.021999999999998</v>
      </c>
      <c r="I726" s="1">
        <v>0.74872610077958202</v>
      </c>
      <c r="J726" s="1">
        <v>0.75598841513871295</v>
      </c>
      <c r="K726" s="1">
        <v>0.48319630319048101</v>
      </c>
      <c r="L726" s="1">
        <v>0.52151821272781496</v>
      </c>
      <c r="M726" s="2"/>
      <c r="N726" s="2"/>
      <c r="Q726" s="1">
        <f t="shared" si="45"/>
        <v>68.76599999999992</v>
      </c>
      <c r="R726">
        <f t="shared" si="44"/>
        <v>69.43299999999995</v>
      </c>
      <c r="S726" s="1">
        <f t="shared" si="46"/>
        <v>44.378681270226537</v>
      </c>
      <c r="T726" s="1">
        <f t="shared" si="47"/>
        <v>47.898318729773436</v>
      </c>
    </row>
    <row r="727" spans="1:20" x14ac:dyDescent="0.3">
      <c r="A727" t="s">
        <v>359</v>
      </c>
      <c r="B727" t="s">
        <v>554</v>
      </c>
      <c r="C727" t="s">
        <v>574</v>
      </c>
      <c r="D727" t="s">
        <v>575</v>
      </c>
      <c r="E727" s="2">
        <v>212.29499999999999</v>
      </c>
      <c r="F727" s="2">
        <v>1.1299999999999999</v>
      </c>
      <c r="G727" s="2">
        <v>147.16800000000001</v>
      </c>
      <c r="H727" s="2">
        <v>-124.652999999999</v>
      </c>
      <c r="I727" s="1">
        <v>0.843950634729974</v>
      </c>
      <c r="J727" s="1">
        <v>0.79092300807838101</v>
      </c>
      <c r="K727" s="1">
        <v>0.62760292548737795</v>
      </c>
      <c r="L727" s="1">
        <v>0.50993210830993096</v>
      </c>
      <c r="M727" s="2"/>
      <c r="N727" s="2"/>
      <c r="Q727" s="1">
        <f t="shared" si="45"/>
        <v>179.16649999999981</v>
      </c>
      <c r="R727">
        <f t="shared" si="44"/>
        <v>167.90899999999988</v>
      </c>
      <c r="S727" s="1">
        <f t="shared" si="46"/>
        <v>133.23696306634289</v>
      </c>
      <c r="T727" s="1">
        <f t="shared" si="47"/>
        <v>108.25603693365679</v>
      </c>
    </row>
    <row r="728" spans="1:20" x14ac:dyDescent="0.3">
      <c r="A728" t="s">
        <v>359</v>
      </c>
      <c r="B728" t="s">
        <v>555</v>
      </c>
      <c r="C728" t="s">
        <v>574</v>
      </c>
      <c r="D728" t="s">
        <v>575</v>
      </c>
      <c r="E728" s="2">
        <v>47.223999999999997</v>
      </c>
      <c r="F728" s="2">
        <v>0</v>
      </c>
      <c r="G728" s="2">
        <v>17.489999999999998</v>
      </c>
      <c r="H728" s="2">
        <v>-32.256999999999998</v>
      </c>
      <c r="I728" s="1">
        <v>0.68518126376418698</v>
      </c>
      <c r="J728" s="1">
        <v>0.84153184821277305</v>
      </c>
      <c r="K728" s="1">
        <v>0.43725489586365701</v>
      </c>
      <c r="L728" s="1">
        <v>0.58945821611330296</v>
      </c>
      <c r="M728" s="2"/>
      <c r="N728" s="2"/>
      <c r="Q728" s="1">
        <f t="shared" si="45"/>
        <v>32.356999999999964</v>
      </c>
      <c r="R728">
        <f t="shared" si="44"/>
        <v>39.74049999999999</v>
      </c>
      <c r="S728" s="1">
        <f t="shared" si="46"/>
        <v>20.648925202265339</v>
      </c>
      <c r="T728" s="1">
        <f t="shared" si="47"/>
        <v>27.836574797734617</v>
      </c>
    </row>
    <row r="729" spans="1:20" x14ac:dyDescent="0.3">
      <c r="A729" t="s">
        <v>359</v>
      </c>
      <c r="B729" t="s">
        <v>556</v>
      </c>
      <c r="C729" t="s">
        <v>574</v>
      </c>
      <c r="D729" t="s">
        <v>575</v>
      </c>
      <c r="E729" s="2">
        <v>62.033000000000001</v>
      </c>
      <c r="F729" s="2">
        <v>0</v>
      </c>
      <c r="G729" s="2">
        <v>55.426000000000002</v>
      </c>
      <c r="H729" s="2">
        <v>-57.03</v>
      </c>
      <c r="I729" s="1">
        <v>0.94674608676027205</v>
      </c>
      <c r="J729" s="1">
        <v>0.95967468927828703</v>
      </c>
      <c r="K729" s="1">
        <v>0.81863848162140596</v>
      </c>
      <c r="L729" s="1">
        <v>0.58778229441715302</v>
      </c>
      <c r="M729" s="2"/>
      <c r="N729" s="2"/>
      <c r="Q729" s="1">
        <f t="shared" si="45"/>
        <v>58.729499999999959</v>
      </c>
      <c r="R729">
        <f t="shared" si="44"/>
        <v>59.53149999999998</v>
      </c>
      <c r="S729" s="1">
        <f t="shared" si="46"/>
        <v>50.782600930420678</v>
      </c>
      <c r="T729" s="1">
        <f t="shared" si="47"/>
        <v>36.461899069579253</v>
      </c>
    </row>
    <row r="730" spans="1:20" x14ac:dyDescent="0.3">
      <c r="A730" t="s">
        <v>359</v>
      </c>
      <c r="B730" t="s">
        <v>557</v>
      </c>
      <c r="C730" t="s">
        <v>576</v>
      </c>
      <c r="D730" t="s">
        <v>577</v>
      </c>
      <c r="E730" s="2">
        <v>502.26799999999997</v>
      </c>
      <c r="F730" s="2">
        <v>0</v>
      </c>
      <c r="G730" s="2">
        <v>197.797</v>
      </c>
      <c r="H730" s="2">
        <v>-361.40599999999898</v>
      </c>
      <c r="I730" s="1">
        <v>0.69690384416287698</v>
      </c>
      <c r="J730" s="1">
        <v>0.85977406484187702</v>
      </c>
      <c r="K730" s="1">
        <v>0.65613950887383199</v>
      </c>
      <c r="L730" s="1">
        <v>0.40053840013092201</v>
      </c>
      <c r="M730" s="2"/>
      <c r="N730" s="2"/>
      <c r="Q730" s="1">
        <f t="shared" si="45"/>
        <v>350.03249999999986</v>
      </c>
      <c r="R730">
        <f t="shared" si="44"/>
        <v>431.83699999999988</v>
      </c>
      <c r="S730" s="1">
        <f t="shared" si="46"/>
        <v>329.55787884304181</v>
      </c>
      <c r="T730" s="1">
        <f t="shared" si="47"/>
        <v>201.17762115695794</v>
      </c>
    </row>
    <row r="731" spans="1:20" x14ac:dyDescent="0.3">
      <c r="A731" t="s">
        <v>359</v>
      </c>
      <c r="B731" t="s">
        <v>558</v>
      </c>
      <c r="C731" t="s">
        <v>576</v>
      </c>
      <c r="D731" t="s">
        <v>14</v>
      </c>
      <c r="E731" s="2">
        <v>58.851999999999997</v>
      </c>
      <c r="F731" s="2">
        <v>0</v>
      </c>
      <c r="G731" s="2">
        <v>25.515999999999998</v>
      </c>
      <c r="H731" s="2">
        <v>-31.742999999999999</v>
      </c>
      <c r="I731" s="1">
        <v>0.71678107795826795</v>
      </c>
      <c r="J731" s="1">
        <v>0.76968497247332202</v>
      </c>
      <c r="K731" s="1">
        <v>0.53978396348822499</v>
      </c>
      <c r="L731" s="1">
        <v>0.44668208694336498</v>
      </c>
      <c r="M731" s="2"/>
      <c r="N731" s="2"/>
      <c r="Q731" s="1">
        <f t="shared" si="45"/>
        <v>42.183999999999983</v>
      </c>
      <c r="R731">
        <f t="shared" si="44"/>
        <v>45.297499999999943</v>
      </c>
      <c r="S731" s="1">
        <f t="shared" si="46"/>
        <v>31.767365819209015</v>
      </c>
      <c r="T731" s="1">
        <f t="shared" si="47"/>
        <v>26.288134180790912</v>
      </c>
    </row>
    <row r="732" spans="1:20" x14ac:dyDescent="0.3">
      <c r="A732" t="s">
        <v>359</v>
      </c>
      <c r="B732" t="s">
        <v>776</v>
      </c>
      <c r="C732" t="s">
        <v>576</v>
      </c>
      <c r="D732" t="s">
        <v>14</v>
      </c>
      <c r="E732" s="2">
        <v>41.709000000000003</v>
      </c>
      <c r="F732" s="2">
        <v>0</v>
      </c>
      <c r="G732" s="2">
        <v>37.351999999999997</v>
      </c>
      <c r="H732" s="2">
        <v>-41</v>
      </c>
      <c r="I732" s="1">
        <v>0.94776906662830496</v>
      </c>
      <c r="J732" s="1">
        <v>0.99150063535447897</v>
      </c>
      <c r="K732" s="1">
        <v>0.70573780825089405</v>
      </c>
      <c r="L732" s="1">
        <v>0.73353189373188998</v>
      </c>
      <c r="M732" s="2"/>
      <c r="N732" s="2"/>
      <c r="Q732" s="1">
        <f t="shared" si="45"/>
        <v>39.530499999999975</v>
      </c>
      <c r="R732">
        <f t="shared" si="44"/>
        <v>41.354499999999966</v>
      </c>
      <c r="S732" s="1">
        <f t="shared" si="46"/>
        <v>29.435618244336542</v>
      </c>
      <c r="T732" s="1">
        <f t="shared" si="47"/>
        <v>30.594881755663401</v>
      </c>
    </row>
    <row r="733" spans="1:20" x14ac:dyDescent="0.3">
      <c r="A733" t="s">
        <v>359</v>
      </c>
      <c r="B733" t="s">
        <v>777</v>
      </c>
      <c r="C733" t="s">
        <v>574</v>
      </c>
      <c r="D733" t="s">
        <v>575</v>
      </c>
      <c r="E733" s="2">
        <v>3484.3939999999998</v>
      </c>
      <c r="F733" s="2">
        <v>0.53900000000000003</v>
      </c>
      <c r="G733" s="2">
        <v>1191.4579999999901</v>
      </c>
      <c r="H733" s="2">
        <v>-1136.759</v>
      </c>
      <c r="I733" s="1">
        <v>0.67089327441156099</v>
      </c>
      <c r="J733" s="1">
        <v>0.66304413335575696</v>
      </c>
      <c r="K733" s="1">
        <v>0.38354003298262601</v>
      </c>
      <c r="L733" s="1">
        <v>0.45047471965441699</v>
      </c>
      <c r="M733" s="2"/>
      <c r="N733" s="2"/>
      <c r="Q733" s="1">
        <f t="shared" si="45"/>
        <v>2337.6564999999964</v>
      </c>
      <c r="R733">
        <f t="shared" si="44"/>
        <v>2310.3069999999993</v>
      </c>
      <c r="S733" s="1">
        <f t="shared" si="46"/>
        <v>1336.4045896844641</v>
      </c>
      <c r="T733" s="1">
        <f t="shared" si="47"/>
        <v>1569.6314103155325</v>
      </c>
    </row>
    <row r="734" spans="1:20" x14ac:dyDescent="0.3">
      <c r="A734" t="s">
        <v>359</v>
      </c>
      <c r="B734" t="s">
        <v>778</v>
      </c>
      <c r="C734" t="s">
        <v>576</v>
      </c>
      <c r="D734" t="s">
        <v>577</v>
      </c>
      <c r="E734" s="2">
        <v>368.75</v>
      </c>
      <c r="F734" s="2">
        <v>0</v>
      </c>
      <c r="G734" s="2">
        <v>275.71899999999999</v>
      </c>
      <c r="H734" s="2">
        <v>-332.73500000000001</v>
      </c>
      <c r="I734" s="1">
        <v>0.87385627118644005</v>
      </c>
      <c r="J734" s="1">
        <v>0.951166101694915</v>
      </c>
      <c r="K734" s="1">
        <v>0.84938233810542396</v>
      </c>
      <c r="L734" s="1">
        <v>0.47564003477593098</v>
      </c>
      <c r="M734" s="2"/>
      <c r="N734" s="2"/>
      <c r="Q734" s="1">
        <f t="shared" si="45"/>
        <v>322.23449999999974</v>
      </c>
      <c r="R734">
        <f t="shared" si="44"/>
        <v>350.74249999999989</v>
      </c>
      <c r="S734" s="1">
        <f t="shared" si="46"/>
        <v>313.20973717637509</v>
      </c>
      <c r="T734" s="1">
        <f t="shared" si="47"/>
        <v>175.39226282362455</v>
      </c>
    </row>
    <row r="735" spans="1:20" x14ac:dyDescent="0.3">
      <c r="A735" t="s">
        <v>359</v>
      </c>
      <c r="B735" t="s">
        <v>559</v>
      </c>
      <c r="C735" t="s">
        <v>574</v>
      </c>
      <c r="D735" t="s">
        <v>575</v>
      </c>
      <c r="E735" s="2">
        <v>1165.433</v>
      </c>
      <c r="F735" s="2">
        <v>0</v>
      </c>
      <c r="G735" s="2">
        <v>729.695999999999</v>
      </c>
      <c r="H735" s="2">
        <v>-736.55899999999997</v>
      </c>
      <c r="I735" s="1">
        <v>0.81305789350395896</v>
      </c>
      <c r="J735" s="1">
        <v>0.81600229271009095</v>
      </c>
      <c r="K735" s="1">
        <v>0.54842993119989702</v>
      </c>
      <c r="L735" s="1">
        <v>0.580630255014153</v>
      </c>
      <c r="M735" s="2"/>
      <c r="N735" s="2"/>
      <c r="Q735" s="1">
        <f t="shared" si="45"/>
        <v>947.56449999999938</v>
      </c>
      <c r="R735">
        <f t="shared" si="44"/>
        <v>950.99599999999941</v>
      </c>
      <c r="S735" s="1">
        <f t="shared" si="46"/>
        <v>639.15834000808957</v>
      </c>
      <c r="T735" s="1">
        <f t="shared" si="47"/>
        <v>676.68565999190935</v>
      </c>
    </row>
    <row r="736" spans="1:20" x14ac:dyDescent="0.3">
      <c r="A736" t="s">
        <v>359</v>
      </c>
      <c r="B736" t="s">
        <v>779</v>
      </c>
      <c r="C736" t="s">
        <v>574</v>
      </c>
      <c r="D736" t="s">
        <v>575</v>
      </c>
      <c r="E736" s="2">
        <v>197.47</v>
      </c>
      <c r="F736" s="2">
        <v>0.39</v>
      </c>
      <c r="G736" s="2">
        <v>129.51499999999999</v>
      </c>
      <c r="H736" s="2">
        <v>-132.792</v>
      </c>
      <c r="I736" s="1">
        <v>0.82694839722489499</v>
      </c>
      <c r="J736" s="1">
        <v>0.83524586013065205</v>
      </c>
      <c r="K736" s="1">
        <v>0.670967329968437</v>
      </c>
      <c r="L736" s="1">
        <v>0.49221441915801201</v>
      </c>
      <c r="M736" s="2"/>
      <c r="N736" s="2"/>
      <c r="Q736" s="1">
        <f t="shared" si="45"/>
        <v>163.29750000000001</v>
      </c>
      <c r="R736">
        <f t="shared" si="44"/>
        <v>164.93599999999986</v>
      </c>
      <c r="S736" s="1">
        <f t="shared" si="46"/>
        <v>132.49591864886725</v>
      </c>
      <c r="T736" s="1">
        <f t="shared" si="47"/>
        <v>97.197581351132627</v>
      </c>
    </row>
    <row r="737" spans="1:20" x14ac:dyDescent="0.3">
      <c r="A737" t="s">
        <v>359</v>
      </c>
      <c r="B737" t="s">
        <v>780</v>
      </c>
      <c r="C737" t="s">
        <v>574</v>
      </c>
      <c r="D737" t="s">
        <v>575</v>
      </c>
      <c r="E737" s="2">
        <v>307.21899999999999</v>
      </c>
      <c r="F737" s="2">
        <v>0</v>
      </c>
      <c r="G737" s="2">
        <v>290.76299999999998</v>
      </c>
      <c r="H737" s="2">
        <v>-290.05200000000002</v>
      </c>
      <c r="I737" s="1">
        <v>0.97321780228436305</v>
      </c>
      <c r="J737" s="1">
        <v>0.97206064729069397</v>
      </c>
      <c r="K737" s="1">
        <v>0.770704745676979</v>
      </c>
      <c r="L737" s="1">
        <v>0.67457370389807902</v>
      </c>
      <c r="M737" s="2"/>
      <c r="N737" s="2"/>
      <c r="Q737" s="1">
        <f t="shared" si="45"/>
        <v>298.9909999999997</v>
      </c>
      <c r="R737">
        <f t="shared" si="44"/>
        <v>298.63549999999969</v>
      </c>
      <c r="S737" s="1">
        <f t="shared" si="46"/>
        <v>236.7751412621358</v>
      </c>
      <c r="T737" s="1">
        <f t="shared" si="47"/>
        <v>207.24185873786394</v>
      </c>
    </row>
    <row r="738" spans="1:20" x14ac:dyDescent="0.3">
      <c r="A738" t="s">
        <v>359</v>
      </c>
      <c r="B738" t="s">
        <v>560</v>
      </c>
      <c r="C738" t="s">
        <v>574</v>
      </c>
      <c r="D738" t="s">
        <v>575</v>
      </c>
      <c r="E738" s="2">
        <v>377.63200000000001</v>
      </c>
      <c r="F738" s="2">
        <v>0</v>
      </c>
      <c r="G738" s="2">
        <v>208.935</v>
      </c>
      <c r="H738" s="2">
        <v>-269.981999999999</v>
      </c>
      <c r="I738" s="1">
        <v>0.77663836751122695</v>
      </c>
      <c r="J738" s="1">
        <v>0.85746705787645106</v>
      </c>
      <c r="K738" s="1">
        <v>0.54900261262724104</v>
      </c>
      <c r="L738" s="1">
        <v>0.58510281276043696</v>
      </c>
      <c r="M738" s="2"/>
      <c r="N738" s="2"/>
      <c r="Q738" s="1">
        <f t="shared" si="45"/>
        <v>293.28349999999966</v>
      </c>
      <c r="R738">
        <f t="shared" si="44"/>
        <v>323.80699999999996</v>
      </c>
      <c r="S738" s="1">
        <f t="shared" si="46"/>
        <v>207.32095461165028</v>
      </c>
      <c r="T738" s="1">
        <f t="shared" si="47"/>
        <v>220.95354538834934</v>
      </c>
    </row>
    <row r="739" spans="1:20" x14ac:dyDescent="0.3">
      <c r="A739" t="s">
        <v>359</v>
      </c>
      <c r="B739" t="s">
        <v>561</v>
      </c>
      <c r="C739" t="s">
        <v>574</v>
      </c>
      <c r="D739" t="s">
        <v>575</v>
      </c>
      <c r="E739" s="2">
        <v>58.387</v>
      </c>
      <c r="F739" s="2">
        <v>0</v>
      </c>
      <c r="G739" s="2">
        <v>48.143000000000001</v>
      </c>
      <c r="H739" s="2">
        <v>-47.783999999999999</v>
      </c>
      <c r="I739" s="1">
        <v>0.912274992720982</v>
      </c>
      <c r="J739" s="1">
        <v>0.90920067823316797</v>
      </c>
      <c r="K739" s="1">
        <v>0.63536524760604396</v>
      </c>
      <c r="L739" s="1">
        <v>0.68611042334810601</v>
      </c>
      <c r="M739" s="2"/>
      <c r="N739" s="2"/>
      <c r="Q739" s="1">
        <f t="shared" si="45"/>
        <v>53.264999999999979</v>
      </c>
      <c r="R739">
        <f t="shared" si="44"/>
        <v>53.085499999999982</v>
      </c>
      <c r="S739" s="1">
        <f t="shared" si="46"/>
        <v>37.097070711974091</v>
      </c>
      <c r="T739" s="1">
        <f t="shared" si="47"/>
        <v>40.059929288025863</v>
      </c>
    </row>
    <row r="740" spans="1:20" x14ac:dyDescent="0.3">
      <c r="A740" t="s">
        <v>359</v>
      </c>
      <c r="B740" t="s">
        <v>781</v>
      </c>
      <c r="C740" t="s">
        <v>574</v>
      </c>
      <c r="D740" t="s">
        <v>575</v>
      </c>
      <c r="E740" s="2">
        <v>40.789000000000001</v>
      </c>
      <c r="F740" s="2">
        <v>0</v>
      </c>
      <c r="G740" s="2">
        <v>15.757</v>
      </c>
      <c r="H740" s="2">
        <v>-22.155000000000001</v>
      </c>
      <c r="I740" s="1">
        <v>0.69315256564269701</v>
      </c>
      <c r="J740" s="1">
        <v>0.77158057319375295</v>
      </c>
      <c r="K740" s="1">
        <v>0.48448293197425102</v>
      </c>
      <c r="L740" s="1">
        <v>0.48025020686219899</v>
      </c>
      <c r="M740" s="2"/>
      <c r="N740" s="2"/>
      <c r="Q740" s="1">
        <f t="shared" si="45"/>
        <v>28.272999999999968</v>
      </c>
      <c r="R740">
        <f t="shared" si="44"/>
        <v>31.471999999999991</v>
      </c>
      <c r="S740" s="1">
        <f t="shared" si="46"/>
        <v>19.761574312297725</v>
      </c>
      <c r="T740" s="1">
        <f t="shared" si="47"/>
        <v>19.588925687702236</v>
      </c>
    </row>
    <row r="741" spans="1:20" x14ac:dyDescent="0.3">
      <c r="A741" t="s">
        <v>359</v>
      </c>
      <c r="B741" t="s">
        <v>782</v>
      </c>
      <c r="C741" t="s">
        <v>574</v>
      </c>
      <c r="D741" t="s">
        <v>575</v>
      </c>
      <c r="E741" s="2">
        <v>72.882999999999996</v>
      </c>
      <c r="F741" s="2">
        <v>3.2000000000000001E-2</v>
      </c>
      <c r="G741" s="2">
        <v>47.609000000000002</v>
      </c>
      <c r="H741" s="2">
        <v>-54.194000000000003</v>
      </c>
      <c r="I741" s="1">
        <v>0.82639298601868705</v>
      </c>
      <c r="J741" s="1">
        <v>0.871568129742189</v>
      </c>
      <c r="K741" s="1">
        <v>0.59025482145498298</v>
      </c>
      <c r="L741" s="1">
        <v>0.60792582423742703</v>
      </c>
      <c r="M741" s="2"/>
      <c r="N741" s="2"/>
      <c r="Q741" s="1">
        <f t="shared" si="45"/>
        <v>60.229999999999961</v>
      </c>
      <c r="R741">
        <f t="shared" si="44"/>
        <v>63.522499999999958</v>
      </c>
      <c r="S741" s="1">
        <f t="shared" si="46"/>
        <v>43.019542152103519</v>
      </c>
      <c r="T741" s="1">
        <f t="shared" si="47"/>
        <v>44.307457847896394</v>
      </c>
    </row>
    <row r="742" spans="1:20" x14ac:dyDescent="0.3">
      <c r="A742" t="s">
        <v>359</v>
      </c>
      <c r="B742" t="s">
        <v>783</v>
      </c>
      <c r="C742" t="s">
        <v>574</v>
      </c>
      <c r="D742" t="s">
        <v>575</v>
      </c>
      <c r="E742" s="2">
        <v>46.353000000000002</v>
      </c>
      <c r="F742" s="2">
        <v>0</v>
      </c>
      <c r="G742" s="2">
        <v>33.265000000000001</v>
      </c>
      <c r="H742" s="2">
        <v>-35.115000000000002</v>
      </c>
      <c r="I742" s="1">
        <v>0.85882251418462596</v>
      </c>
      <c r="J742" s="1">
        <v>0.87877807261665897</v>
      </c>
      <c r="K742" s="1">
        <v>0.55330611746344704</v>
      </c>
      <c r="L742" s="1">
        <v>0.684294469337838</v>
      </c>
      <c r="M742" s="2"/>
      <c r="N742" s="2"/>
      <c r="Q742" s="1">
        <f t="shared" si="45"/>
        <v>39.808999999999969</v>
      </c>
      <c r="R742">
        <f t="shared" si="44"/>
        <v>40.733999999999995</v>
      </c>
      <c r="S742" s="1">
        <f t="shared" si="46"/>
        <v>25.647398462783162</v>
      </c>
      <c r="T742" s="1">
        <f t="shared" si="47"/>
        <v>31.719101537216805</v>
      </c>
    </row>
    <row r="743" spans="1:20" x14ac:dyDescent="0.3">
      <c r="A743" t="s">
        <v>359</v>
      </c>
      <c r="B743" t="s">
        <v>784</v>
      </c>
      <c r="C743" t="s">
        <v>576</v>
      </c>
      <c r="D743" t="s">
        <v>14</v>
      </c>
      <c r="E743" s="2">
        <v>0</v>
      </c>
      <c r="F743" s="2">
        <v>0</v>
      </c>
      <c r="G743" s="2">
        <v>0</v>
      </c>
      <c r="H743" s="2">
        <v>0</v>
      </c>
      <c r="I743" s="1">
        <v>0</v>
      </c>
      <c r="J743" s="1">
        <v>0</v>
      </c>
      <c r="K743" s="1">
        <v>0</v>
      </c>
      <c r="L743" s="1">
        <v>0</v>
      </c>
      <c r="M743" s="2"/>
      <c r="N743" s="2"/>
      <c r="Q743" s="1">
        <f t="shared" si="45"/>
        <v>0</v>
      </c>
      <c r="R743">
        <f t="shared" si="44"/>
        <v>0</v>
      </c>
      <c r="S743" s="1">
        <f t="shared" si="46"/>
        <v>0</v>
      </c>
      <c r="T743" s="1">
        <f t="shared" si="47"/>
        <v>0</v>
      </c>
    </row>
    <row r="744" spans="1:20" x14ac:dyDescent="0.3">
      <c r="A744" t="s">
        <v>359</v>
      </c>
      <c r="B744" t="s">
        <v>723</v>
      </c>
      <c r="C744" t="s">
        <v>576</v>
      </c>
      <c r="D744" t="s">
        <v>14</v>
      </c>
      <c r="E744" s="2">
        <v>50.994</v>
      </c>
      <c r="F744" s="2">
        <v>0</v>
      </c>
      <c r="G744" s="2">
        <v>50.994</v>
      </c>
      <c r="H744" s="2">
        <v>-50.994</v>
      </c>
      <c r="I744" s="1">
        <v>1</v>
      </c>
      <c r="J744" s="1">
        <v>1</v>
      </c>
      <c r="K744" s="1">
        <v>0.84106699262458795</v>
      </c>
      <c r="L744" s="1">
        <v>0.65893300737541105</v>
      </c>
      <c r="M744" s="2"/>
      <c r="N744" s="2"/>
      <c r="Q744" s="1">
        <f t="shared" si="45"/>
        <v>50.994</v>
      </c>
      <c r="R744">
        <f t="shared" si="44"/>
        <v>50.994</v>
      </c>
      <c r="S744" s="1">
        <f t="shared" si="46"/>
        <v>42.88937022189824</v>
      </c>
      <c r="T744" s="1">
        <f t="shared" si="47"/>
        <v>33.60162977810171</v>
      </c>
    </row>
    <row r="745" spans="1:20" x14ac:dyDescent="0.3">
      <c r="A745" t="s">
        <v>359</v>
      </c>
      <c r="B745" t="s">
        <v>785</v>
      </c>
      <c r="C745" t="s">
        <v>576</v>
      </c>
      <c r="D745" t="s">
        <v>14</v>
      </c>
      <c r="E745" s="2">
        <v>71.334000000000003</v>
      </c>
      <c r="F745" s="2">
        <v>0</v>
      </c>
      <c r="G745" s="2">
        <v>32.852999999999902</v>
      </c>
      <c r="H745" s="2">
        <v>-32.988999999999997</v>
      </c>
      <c r="I745" s="1">
        <v>0.73027588527209997</v>
      </c>
      <c r="J745" s="1">
        <v>0.73122914739114497</v>
      </c>
      <c r="K745" s="1">
        <v>0.61828625217911404</v>
      </c>
      <c r="L745" s="1">
        <v>0.34321878048413101</v>
      </c>
      <c r="M745" s="2"/>
      <c r="N745" s="2"/>
      <c r="Q745" s="1">
        <f t="shared" si="45"/>
        <v>52.093499999999985</v>
      </c>
      <c r="R745">
        <f t="shared" si="44"/>
        <v>52.16149999999994</v>
      </c>
      <c r="S745" s="1">
        <f t="shared" si="46"/>
        <v>44.104831512944919</v>
      </c>
      <c r="T745" s="1">
        <f t="shared" si="47"/>
        <v>24.483168487055003</v>
      </c>
    </row>
    <row r="746" spans="1:20" x14ac:dyDescent="0.3">
      <c r="A746" t="s">
        <v>359</v>
      </c>
      <c r="B746" t="s">
        <v>786</v>
      </c>
      <c r="C746" t="s">
        <v>574</v>
      </c>
      <c r="D746" t="s">
        <v>575</v>
      </c>
      <c r="E746" s="2">
        <v>50.465000000000003</v>
      </c>
      <c r="F746" s="2">
        <v>0</v>
      </c>
      <c r="G746" s="2">
        <v>38.229999999999997</v>
      </c>
      <c r="H746" s="2">
        <v>-37.024999999999999</v>
      </c>
      <c r="I746" s="1">
        <v>0.87877737045477</v>
      </c>
      <c r="J746" s="1">
        <v>0.86683840285346203</v>
      </c>
      <c r="K746" s="1">
        <v>0.74289394232344597</v>
      </c>
      <c r="L746" s="1">
        <v>0.50272183098478596</v>
      </c>
      <c r="M746" s="2"/>
      <c r="N746" s="2"/>
      <c r="Q746" s="1">
        <f t="shared" si="45"/>
        <v>44.347499999999968</v>
      </c>
      <c r="R746">
        <f t="shared" si="44"/>
        <v>43.744999999999962</v>
      </c>
      <c r="S746" s="1">
        <f t="shared" si="46"/>
        <v>37.490142799352704</v>
      </c>
      <c r="T746" s="1">
        <f t="shared" si="47"/>
        <v>25.369857200647225</v>
      </c>
    </row>
    <row r="747" spans="1:20" x14ac:dyDescent="0.3">
      <c r="A747" t="s">
        <v>359</v>
      </c>
      <c r="B747" t="s">
        <v>787</v>
      </c>
      <c r="C747" t="s">
        <v>574</v>
      </c>
      <c r="D747" t="s">
        <v>575</v>
      </c>
      <c r="E747" s="2">
        <v>698.14200000000005</v>
      </c>
      <c r="F747" s="2">
        <v>0</v>
      </c>
      <c r="G747" s="2">
        <v>416.128999999999</v>
      </c>
      <c r="H747" s="2">
        <v>-353.50599999999997</v>
      </c>
      <c r="I747" s="1">
        <v>0.79802604627711804</v>
      </c>
      <c r="J747" s="1">
        <v>0.753176287918503</v>
      </c>
      <c r="K747" s="1">
        <v>0.532202978506361</v>
      </c>
      <c r="L747" s="1">
        <v>0.51899935568926003</v>
      </c>
      <c r="M747" s="2"/>
      <c r="N747" s="2"/>
      <c r="Q747" s="1">
        <f t="shared" si="45"/>
        <v>557.13549999999975</v>
      </c>
      <c r="R747">
        <f t="shared" si="44"/>
        <v>525.82399999999961</v>
      </c>
      <c r="S747" s="1">
        <f t="shared" si="46"/>
        <v>371.55325182038791</v>
      </c>
      <c r="T747" s="1">
        <f t="shared" si="47"/>
        <v>362.33524817961143</v>
      </c>
    </row>
    <row r="748" spans="1:20" x14ac:dyDescent="0.3">
      <c r="A748" t="s">
        <v>359</v>
      </c>
      <c r="B748" t="s">
        <v>788</v>
      </c>
      <c r="C748" t="s">
        <v>574</v>
      </c>
      <c r="D748" t="s">
        <v>575</v>
      </c>
      <c r="E748" s="2">
        <v>245.55</v>
      </c>
      <c r="F748" s="2">
        <v>8.9999999999999993E-3</v>
      </c>
      <c r="G748" s="2">
        <v>220.17499999999899</v>
      </c>
      <c r="H748" s="2">
        <v>-192.80600000000001</v>
      </c>
      <c r="I748" s="1">
        <v>0.94831195275911195</v>
      </c>
      <c r="J748" s="1">
        <v>0.89258195886784697</v>
      </c>
      <c r="K748" s="1">
        <v>0.63216799286193903</v>
      </c>
      <c r="L748" s="1">
        <v>0.70874424497149502</v>
      </c>
      <c r="M748" s="2"/>
      <c r="N748" s="2"/>
      <c r="Q748" s="1">
        <f t="shared" si="45"/>
        <v>232.85799999999995</v>
      </c>
      <c r="R748">
        <f t="shared" si="44"/>
        <v>219.17349999999982</v>
      </c>
      <c r="S748" s="1">
        <f t="shared" si="46"/>
        <v>155.22885064724915</v>
      </c>
      <c r="T748" s="1">
        <f t="shared" si="47"/>
        <v>174.03214935275062</v>
      </c>
    </row>
    <row r="749" spans="1:20" x14ac:dyDescent="0.3">
      <c r="A749" t="s">
        <v>359</v>
      </c>
      <c r="B749" t="s">
        <v>789</v>
      </c>
      <c r="C749" t="s">
        <v>574</v>
      </c>
      <c r="D749" t="s">
        <v>575</v>
      </c>
      <c r="E749" s="2">
        <v>1679.0329999999999</v>
      </c>
      <c r="F749" s="2">
        <v>511.37599999999998</v>
      </c>
      <c r="G749" s="2">
        <v>727.19299999999998</v>
      </c>
      <c r="H749" s="2">
        <v>-687.096</v>
      </c>
      <c r="I749" s="1">
        <v>0.56426824249434004</v>
      </c>
      <c r="J749" s="1">
        <v>0.552327738644803</v>
      </c>
      <c r="K749" s="1">
        <v>0.39181420694729202</v>
      </c>
      <c r="L749" s="1">
        <v>0.37706466559422402</v>
      </c>
      <c r="M749" s="2"/>
      <c r="N749" s="2"/>
      <c r="Q749" s="1">
        <f t="shared" si="45"/>
        <v>947.42499999999916</v>
      </c>
      <c r="R749">
        <f t="shared" si="44"/>
        <v>927.37649999999951</v>
      </c>
      <c r="S749" s="1">
        <f t="shared" si="46"/>
        <v>657.86898333333249</v>
      </c>
      <c r="T749" s="1">
        <f t="shared" si="47"/>
        <v>633.10401666666667</v>
      </c>
    </row>
    <row r="750" spans="1:20" x14ac:dyDescent="0.3">
      <c r="A750" t="s">
        <v>359</v>
      </c>
      <c r="B750" t="s">
        <v>790</v>
      </c>
      <c r="C750" t="s">
        <v>574</v>
      </c>
      <c r="D750" t="s">
        <v>575</v>
      </c>
      <c r="E750" s="2">
        <v>516.63900000000001</v>
      </c>
      <c r="F750" s="2">
        <v>0.67600000000000005</v>
      </c>
      <c r="G750" s="2">
        <v>392.64299999999997</v>
      </c>
      <c r="H750" s="2">
        <v>-393.661</v>
      </c>
      <c r="I750" s="1">
        <v>0.87934321644320301</v>
      </c>
      <c r="J750" s="1">
        <v>0.88032843049014797</v>
      </c>
      <c r="K750" s="1">
        <v>0.73456007941821999</v>
      </c>
      <c r="L750" s="1">
        <v>0.52576579609640295</v>
      </c>
      <c r="M750" s="2"/>
      <c r="N750" s="2"/>
      <c r="Q750" s="1">
        <f t="shared" si="45"/>
        <v>454.303</v>
      </c>
      <c r="R750">
        <f t="shared" si="44"/>
        <v>454.81199999999956</v>
      </c>
      <c r="S750" s="1">
        <f t="shared" si="46"/>
        <v>379.50238487054975</v>
      </c>
      <c r="T750" s="1">
        <f t="shared" si="47"/>
        <v>271.63111512944954</v>
      </c>
    </row>
    <row r="751" spans="1:20" x14ac:dyDescent="0.3">
      <c r="A751" t="s">
        <v>359</v>
      </c>
      <c r="B751" t="s">
        <v>562</v>
      </c>
      <c r="C751" t="s">
        <v>574</v>
      </c>
      <c r="D751" t="s">
        <v>575</v>
      </c>
      <c r="E751" s="2">
        <v>1814.703</v>
      </c>
      <c r="F751" s="2">
        <v>0</v>
      </c>
      <c r="G751" s="2">
        <v>1194.9449999999999</v>
      </c>
      <c r="H751" s="2">
        <v>-1025.8699999999999</v>
      </c>
      <c r="I751" s="1">
        <v>0.82923982602111701</v>
      </c>
      <c r="J751" s="1">
        <v>0.78265506807450003</v>
      </c>
      <c r="K751" s="1">
        <v>0.567565677681382</v>
      </c>
      <c r="L751" s="1">
        <v>0.54432921641423504</v>
      </c>
      <c r="M751" s="2"/>
      <c r="N751" s="2"/>
      <c r="Q751" s="1">
        <f t="shared" si="45"/>
        <v>1504.8239999999992</v>
      </c>
      <c r="R751">
        <f t="shared" si="44"/>
        <v>1420.2864999999995</v>
      </c>
      <c r="S751" s="1">
        <f t="shared" si="46"/>
        <v>1029.963137985437</v>
      </c>
      <c r="T751" s="1">
        <f t="shared" si="47"/>
        <v>987.79586201456152</v>
      </c>
    </row>
    <row r="752" spans="1:20" x14ac:dyDescent="0.3">
      <c r="A752" t="s">
        <v>359</v>
      </c>
      <c r="B752" t="s">
        <v>563</v>
      </c>
      <c r="C752" t="s">
        <v>576</v>
      </c>
      <c r="D752" t="s">
        <v>589</v>
      </c>
      <c r="E752" s="2">
        <v>0</v>
      </c>
      <c r="F752" s="2">
        <v>0</v>
      </c>
      <c r="G752" s="2">
        <v>0</v>
      </c>
      <c r="H752" s="2">
        <v>0</v>
      </c>
      <c r="I752" s="1">
        <v>0</v>
      </c>
      <c r="J752" s="1">
        <v>0</v>
      </c>
      <c r="K752" s="1">
        <v>0</v>
      </c>
      <c r="L752" s="1">
        <v>0</v>
      </c>
      <c r="M752" s="2"/>
      <c r="N752" s="2"/>
      <c r="Q752" s="1">
        <f t="shared" si="45"/>
        <v>0</v>
      </c>
      <c r="R752">
        <f t="shared" si="44"/>
        <v>0</v>
      </c>
      <c r="S752" s="1">
        <f t="shared" si="46"/>
        <v>0</v>
      </c>
      <c r="T752" s="1">
        <f t="shared" si="47"/>
        <v>0</v>
      </c>
    </row>
    <row r="753" spans="1:20" x14ac:dyDescent="0.3">
      <c r="A753" t="s">
        <v>359</v>
      </c>
      <c r="B753" t="s">
        <v>791</v>
      </c>
      <c r="C753" t="s">
        <v>576</v>
      </c>
      <c r="D753" t="s">
        <v>577</v>
      </c>
      <c r="E753" s="2">
        <v>919.36400000000003</v>
      </c>
      <c r="F753" s="2">
        <v>0</v>
      </c>
      <c r="G753" s="2">
        <v>517.16800000000001</v>
      </c>
      <c r="H753" s="2">
        <v>-702.49599999999998</v>
      </c>
      <c r="I753" s="1">
        <v>0.78126400424641296</v>
      </c>
      <c r="J753" s="1">
        <v>0.88205542092141898</v>
      </c>
      <c r="K753" s="1">
        <v>0.75297841922879005</v>
      </c>
      <c r="L753" s="1">
        <v>0.41034100593904299</v>
      </c>
      <c r="M753" s="2"/>
      <c r="N753" s="2"/>
      <c r="Q753" s="1">
        <f t="shared" si="45"/>
        <v>718.26599999999928</v>
      </c>
      <c r="R753">
        <f t="shared" si="44"/>
        <v>810.9299999999995</v>
      </c>
      <c r="S753" s="1">
        <f t="shared" si="46"/>
        <v>692.26125141585737</v>
      </c>
      <c r="T753" s="1">
        <f t="shared" si="47"/>
        <v>377.25274858414235</v>
      </c>
    </row>
    <row r="754" spans="1:20" x14ac:dyDescent="0.3">
      <c r="A754" t="s">
        <v>359</v>
      </c>
      <c r="B754" t="s">
        <v>564</v>
      </c>
      <c r="C754" t="s">
        <v>576</v>
      </c>
      <c r="D754" t="s">
        <v>589</v>
      </c>
      <c r="E754" s="2">
        <v>0</v>
      </c>
      <c r="F754" s="2">
        <v>0</v>
      </c>
      <c r="G754" s="2">
        <v>0</v>
      </c>
      <c r="H754" s="2">
        <v>0</v>
      </c>
      <c r="I754" s="1">
        <v>0</v>
      </c>
      <c r="J754" s="1">
        <v>0</v>
      </c>
      <c r="K754" s="1">
        <v>0</v>
      </c>
      <c r="L754" s="1">
        <v>0</v>
      </c>
      <c r="M754" s="2"/>
      <c r="N754" s="2"/>
      <c r="Q754" s="1">
        <f t="shared" si="45"/>
        <v>0</v>
      </c>
      <c r="R754">
        <f t="shared" si="44"/>
        <v>0</v>
      </c>
      <c r="S754" s="1">
        <f t="shared" si="46"/>
        <v>0</v>
      </c>
      <c r="T754" s="1">
        <f t="shared" si="47"/>
        <v>0</v>
      </c>
    </row>
    <row r="755" spans="1:20" x14ac:dyDescent="0.3">
      <c r="A755" t="s">
        <v>359</v>
      </c>
      <c r="B755" t="s">
        <v>565</v>
      </c>
      <c r="C755" t="s">
        <v>576</v>
      </c>
      <c r="D755" t="s">
        <v>589</v>
      </c>
      <c r="E755" s="2">
        <v>0</v>
      </c>
      <c r="F755" s="2">
        <v>0</v>
      </c>
      <c r="G755" s="2">
        <v>0</v>
      </c>
      <c r="H755" s="2">
        <v>0</v>
      </c>
      <c r="I755" s="1">
        <v>0</v>
      </c>
      <c r="J755" s="1">
        <v>0</v>
      </c>
      <c r="K755" s="1">
        <v>0</v>
      </c>
      <c r="L755" s="1">
        <v>0</v>
      </c>
      <c r="M755" s="2"/>
      <c r="N755" s="2"/>
      <c r="Q755" s="1">
        <f t="shared" si="45"/>
        <v>0</v>
      </c>
      <c r="R755">
        <f t="shared" si="44"/>
        <v>0</v>
      </c>
      <c r="S755" s="1">
        <f t="shared" si="46"/>
        <v>0</v>
      </c>
      <c r="T755" s="1">
        <f t="shared" si="47"/>
        <v>0</v>
      </c>
    </row>
    <row r="756" spans="1:20" x14ac:dyDescent="0.3">
      <c r="A756" t="s">
        <v>359</v>
      </c>
      <c r="B756" t="s">
        <v>566</v>
      </c>
      <c r="C756" t="s">
        <v>576</v>
      </c>
      <c r="D756" t="s">
        <v>577</v>
      </c>
      <c r="E756" s="2">
        <v>1001.1</v>
      </c>
      <c r="F756" s="2">
        <v>0</v>
      </c>
      <c r="G756" s="2">
        <v>189.81100000000001</v>
      </c>
      <c r="H756" s="2">
        <v>-462.60500000000002</v>
      </c>
      <c r="I756" s="1">
        <v>0.594801218659474</v>
      </c>
      <c r="J756" s="1">
        <v>0.73104834681849895</v>
      </c>
      <c r="K756" s="1">
        <v>0.44107413123880801</v>
      </c>
      <c r="L756" s="1">
        <v>0.38477543423916499</v>
      </c>
      <c r="M756" s="2"/>
      <c r="N756" s="2"/>
      <c r="Q756" s="1">
        <f t="shared" si="45"/>
        <v>595.45549999999946</v>
      </c>
      <c r="R756">
        <f t="shared" si="44"/>
        <v>731.85249999999928</v>
      </c>
      <c r="S756" s="1">
        <f t="shared" si="46"/>
        <v>441.5593127831707</v>
      </c>
      <c r="T756" s="1">
        <f t="shared" si="47"/>
        <v>385.19868721682809</v>
      </c>
    </row>
    <row r="757" spans="1:20" x14ac:dyDescent="0.3">
      <c r="A757" t="s">
        <v>359</v>
      </c>
      <c r="B757" t="s">
        <v>792</v>
      </c>
      <c r="C757" t="s">
        <v>574</v>
      </c>
      <c r="D757" t="s">
        <v>575</v>
      </c>
      <c r="E757" s="2">
        <v>1097.8019999999999</v>
      </c>
      <c r="F757" s="2">
        <v>0</v>
      </c>
      <c r="G757" s="2">
        <v>693.45600000000002</v>
      </c>
      <c r="H757" s="2">
        <v>-708.37099999999998</v>
      </c>
      <c r="I757" s="1">
        <v>0.81583837522613301</v>
      </c>
      <c r="J757" s="1">
        <v>0.82263149456823703</v>
      </c>
      <c r="K757" s="1">
        <v>0.64224147572806101</v>
      </c>
      <c r="L757" s="1">
        <v>0.49622839406630997</v>
      </c>
      <c r="M757" s="2"/>
      <c r="N757" s="2"/>
      <c r="Q757" s="1">
        <f t="shared" si="45"/>
        <v>895.62899999999922</v>
      </c>
      <c r="R757">
        <f t="shared" si="44"/>
        <v>903.08649999999966</v>
      </c>
      <c r="S757" s="1">
        <f t="shared" si="46"/>
        <v>705.05397653721673</v>
      </c>
      <c r="T757" s="1">
        <f t="shared" si="47"/>
        <v>544.76052346278323</v>
      </c>
    </row>
    <row r="758" spans="1:20" x14ac:dyDescent="0.3">
      <c r="A758" t="s">
        <v>359</v>
      </c>
      <c r="B758" t="s">
        <v>793</v>
      </c>
      <c r="C758" t="s">
        <v>574</v>
      </c>
      <c r="D758" t="s">
        <v>575</v>
      </c>
      <c r="E758" s="2">
        <v>803.42899999999997</v>
      </c>
      <c r="F758" s="2">
        <v>0.29799999999999999</v>
      </c>
      <c r="G758" s="2">
        <v>282.89199999999897</v>
      </c>
      <c r="H758" s="2">
        <v>-441.70299999999997</v>
      </c>
      <c r="I758" s="1">
        <v>0.67586743819304496</v>
      </c>
      <c r="J758" s="1">
        <v>0.77470068917103996</v>
      </c>
      <c r="K758" s="1">
        <v>0.53047312375211997</v>
      </c>
      <c r="L758" s="1">
        <v>0.42028045870507202</v>
      </c>
      <c r="M758" s="2"/>
      <c r="N758" s="2"/>
      <c r="Q758" s="1">
        <f t="shared" si="45"/>
        <v>543.01149999999984</v>
      </c>
      <c r="R758">
        <f t="shared" si="44"/>
        <v>622.41699999999946</v>
      </c>
      <c r="S758" s="1">
        <f t="shared" si="46"/>
        <v>426.19749134304197</v>
      </c>
      <c r="T758" s="1">
        <f t="shared" si="47"/>
        <v>337.66550865695729</v>
      </c>
    </row>
    <row r="759" spans="1:20" x14ac:dyDescent="0.3">
      <c r="A759" t="s">
        <v>359</v>
      </c>
      <c r="B759" t="s">
        <v>794</v>
      </c>
      <c r="C759" t="s">
        <v>576</v>
      </c>
      <c r="D759" t="s">
        <v>577</v>
      </c>
      <c r="E759" s="2">
        <v>368.625</v>
      </c>
      <c r="F759" s="2">
        <v>0</v>
      </c>
      <c r="G759" s="2">
        <v>72.403999999999996</v>
      </c>
      <c r="H759" s="2">
        <v>-229.49099999999899</v>
      </c>
      <c r="I759" s="1">
        <v>0.59820820617158299</v>
      </c>
      <c r="J759" s="1">
        <v>0.81127975584944001</v>
      </c>
      <c r="K759" s="1">
        <v>0.58089502162435602</v>
      </c>
      <c r="L759" s="1">
        <v>0.32859294039666698</v>
      </c>
      <c r="M759" s="2"/>
      <c r="N759" s="2"/>
      <c r="Q759" s="1">
        <f t="shared" si="45"/>
        <v>220.51449999999977</v>
      </c>
      <c r="R759">
        <f t="shared" si="44"/>
        <v>299.05799999999982</v>
      </c>
      <c r="S759" s="1">
        <f t="shared" si="46"/>
        <v>214.13242734627823</v>
      </c>
      <c r="T759" s="1">
        <f t="shared" si="47"/>
        <v>121.12757265372136</v>
      </c>
    </row>
    <row r="760" spans="1:20" x14ac:dyDescent="0.3">
      <c r="A760" t="s">
        <v>359</v>
      </c>
      <c r="B760" t="s">
        <v>795</v>
      </c>
      <c r="C760" t="s">
        <v>574</v>
      </c>
      <c r="D760" t="s">
        <v>575</v>
      </c>
      <c r="E760" s="2">
        <v>363.20499999999998</v>
      </c>
      <c r="F760" s="2">
        <v>3.7999999999999999E-2</v>
      </c>
      <c r="G760" s="2">
        <v>140.80000000000001</v>
      </c>
      <c r="H760" s="2">
        <v>-111.78</v>
      </c>
      <c r="I760" s="1">
        <v>0.69377761870018295</v>
      </c>
      <c r="J760" s="1">
        <v>0.653827728142509</v>
      </c>
      <c r="K760" s="1">
        <v>0.51290084691444104</v>
      </c>
      <c r="L760" s="1">
        <v>0.334756811983425</v>
      </c>
      <c r="M760" s="2"/>
      <c r="N760" s="2"/>
      <c r="Q760" s="1">
        <f t="shared" si="45"/>
        <v>251.98349999999994</v>
      </c>
      <c r="R760">
        <f t="shared" si="44"/>
        <v>237.47349999999997</v>
      </c>
      <c r="S760" s="1">
        <f t="shared" si="46"/>
        <v>186.28815210355955</v>
      </c>
      <c r="T760" s="1">
        <f t="shared" si="47"/>
        <v>121.58534789643987</v>
      </c>
    </row>
    <row r="761" spans="1:20" x14ac:dyDescent="0.3">
      <c r="A761" t="s">
        <v>359</v>
      </c>
      <c r="B761" t="s">
        <v>567</v>
      </c>
      <c r="C761" t="s">
        <v>574</v>
      </c>
      <c r="D761" t="s">
        <v>575</v>
      </c>
      <c r="E761" s="2">
        <v>0</v>
      </c>
      <c r="F761" s="2">
        <v>0</v>
      </c>
      <c r="G761" s="2">
        <v>0</v>
      </c>
      <c r="H761" s="2">
        <v>0</v>
      </c>
      <c r="I761" s="1">
        <v>0</v>
      </c>
      <c r="J761" s="1">
        <v>0</v>
      </c>
      <c r="K761" s="1">
        <v>0</v>
      </c>
      <c r="L761" s="1">
        <v>0</v>
      </c>
      <c r="M761" s="2"/>
      <c r="N761" s="2"/>
      <c r="Q761" s="1">
        <f t="shared" si="45"/>
        <v>0</v>
      </c>
      <c r="R761">
        <f t="shared" si="44"/>
        <v>0</v>
      </c>
      <c r="S761" s="1">
        <f t="shared" si="46"/>
        <v>0</v>
      </c>
      <c r="T761" s="1">
        <f t="shared" si="47"/>
        <v>0</v>
      </c>
    </row>
    <row r="762" spans="1:20" x14ac:dyDescent="0.3">
      <c r="A762" t="s">
        <v>359</v>
      </c>
      <c r="B762" t="s">
        <v>796</v>
      </c>
      <c r="C762" t="s">
        <v>576</v>
      </c>
      <c r="D762" t="s">
        <v>14</v>
      </c>
      <c r="E762" s="2">
        <v>243.60300000000001</v>
      </c>
      <c r="F762" s="2">
        <v>0</v>
      </c>
      <c r="G762" s="2">
        <v>243.60300000000001</v>
      </c>
      <c r="H762" s="2">
        <v>-243.60300000000001</v>
      </c>
      <c r="I762" s="1">
        <v>1</v>
      </c>
      <c r="J762" s="1">
        <v>1</v>
      </c>
      <c r="K762" s="1">
        <v>0.97053867069008304</v>
      </c>
      <c r="L762" s="1">
        <v>0.52946132930991596</v>
      </c>
      <c r="M762" s="2"/>
      <c r="N762" s="2"/>
      <c r="Q762" s="1">
        <f t="shared" si="45"/>
        <v>243.60300000000001</v>
      </c>
      <c r="R762">
        <f t="shared" si="44"/>
        <v>243.60300000000001</v>
      </c>
      <c r="S762" s="1">
        <f t="shared" si="46"/>
        <v>236.42613179611629</v>
      </c>
      <c r="T762" s="1">
        <f t="shared" si="47"/>
        <v>128.97836820388346</v>
      </c>
    </row>
    <row r="763" spans="1:20" x14ac:dyDescent="0.3">
      <c r="A763" t="s">
        <v>359</v>
      </c>
      <c r="B763" t="s">
        <v>797</v>
      </c>
      <c r="C763" t="s">
        <v>576</v>
      </c>
      <c r="D763" t="s">
        <v>14</v>
      </c>
      <c r="E763" s="2">
        <v>0</v>
      </c>
      <c r="F763" s="2">
        <v>0</v>
      </c>
      <c r="G763" s="2">
        <v>0</v>
      </c>
      <c r="H763" s="2">
        <v>0</v>
      </c>
      <c r="I763" s="1">
        <v>0</v>
      </c>
      <c r="J763" s="1">
        <v>0</v>
      </c>
      <c r="K763" s="1">
        <v>0</v>
      </c>
      <c r="L763" s="1">
        <v>0</v>
      </c>
      <c r="M763" s="2"/>
      <c r="N763" s="2"/>
      <c r="Q763" s="1">
        <f t="shared" si="45"/>
        <v>0</v>
      </c>
      <c r="R763">
        <f t="shared" si="44"/>
        <v>0</v>
      </c>
      <c r="S763" s="1">
        <f t="shared" si="46"/>
        <v>0</v>
      </c>
      <c r="T763" s="1">
        <f t="shared" si="47"/>
        <v>0</v>
      </c>
    </row>
    <row r="764" spans="1:20" x14ac:dyDescent="0.3">
      <c r="A764" t="s">
        <v>359</v>
      </c>
      <c r="B764" t="s">
        <v>798</v>
      </c>
      <c r="C764" t="s">
        <v>576</v>
      </c>
      <c r="D764" t="s">
        <v>14</v>
      </c>
      <c r="E764" s="2">
        <v>310.81299999999999</v>
      </c>
      <c r="F764" s="2">
        <v>0</v>
      </c>
      <c r="G764" s="2">
        <v>310.81299999999999</v>
      </c>
      <c r="H764" s="2">
        <v>-310.81299999999999</v>
      </c>
      <c r="I764" s="1">
        <v>1</v>
      </c>
      <c r="J764" s="1">
        <v>1</v>
      </c>
      <c r="K764" s="1">
        <v>0.98879437539008697</v>
      </c>
      <c r="L764" s="1">
        <v>0.51120562460991203</v>
      </c>
      <c r="M764" s="2"/>
      <c r="N764" s="2"/>
      <c r="Q764" s="1">
        <f t="shared" si="45"/>
        <v>310.81299999999999</v>
      </c>
      <c r="R764">
        <f t="shared" si="44"/>
        <v>310.81299999999999</v>
      </c>
      <c r="S764" s="1">
        <f t="shared" si="46"/>
        <v>307.33014619811911</v>
      </c>
      <c r="T764" s="1">
        <f t="shared" si="47"/>
        <v>158.88935380188059</v>
      </c>
    </row>
    <row r="765" spans="1:20" x14ac:dyDescent="0.3">
      <c r="A765" t="s">
        <v>359</v>
      </c>
      <c r="B765" t="s">
        <v>568</v>
      </c>
      <c r="C765" t="s">
        <v>574</v>
      </c>
      <c r="D765" t="s">
        <v>575</v>
      </c>
      <c r="E765" s="2">
        <v>0</v>
      </c>
      <c r="F765" s="2">
        <v>0</v>
      </c>
      <c r="G765" s="2">
        <v>0</v>
      </c>
      <c r="H765" s="2">
        <v>0</v>
      </c>
      <c r="I765" s="1">
        <v>0</v>
      </c>
      <c r="J765" s="1">
        <v>0</v>
      </c>
      <c r="K765" s="1">
        <v>0</v>
      </c>
      <c r="L765" s="1">
        <v>0</v>
      </c>
      <c r="M765" s="2"/>
      <c r="N765" s="2"/>
      <c r="Q765" s="1">
        <f t="shared" si="45"/>
        <v>0</v>
      </c>
      <c r="R765">
        <f t="shared" si="44"/>
        <v>0</v>
      </c>
      <c r="S765" s="1">
        <f t="shared" si="46"/>
        <v>0</v>
      </c>
      <c r="T765" s="1">
        <f t="shared" si="47"/>
        <v>0</v>
      </c>
    </row>
    <row r="766" spans="1:20" x14ac:dyDescent="0.3">
      <c r="A766" t="s">
        <v>359</v>
      </c>
      <c r="B766" t="s">
        <v>569</v>
      </c>
      <c r="C766" t="s">
        <v>576</v>
      </c>
      <c r="D766" t="s">
        <v>583</v>
      </c>
      <c r="E766" s="2">
        <v>175.75800000000001</v>
      </c>
      <c r="F766" s="2">
        <v>0</v>
      </c>
      <c r="G766" s="2">
        <v>96.384</v>
      </c>
      <c r="H766" s="2">
        <v>-138.81399999999999</v>
      </c>
      <c r="I766" s="1">
        <v>0.77419520021848198</v>
      </c>
      <c r="J766" s="1">
        <v>0.89490094334254999</v>
      </c>
      <c r="K766" s="1">
        <v>0.76600208639519796</v>
      </c>
      <c r="L766" s="1">
        <v>0.40309405716583402</v>
      </c>
      <c r="M766" s="2"/>
      <c r="N766" s="2"/>
      <c r="Q766" s="1">
        <f t="shared" si="45"/>
        <v>136.07099999999997</v>
      </c>
      <c r="R766">
        <f t="shared" si="44"/>
        <v>157.28599999999992</v>
      </c>
      <c r="S766" s="1">
        <f t="shared" si="46"/>
        <v>134.63099470064722</v>
      </c>
      <c r="T766" s="1">
        <f t="shared" si="47"/>
        <v>70.847005299352659</v>
      </c>
    </row>
    <row r="767" spans="1:20" x14ac:dyDescent="0.3">
      <c r="A767" t="s">
        <v>359</v>
      </c>
      <c r="B767" t="s">
        <v>570</v>
      </c>
      <c r="C767" t="s">
        <v>576</v>
      </c>
      <c r="D767" t="s">
        <v>577</v>
      </c>
      <c r="E767" s="2">
        <v>37.064999999999998</v>
      </c>
      <c r="F767" s="2">
        <v>0</v>
      </c>
      <c r="G767" s="2">
        <v>32.165999999999997</v>
      </c>
      <c r="H767" s="2">
        <v>-36.408000000000001</v>
      </c>
      <c r="I767" s="1">
        <v>0.93391339538648299</v>
      </c>
      <c r="J767" s="1">
        <v>0.99113719142047696</v>
      </c>
      <c r="K767" s="1">
        <v>0.92699020285800704</v>
      </c>
      <c r="L767" s="1">
        <v>0.49806038394895302</v>
      </c>
      <c r="M767" s="2"/>
      <c r="N767" s="2"/>
      <c r="Q767" s="1">
        <f t="shared" si="45"/>
        <v>34.61549999999999</v>
      </c>
      <c r="R767">
        <f t="shared" si="44"/>
        <v>36.736499999999978</v>
      </c>
      <c r="S767" s="1">
        <f t="shared" si="46"/>
        <v>34.358891868932027</v>
      </c>
      <c r="T767" s="1">
        <f t="shared" si="47"/>
        <v>18.460608131067943</v>
      </c>
    </row>
    <row r="768" spans="1:20" x14ac:dyDescent="0.3">
      <c r="A768" t="s">
        <v>359</v>
      </c>
      <c r="B768" t="s">
        <v>571</v>
      </c>
      <c r="C768" t="s">
        <v>576</v>
      </c>
      <c r="D768" t="s">
        <v>14</v>
      </c>
      <c r="E768" s="2">
        <v>41.459000000000003</v>
      </c>
      <c r="F768" s="2">
        <v>0</v>
      </c>
      <c r="G768" s="2">
        <v>30.295999999999999</v>
      </c>
      <c r="H768" s="2">
        <v>-36.235999999999997</v>
      </c>
      <c r="I768" s="1">
        <v>0.86537301912733</v>
      </c>
      <c r="J768" s="1">
        <v>0.93701005812971805</v>
      </c>
      <c r="K768" s="1">
        <v>0.66640634392629905</v>
      </c>
      <c r="L768" s="1">
        <v>0.635976733330749</v>
      </c>
      <c r="M768" s="2"/>
      <c r="N768" s="2"/>
      <c r="Q768" s="1">
        <f t="shared" si="45"/>
        <v>35.877499999999976</v>
      </c>
      <c r="R768">
        <f t="shared" si="44"/>
        <v>38.847499999999982</v>
      </c>
      <c r="S768" s="1">
        <f t="shared" si="46"/>
        <v>27.628540612840435</v>
      </c>
      <c r="T768" s="1">
        <f t="shared" si="47"/>
        <v>26.366959387159525</v>
      </c>
    </row>
    <row r="769" spans="1:20" x14ac:dyDescent="0.3">
      <c r="A769" t="s">
        <v>359</v>
      </c>
      <c r="B769" t="s">
        <v>572</v>
      </c>
      <c r="C769" t="s">
        <v>574</v>
      </c>
      <c r="D769" t="s">
        <v>575</v>
      </c>
      <c r="E769" s="2">
        <v>381.38600000000002</v>
      </c>
      <c r="F769" s="2">
        <v>13.763</v>
      </c>
      <c r="G769" s="2">
        <v>309.91300000000001</v>
      </c>
      <c r="H769" s="2">
        <v>-279.83800000000002</v>
      </c>
      <c r="I769" s="1">
        <v>0.88825494381020798</v>
      </c>
      <c r="J769" s="1">
        <v>0.848826385866287</v>
      </c>
      <c r="K769" s="1">
        <v>0.660963108589948</v>
      </c>
      <c r="L769" s="1">
        <v>0.594161620686952</v>
      </c>
      <c r="M769" s="2"/>
      <c r="N769" s="2"/>
      <c r="Q769" s="1">
        <f t="shared" si="45"/>
        <v>338.76799999999997</v>
      </c>
      <c r="R769">
        <f t="shared" si="44"/>
        <v>323.73049999999978</v>
      </c>
      <c r="S769" s="1">
        <f t="shared" si="46"/>
        <v>252.08207613268593</v>
      </c>
      <c r="T769" s="1">
        <f t="shared" si="47"/>
        <v>226.60492386731389</v>
      </c>
    </row>
    <row r="770" spans="1:20" x14ac:dyDescent="0.3">
      <c r="A770" t="s">
        <v>359</v>
      </c>
      <c r="B770" t="s">
        <v>573</v>
      </c>
      <c r="C770" t="s">
        <v>576</v>
      </c>
      <c r="D770" t="s">
        <v>577</v>
      </c>
      <c r="E770" s="2">
        <v>43.466000000000001</v>
      </c>
      <c r="F770" s="2">
        <v>0</v>
      </c>
      <c r="G770" s="2">
        <v>33.384999999999998</v>
      </c>
      <c r="H770" s="2">
        <v>-32.506</v>
      </c>
      <c r="I770" s="1">
        <v>0.88403579809506205</v>
      </c>
      <c r="J770" s="1">
        <v>0.87392444669396696</v>
      </c>
      <c r="K770" s="1">
        <v>0.88269177526994602</v>
      </c>
      <c r="L770" s="1">
        <v>0.37526846951908299</v>
      </c>
      <c r="M770" s="2"/>
      <c r="N770" s="2"/>
      <c r="Q770" s="1">
        <f t="shared" si="45"/>
        <v>38.425499999999971</v>
      </c>
      <c r="R770">
        <f t="shared" ref="R770:R772" si="48">J770*E770</f>
        <v>37.985999999999969</v>
      </c>
      <c r="S770" s="1">
        <f t="shared" si="46"/>
        <v>38.367080703883474</v>
      </c>
      <c r="T770" s="1">
        <f t="shared" si="47"/>
        <v>16.311419296116462</v>
      </c>
    </row>
    <row r="771" spans="1:20" x14ac:dyDescent="0.3">
      <c r="A771" t="s">
        <v>359</v>
      </c>
      <c r="B771" t="s">
        <v>799</v>
      </c>
      <c r="C771" t="s">
        <v>576</v>
      </c>
      <c r="D771" t="s">
        <v>589</v>
      </c>
      <c r="E771" s="2">
        <v>15.593</v>
      </c>
      <c r="F771" s="2">
        <v>0</v>
      </c>
      <c r="G771" s="2">
        <v>15.593</v>
      </c>
      <c r="H771" s="2">
        <v>-15.593</v>
      </c>
      <c r="I771" s="1">
        <v>1</v>
      </c>
      <c r="J771" s="1">
        <v>1</v>
      </c>
      <c r="K771" s="1">
        <v>0.99995954692556599</v>
      </c>
      <c r="L771" s="1">
        <v>0.50004045307443301</v>
      </c>
      <c r="M771" s="2"/>
      <c r="N771" s="2"/>
      <c r="Q771" s="1">
        <f t="shared" ref="Q771:Q773" si="49">I771*E771</f>
        <v>15.593</v>
      </c>
      <c r="R771">
        <f t="shared" si="48"/>
        <v>15.593</v>
      </c>
      <c r="S771" s="1">
        <f t="shared" ref="S771:S773" si="50">K771*E771</f>
        <v>15.592369215210351</v>
      </c>
      <c r="T771" s="1">
        <f t="shared" ref="T771:T773" si="51">L771*E771</f>
        <v>7.7971307847896343</v>
      </c>
    </row>
    <row r="772" spans="1:20" x14ac:dyDescent="0.3">
      <c r="A772" t="s">
        <v>359</v>
      </c>
      <c r="B772" t="s">
        <v>800</v>
      </c>
      <c r="C772" t="s">
        <v>574</v>
      </c>
      <c r="D772" t="s">
        <v>575</v>
      </c>
      <c r="E772" s="2">
        <v>9.4380000000000006</v>
      </c>
      <c r="F772" s="2">
        <v>0</v>
      </c>
      <c r="G772" s="2">
        <v>0</v>
      </c>
      <c r="H772" s="2">
        <v>-9.4380000000000006</v>
      </c>
      <c r="I772" s="1">
        <v>0.5</v>
      </c>
      <c r="J772" s="1">
        <v>1</v>
      </c>
      <c r="K772" s="1">
        <v>0.20582524271844599</v>
      </c>
      <c r="L772" s="1">
        <v>0.79417475728155296</v>
      </c>
      <c r="M772" s="2"/>
      <c r="N772" s="2"/>
      <c r="Q772" s="1">
        <f t="shared" si="49"/>
        <v>4.7190000000000003</v>
      </c>
      <c r="R772">
        <f t="shared" si="48"/>
        <v>9.4380000000000006</v>
      </c>
      <c r="S772" s="1">
        <f t="shared" si="50"/>
        <v>1.9425786407766934</v>
      </c>
      <c r="T772" s="1">
        <f t="shared" si="51"/>
        <v>7.4954213592232977</v>
      </c>
    </row>
    <row r="773" spans="1:20" x14ac:dyDescent="0.3">
      <c r="A773" t="s">
        <v>359</v>
      </c>
      <c r="B773" t="s">
        <v>801</v>
      </c>
      <c r="C773" t="s">
        <v>574</v>
      </c>
      <c r="D773" t="s">
        <v>575</v>
      </c>
      <c r="E773" s="2">
        <v>1354.364</v>
      </c>
      <c r="F773" s="2">
        <v>0.74299999999999999</v>
      </c>
      <c r="G773" s="2">
        <v>640.721</v>
      </c>
      <c r="H773" s="2">
        <v>-669.41899999999998</v>
      </c>
      <c r="I773" s="1">
        <v>0.73626513994760601</v>
      </c>
      <c r="J773" s="1">
        <v>0.746859780679344</v>
      </c>
      <c r="K773" s="1">
        <v>0.50075748854100899</v>
      </c>
      <c r="L773" s="1">
        <v>0.48264173057585902</v>
      </c>
      <c r="M773" s="2"/>
      <c r="N773" s="2"/>
      <c r="Q773" s="1">
        <f t="shared" si="49"/>
        <v>997.17099999999948</v>
      </c>
      <c r="R773">
        <f>J773*E773</f>
        <v>1011.5199999999991</v>
      </c>
      <c r="S773" s="1">
        <f t="shared" si="50"/>
        <v>678.20791521035517</v>
      </c>
      <c r="T773" s="1">
        <f t="shared" si="51"/>
        <v>653.67258478964277</v>
      </c>
    </row>
    <row r="775" spans="1:20" x14ac:dyDescent="0.3">
      <c r="B775" t="s">
        <v>832</v>
      </c>
      <c r="G775" s="2" t="s">
        <v>833</v>
      </c>
    </row>
    <row r="776" spans="1:20" x14ac:dyDescent="0.3">
      <c r="A776" t="s">
        <v>826</v>
      </c>
      <c r="B776" t="s">
        <v>825</v>
      </c>
      <c r="C776" t="s">
        <v>827</v>
      </c>
      <c r="D776" t="s">
        <v>828</v>
      </c>
      <c r="F776" t="s">
        <v>826</v>
      </c>
      <c r="G776" t="s">
        <v>825</v>
      </c>
      <c r="H776" t="s">
        <v>834</v>
      </c>
      <c r="I776" t="s">
        <v>835</v>
      </c>
    </row>
    <row r="777" spans="1:20" x14ac:dyDescent="0.3">
      <c r="A777" s="6">
        <f t="shared" ref="A777:A786" si="52">SUMIF($D$2:$D$773,B777,$E$2:$E$773)</f>
        <v>12</v>
      </c>
      <c r="B777" t="s">
        <v>592</v>
      </c>
      <c r="C777" s="7">
        <f t="shared" ref="C777:C786" si="53">SUMIF($D$2:$D$773,B777,$Q$2:$Q$773)/A777</f>
        <v>0.95970833333333305</v>
      </c>
      <c r="D777" s="7">
        <f>SUMIF($D$2:$D$773,B777,$R$2:$R$773)/A777</f>
        <v>0.9632916666666661</v>
      </c>
      <c r="F777" s="6">
        <f t="shared" ref="F777:F786" si="54">SUMIF($D$2:$D$773,G777,$E$2:$E$773)</f>
        <v>12</v>
      </c>
      <c r="G777" t="s">
        <v>592</v>
      </c>
      <c r="H777" s="7">
        <f>SUMIF($D$2:$D$773,G777,$S$2:$S$773)/F777</f>
        <v>0.75525658036677401</v>
      </c>
      <c r="I777" s="7">
        <f>SUMIF($D$2:$D$773,G777,$T$2:$T$773)/F777</f>
        <v>0.66774341963322514</v>
      </c>
    </row>
    <row r="778" spans="1:20" x14ac:dyDescent="0.3">
      <c r="A778" s="6">
        <f t="shared" si="52"/>
        <v>377.298</v>
      </c>
      <c r="B778" s="4" t="s">
        <v>589</v>
      </c>
      <c r="C778" s="7">
        <f t="shared" si="53"/>
        <v>0.86418825437717617</v>
      </c>
      <c r="D778" s="7">
        <f t="shared" ref="D778:D786" si="55">SUMIF($D$2:$D$773,B778,$R$2:$R$773)/A778</f>
        <v>0.88557188217271199</v>
      </c>
      <c r="F778" s="6">
        <f t="shared" si="54"/>
        <v>377.298</v>
      </c>
      <c r="G778" s="4" t="s">
        <v>589</v>
      </c>
      <c r="H778" s="7">
        <f t="shared" ref="H778:H786" si="56">SUMIF($D$2:$D$773,G778,$S$2:$S$773)/F778</f>
        <v>0.84313993191684611</v>
      </c>
      <c r="I778" s="7">
        <f t="shared" ref="I778:I786" si="57">SUMIF($D$2:$D$773,G778,$T$2:$T$773)/F778</f>
        <v>0.40662020463304199</v>
      </c>
    </row>
    <row r="779" spans="1:20" x14ac:dyDescent="0.3">
      <c r="A779" s="6">
        <f t="shared" si="52"/>
        <v>3793.6980000000003</v>
      </c>
      <c r="B779" s="4" t="s">
        <v>583</v>
      </c>
      <c r="C779" s="7">
        <f t="shared" si="53"/>
        <v>0.8963840822332193</v>
      </c>
      <c r="D779" s="7">
        <f t="shared" si="55"/>
        <v>0.92523890937022368</v>
      </c>
      <c r="F779" s="6">
        <f t="shared" si="54"/>
        <v>3793.6980000000003</v>
      </c>
      <c r="G779" s="4" t="s">
        <v>583</v>
      </c>
      <c r="H779" s="7">
        <f t="shared" si="56"/>
        <v>0.88807580234331929</v>
      </c>
      <c r="I779" s="7">
        <f t="shared" si="57"/>
        <v>0.43354718926012303</v>
      </c>
    </row>
    <row r="780" spans="1:20" x14ac:dyDescent="0.3">
      <c r="A780" s="6">
        <f t="shared" si="52"/>
        <v>15348.725999999999</v>
      </c>
      <c r="B780" s="4" t="s">
        <v>577</v>
      </c>
      <c r="C780" s="7">
        <f t="shared" si="53"/>
        <v>0.76318376521934084</v>
      </c>
      <c r="D780" s="7">
        <f t="shared" si="55"/>
        <v>0.87125556870322618</v>
      </c>
      <c r="F780" s="6">
        <f t="shared" si="54"/>
        <v>15348.725999999999</v>
      </c>
      <c r="G780" s="4" t="s">
        <v>577</v>
      </c>
      <c r="H780" s="7">
        <f t="shared" si="56"/>
        <v>0.65628639528903943</v>
      </c>
      <c r="I780" s="7">
        <f t="shared" si="57"/>
        <v>0.47815293863352759</v>
      </c>
    </row>
    <row r="781" spans="1:20" x14ac:dyDescent="0.3">
      <c r="A781" s="6">
        <f t="shared" si="52"/>
        <v>2018.587</v>
      </c>
      <c r="B781" s="4" t="s">
        <v>367</v>
      </c>
      <c r="C781" s="7">
        <f t="shared" si="53"/>
        <v>0.76575322242737121</v>
      </c>
      <c r="D781" s="7">
        <f t="shared" si="55"/>
        <v>0.92511965052781919</v>
      </c>
      <c r="F781" s="6">
        <f t="shared" si="54"/>
        <v>2018.587</v>
      </c>
      <c r="G781" s="4" t="s">
        <v>367</v>
      </c>
      <c r="H781" s="7">
        <f t="shared" si="56"/>
        <v>0.32825337507428082</v>
      </c>
      <c r="I781" s="7">
        <f t="shared" si="57"/>
        <v>0.86261949788090919</v>
      </c>
    </row>
    <row r="782" spans="1:20" x14ac:dyDescent="0.3">
      <c r="A782" s="6">
        <f t="shared" si="52"/>
        <v>5040.3630000000003</v>
      </c>
      <c r="B782" s="4" t="s">
        <v>591</v>
      </c>
      <c r="C782" s="7">
        <f t="shared" si="53"/>
        <v>0.89713121852533206</v>
      </c>
      <c r="D782" s="7">
        <f t="shared" si="55"/>
        <v>0.95748133616566844</v>
      </c>
      <c r="F782" s="6">
        <f t="shared" si="54"/>
        <v>5040.3630000000003</v>
      </c>
      <c r="G782" s="4" t="s">
        <v>591</v>
      </c>
      <c r="H782" s="7">
        <f t="shared" si="56"/>
        <v>0.76431971135507237</v>
      </c>
      <c r="I782" s="7">
        <f t="shared" si="57"/>
        <v>0.59038549539293272</v>
      </c>
    </row>
    <row r="783" spans="1:20" x14ac:dyDescent="0.3">
      <c r="A783" s="6">
        <f t="shared" si="52"/>
        <v>2981.6559999999995</v>
      </c>
      <c r="B783" s="4" t="s">
        <v>14</v>
      </c>
      <c r="C783" s="7">
        <f t="shared" si="53"/>
        <v>0.77699053814390373</v>
      </c>
      <c r="D783" s="7">
        <f t="shared" si="55"/>
        <v>0.81755423831588858</v>
      </c>
      <c r="F783" s="6">
        <f t="shared" si="54"/>
        <v>2981.6559999999995</v>
      </c>
      <c r="G783" s="4" t="s">
        <v>14</v>
      </c>
      <c r="H783" s="7">
        <f t="shared" si="56"/>
        <v>0.62063493572849215</v>
      </c>
      <c r="I783" s="7">
        <f t="shared" si="57"/>
        <v>0.48976747152438954</v>
      </c>
    </row>
    <row r="784" spans="1:20" x14ac:dyDescent="0.3">
      <c r="A784" s="6">
        <f>SUMIF($D$2:$D$773,B784,$E$2:$E$773)</f>
        <v>108770.70700000002</v>
      </c>
      <c r="B784" t="s">
        <v>575</v>
      </c>
      <c r="C784" s="7">
        <f t="shared" si="53"/>
        <v>0.72140697770770157</v>
      </c>
      <c r="D784" s="7">
        <f t="shared" si="55"/>
        <v>0.72630912475359721</v>
      </c>
      <c r="F784" s="6">
        <f>SUMIF($D$2:$D$773,G784,$E$2:$E$773)</f>
        <v>108770.70700000002</v>
      </c>
      <c r="G784" t="s">
        <v>575</v>
      </c>
      <c r="H784" s="7">
        <f t="shared" si="56"/>
        <v>0.52208527492176771</v>
      </c>
      <c r="I784" s="7">
        <f t="shared" si="57"/>
        <v>0.45846728781922741</v>
      </c>
    </row>
    <row r="785" spans="1:9" x14ac:dyDescent="0.3">
      <c r="A785" s="6">
        <f t="shared" si="52"/>
        <v>1283.3349999999998</v>
      </c>
      <c r="B785" s="4" t="s">
        <v>598</v>
      </c>
      <c r="C785" s="7">
        <f t="shared" si="53"/>
        <v>0.72656749796428799</v>
      </c>
      <c r="D785" s="7">
        <f t="shared" si="55"/>
        <v>0.82124269968480512</v>
      </c>
      <c r="F785" s="6">
        <f t="shared" si="54"/>
        <v>1283.3349999999998</v>
      </c>
      <c r="G785" s="4" t="s">
        <v>598</v>
      </c>
      <c r="H785" s="7">
        <f t="shared" si="56"/>
        <v>0.42755732211599456</v>
      </c>
      <c r="I785" s="7">
        <f t="shared" si="57"/>
        <v>0.62491455779065441</v>
      </c>
    </row>
    <row r="786" spans="1:9" x14ac:dyDescent="0.3">
      <c r="A786" s="6">
        <f t="shared" si="52"/>
        <v>3668.5140000000001</v>
      </c>
      <c r="B786" s="4" t="s">
        <v>595</v>
      </c>
      <c r="C786" s="7">
        <f t="shared" si="53"/>
        <v>0.65068567272743094</v>
      </c>
      <c r="D786" s="7">
        <f t="shared" si="55"/>
        <v>0.82379105000008113</v>
      </c>
      <c r="F786" s="6">
        <f t="shared" si="54"/>
        <v>3668.5140000000001</v>
      </c>
      <c r="G786" s="4" t="s">
        <v>595</v>
      </c>
      <c r="H786" s="7">
        <f t="shared" si="56"/>
        <v>0.47380984625577555</v>
      </c>
      <c r="I786" s="7">
        <f t="shared" si="57"/>
        <v>0.50066687647173669</v>
      </c>
    </row>
  </sheetData>
  <autoFilter ref="A1:J773" xr:uid="{D215FF31-195B-4FAE-80F2-B06C10B31E2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M Horaria</vt:lpstr>
      <vt:lpstr>M Ponderada</vt:lpstr>
      <vt:lpstr>M Historico</vt:lpstr>
      <vt:lpstr>So Dados</vt:lpstr>
      <vt:lpstr>Analise (2)</vt:lpstr>
      <vt:lpstr>Analise</vt:lpstr>
      <vt:lpstr>Passo 6</vt:lpstr>
      <vt:lpstr>Passo 4</vt:lpstr>
      <vt:lpstr>Passo 2</vt:lpstr>
      <vt:lpstr>Passo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Veiga Velasco Costa</cp:lastModifiedBy>
  <dcterms:created xsi:type="dcterms:W3CDTF">2025-07-17T14:12:06Z</dcterms:created>
  <dcterms:modified xsi:type="dcterms:W3CDTF">2025-09-22T17:06:36Z</dcterms:modified>
</cp:coreProperties>
</file>