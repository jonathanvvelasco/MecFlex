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egovbr-my.sharepoint.com/personal/jonathan_costa_epe_gov_br/Documents/Documentos/GitHub/MecFlex/Exploratoria Curtailment/"/>
    </mc:Choice>
  </mc:AlternateContent>
  <xr:revisionPtr revIDLastSave="87" documentId="8_{2376FE5C-B28E-44B3-B606-E5EF6C48E6E1}" xr6:coauthVersionLast="47" xr6:coauthVersionMax="47" xr10:uidLastSave="{9CD2B1AE-9864-4B7D-AE77-6AED974DB91B}"/>
  <bookViews>
    <workbookView xWindow="-108" yWindow="-108" windowWidth="23256" windowHeight="12456" xr2:uid="{D838B56A-0B63-422D-BCC3-6A3DBC34DD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<sst xmlns="http://schemas.openxmlformats.org/spreadsheetml/2006/main" count="20" uniqueCount="19">
  <si>
    <t>Valores de Modulação</t>
  </si>
  <si>
    <t>Período entre janeiro de 2024 e maio de 2025</t>
  </si>
  <si>
    <t>Periodo inteiro</t>
  </si>
  <si>
    <t>FV</t>
  </si>
  <si>
    <t>HIDRO</t>
  </si>
  <si>
    <t>TEMRO</t>
  </si>
  <si>
    <t>EOL</t>
  </si>
  <si>
    <t>NUC</t>
  </si>
  <si>
    <t>FOTOVOLTAICA</t>
  </si>
  <si>
    <t>HIDROELÉTRICA</t>
  </si>
  <si>
    <t>TÉRMICA</t>
  </si>
  <si>
    <t>EOLIELÉTRICA</t>
  </si>
  <si>
    <t>NUCLEAR</t>
  </si>
  <si>
    <t>Carga</t>
  </si>
  <si>
    <t>Hidro</t>
  </si>
  <si>
    <t>Termica</t>
  </si>
  <si>
    <t>Eólica</t>
  </si>
  <si>
    <t>Nuclear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</si>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</sst>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7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3" fontId="0" fillId="0" borderId="0" xfId="1" applyFont="1"/>
    <xf numFmtId="17" fontId="0" fillId="0" borderId="0" xfId="0" applyNumberFormat="1"/>
    <xf numFmtId="43" fontId="0" fillId="0" borderId="0" xfId="0" applyNumberFormat="1"/>
    <xf numFmtId="9" fontId="0" fillId="0" borderId="0" xfId="2" applyFont="1"/>
    <xf numFmtId="167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Planilha1!$C$7</c:f>
              <c:strCache>
                <c:ptCount val="1"/>
                <c:pt idx="0">
                  <c:v>FOTOVOLTAICA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Planilha1!$B$8:$B$24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Planilha1!$C$8:$C$24</c:f>
              <c:numCache>
                <c:formatCode>0.0</c:formatCode>
                <c:ptCount val="17"/>
                <c:pt idx="0">
                  <c:v>-17316737.988598101</c:v>
                </c:pt>
                <c:pt idx="1">
                  <c:v>-6136532.4909093902</c:v>
                </c:pt>
                <c:pt idx="2">
                  <c:v>-4596742.5944873597</c:v>
                </c:pt>
                <c:pt idx="3">
                  <c:v>-16564308.429243401</c:v>
                </c:pt>
                <c:pt idx="4">
                  <c:v>-9690206.7072667703</c:v>
                </c:pt>
                <c:pt idx="5">
                  <c:v>-67705151.185268298</c:v>
                </c:pt>
                <c:pt idx="6">
                  <c:v>-139369775.41922501</c:v>
                </c:pt>
                <c:pt idx="7">
                  <c:v>-166745294.16053501</c:v>
                </c:pt>
                <c:pt idx="8">
                  <c:v>-494294929.61572802</c:v>
                </c:pt>
                <c:pt idx="9">
                  <c:v>-500486431.85636902</c:v>
                </c:pt>
                <c:pt idx="10">
                  <c:v>-622057848.22445405</c:v>
                </c:pt>
                <c:pt idx="11">
                  <c:v>-64768378.123563997</c:v>
                </c:pt>
                <c:pt idx="12">
                  <c:v>-54829909.707971297</c:v>
                </c:pt>
                <c:pt idx="13">
                  <c:v>-51765900.326921597</c:v>
                </c:pt>
                <c:pt idx="14">
                  <c:v>-66536745.943183899</c:v>
                </c:pt>
                <c:pt idx="15">
                  <c:v>-232792813.96860701</c:v>
                </c:pt>
                <c:pt idx="16">
                  <c:v>-180058241.478894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E-482D-8401-2FC59E3AD709}"/>
            </c:ext>
          </c:extLst>
        </c:ser>
        <c:ser>
          <c:idx val="1"/>
          <c:order val="1"/>
          <c:tx>
            <c:strRef>
              <c:f>Planilha1!$D$7</c:f>
              <c:strCache>
                <c:ptCount val="1"/>
                <c:pt idx="0">
                  <c:v>HIDROELÉTRICA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Planilha1!$B$8:$B$24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Planilha1!$D$8:$D$24</c:f>
              <c:numCache>
                <c:formatCode>0.0</c:formatCode>
                <c:ptCount val="17"/>
                <c:pt idx="0">
                  <c:v>26703686.4627405</c:v>
                </c:pt>
                <c:pt idx="1">
                  <c:v>15784143.5438812</c:v>
                </c:pt>
                <c:pt idx="2">
                  <c:v>11990490.644278301</c:v>
                </c:pt>
                <c:pt idx="3">
                  <c:v>66888749.324536897</c:v>
                </c:pt>
                <c:pt idx="4">
                  <c:v>12008322.334812401</c:v>
                </c:pt>
                <c:pt idx="5">
                  <c:v>17334050.878151</c:v>
                </c:pt>
                <c:pt idx="6">
                  <c:v>-160041502.522302</c:v>
                </c:pt>
                <c:pt idx="7">
                  <c:v>-469153694.52015299</c:v>
                </c:pt>
                <c:pt idx="8">
                  <c:v>-2547426757.2820201</c:v>
                </c:pt>
                <c:pt idx="9">
                  <c:v>-3699704117.6726799</c:v>
                </c:pt>
                <c:pt idx="10">
                  <c:v>-167337597.00924501</c:v>
                </c:pt>
                <c:pt idx="11">
                  <c:v>41205428.859939903</c:v>
                </c:pt>
                <c:pt idx="12">
                  <c:v>214541537.64428699</c:v>
                </c:pt>
                <c:pt idx="13">
                  <c:v>283341036.64724702</c:v>
                </c:pt>
                <c:pt idx="14">
                  <c:v>677125080.39753795</c:v>
                </c:pt>
                <c:pt idx="15">
                  <c:v>540191683.22627795</c:v>
                </c:pt>
                <c:pt idx="16">
                  <c:v>-100762893.46141601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E-482D-8401-2FC59E3AD709}"/>
            </c:ext>
          </c:extLst>
        </c:ser>
        <c:ser>
          <c:idx val="2"/>
          <c:order val="2"/>
          <c:tx>
            <c:strRef>
              <c:f>Planilha1!$E$7</c:f>
              <c:strCache>
                <c:ptCount val="1"/>
                <c:pt idx="0">
                  <c:v>TÉRMICA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Planilha1!$B$8:$B$24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Planilha1!$E$8:$E$24</c:f>
              <c:numCache>
                <c:formatCode>0.0</c:formatCode>
                <c:ptCount val="17"/>
                <c:pt idx="0">
                  <c:v>1886379.9997574301</c:v>
                </c:pt>
                <c:pt idx="1">
                  <c:v>-2591465.4332379699</c:v>
                </c:pt>
                <c:pt idx="2">
                  <c:v>-2126016.7831572802</c:v>
                </c:pt>
                <c:pt idx="3">
                  <c:v>-16761839.89398</c:v>
                </c:pt>
                <c:pt idx="4">
                  <c:v>-1947928.22236074</c:v>
                </c:pt>
                <c:pt idx="5">
                  <c:v>12786908.189982699</c:v>
                </c:pt>
                <c:pt idx="6">
                  <c:v>119120931.014208</c:v>
                </c:pt>
                <c:pt idx="7">
                  <c:v>262919051.88622999</c:v>
                </c:pt>
                <c:pt idx="8">
                  <c:v>1545887883.6591799</c:v>
                </c:pt>
                <c:pt idx="9">
                  <c:v>2786070174.5026002</c:v>
                </c:pt>
                <c:pt idx="10">
                  <c:v>472701394.24368298</c:v>
                </c:pt>
                <c:pt idx="11">
                  <c:v>35335122.758860998</c:v>
                </c:pt>
                <c:pt idx="12">
                  <c:v>-57524911.275415398</c:v>
                </c:pt>
                <c:pt idx="13">
                  <c:v>-131306128.192518</c:v>
                </c:pt>
                <c:pt idx="14">
                  <c:v>-448046552.50066602</c:v>
                </c:pt>
                <c:pt idx="15">
                  <c:v>-131890220.038158</c:v>
                </c:pt>
                <c:pt idx="16">
                  <c:v>16205757.658694699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EE-482D-8401-2FC59E3AD709}"/>
            </c:ext>
          </c:extLst>
        </c:ser>
        <c:ser>
          <c:idx val="3"/>
          <c:order val="3"/>
          <c:tx>
            <c:strRef>
              <c:f>Planilha1!$F$7</c:f>
              <c:strCache>
                <c:ptCount val="1"/>
                <c:pt idx="0">
                  <c:v>EOLIELÉTRICA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Planilha1!$B$8:$B$24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Planilha1!$F$8:$F$24</c:f>
              <c:numCache>
                <c:formatCode>0.0</c:formatCode>
                <c:ptCount val="17"/>
                <c:pt idx="0">
                  <c:v>-15679662.055156499</c:v>
                </c:pt>
                <c:pt idx="1">
                  <c:v>-7075583.55586496</c:v>
                </c:pt>
                <c:pt idx="2">
                  <c:v>-5679669.6644828897</c:v>
                </c:pt>
                <c:pt idx="3">
                  <c:v>-36338844.698674299</c:v>
                </c:pt>
                <c:pt idx="4">
                  <c:v>-432160.67342270497</c:v>
                </c:pt>
                <c:pt idx="5">
                  <c:v>37947340.533633403</c:v>
                </c:pt>
                <c:pt idx="6">
                  <c:v>209758512.96804801</c:v>
                </c:pt>
                <c:pt idx="7">
                  <c:v>392231659.80601799</c:v>
                </c:pt>
                <c:pt idx="8">
                  <c:v>1363902311.4351499</c:v>
                </c:pt>
                <c:pt idx="9">
                  <c:v>1136166538.50315</c:v>
                </c:pt>
                <c:pt idx="10">
                  <c:v>393388116.04016697</c:v>
                </c:pt>
                <c:pt idx="11">
                  <c:v>-6683738.2018001396</c:v>
                </c:pt>
                <c:pt idx="12">
                  <c:v>-97204461.878493696</c:v>
                </c:pt>
                <c:pt idx="13">
                  <c:v>-81007040.473445103</c:v>
                </c:pt>
                <c:pt idx="14">
                  <c:v>-180582926.59434399</c:v>
                </c:pt>
                <c:pt idx="15">
                  <c:v>-153777183.66065699</c:v>
                </c:pt>
                <c:pt idx="16">
                  <c:v>278045823.409159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EE-482D-8401-2FC59E3AD709}"/>
            </c:ext>
          </c:extLst>
        </c:ser>
        <c:ser>
          <c:idx val="4"/>
          <c:order val="4"/>
          <c:tx>
            <c:strRef>
              <c:f>Planilha1!$G$7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Planilha1!$B$8:$B$24</c:f>
              <c:numCache>
                <c:formatCode>mmm\-yy</c:formatCode>
                <c:ptCount val="1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</c:numCache>
            </c:numRef>
          </c:cat>
          <c:val>
            <c:numRef>
              <c:f>Planilha1!$G$8:$G$24</c:f>
              <c:numCache>
                <c:formatCode>0.0</c:formatCode>
                <c:ptCount val="17"/>
                <c:pt idx="0">
                  <c:v>-1661.2954319210501</c:v>
                </c:pt>
                <c:pt idx="1">
                  <c:v>-42484.744433943299</c:v>
                </c:pt>
                <c:pt idx="2">
                  <c:v>198802.40834307999</c:v>
                </c:pt>
                <c:pt idx="3">
                  <c:v>944861.01176390401</c:v>
                </c:pt>
                <c:pt idx="4">
                  <c:v>-348759.07821754302</c:v>
                </c:pt>
                <c:pt idx="5">
                  <c:v>6187356.62516391</c:v>
                </c:pt>
                <c:pt idx="6">
                  <c:v>18674431.414480399</c:v>
                </c:pt>
                <c:pt idx="7">
                  <c:v>23664843.249270201</c:v>
                </c:pt>
                <c:pt idx="8">
                  <c:v>46622399.303456903</c:v>
                </c:pt>
                <c:pt idx="9">
                  <c:v>70208139.873891607</c:v>
                </c:pt>
                <c:pt idx="10">
                  <c:v>-138070591.692229</c:v>
                </c:pt>
                <c:pt idx="11">
                  <c:v>-12755765.904308099</c:v>
                </c:pt>
                <c:pt idx="12">
                  <c:v>-3213404.87208405</c:v>
                </c:pt>
                <c:pt idx="13">
                  <c:v>-1818910.1707082801</c:v>
                </c:pt>
                <c:pt idx="14">
                  <c:v>2889867.6471678801</c:v>
                </c:pt>
                <c:pt idx="15">
                  <c:v>-35486235.391808301</c:v>
                </c:pt>
                <c:pt idx="16">
                  <c:v>-37231429.055496797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EE-482D-8401-2FC59E3A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998799"/>
        <c:axId val="1879557279"/>
      </c:lineChart>
      <c:dateAx>
        <c:axId val="1879998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9557279"/>
        <c:crosses val="autoZero"/>
        <c:auto val="1"/>
        <c:lblOffset val="100"/>
        <c:baseTimeUnit val="months"/>
      </c:dateAx>
      <c:valAx>
        <c:axId val="18795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99987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Planilha1!$K$1</c:f>
              <c:strCache>
                <c:ptCount val="1"/>
                <c:pt idx="0">
                  <c:v>80051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Planilha1!$J$2:$J$6</c:f>
              <c:strCache>
                <c:ptCount val="5"/>
                <c:pt idx="0">
                  <c:v>FV</c:v>
                </c:pt>
                <c:pt idx="1">
                  <c:v>Hidro</c:v>
                </c:pt>
                <c:pt idx="2">
                  <c:v>Termica</c:v>
                </c:pt>
                <c:pt idx="3">
                  <c:v>Eólica</c:v>
                </c:pt>
                <c:pt idx="4">
                  <c:v>Nuclear</c:v>
                </c:pt>
              </c:strCache>
            </c:strRef>
          </c:cat>
          <c:val>
            <c:numRef>
              <c:f>Planilha1!$K$2:$K$6</c:f>
              <c:numCache>
                <c:formatCode>General</c:formatCode>
                <c:ptCount val="5"/>
                <c:pt idx="0">
                  <c:v>8909</c:v>
                </c:pt>
                <c:pt idx="1">
                  <c:v>50526</c:v>
                </c:pt>
                <c:pt idx="2">
                  <c:v>7368</c:v>
                </c:pt>
                <c:pt idx="3">
                  <c:v>11871</c:v>
                </c:pt>
                <c:pt idx="4">
                  <c:v>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695-B832-98D8D7B5F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8</xdr:row>
      <xdr:rowOff>26670</xdr:rowOff>
    </xdr:from>
    <xdr:to>
      <xdr:col>14</xdr:col>
      <xdr:colOff>502920</xdr:colOff>
      <xdr:row>23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D98248-E8F4-160F-EC4A-7370D3AD3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6</xdr:row>
      <xdr:rowOff>102870</xdr:rowOff>
    </xdr:from>
    <xdr:to>
      <xdr:col>11</xdr:col>
      <xdr:colOff>579120</xdr:colOff>
      <xdr:row>21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B79701-B3A2-7AC1-7CEA-C2B2E973B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91E9-2003-482D-BD23-083FFE8A9AB5}">
  <dimension ref="B1:S27"/>
  <sheetViews>
    <sheetView tabSelected="1" workbookViewId="0">
      <selection activeCell="P6" sqref="P6:P10"/>
    </sheetView>
  </sheetViews>
  <sheetFormatPr defaultRowHeight="14.4" x14ac:dyDescent="0.3"/>
  <cols>
    <col min="2" max="2" width="12.6640625" bestFit="1" customWidth="1"/>
    <col min="3" max="3" width="16.88671875" customWidth="1"/>
    <col min="4" max="5" width="16" bestFit="1" customWidth="1"/>
    <col min="6" max="6" width="16.33203125" customWidth="1"/>
    <col min="7" max="7" width="13.6640625" bestFit="1" customWidth="1"/>
  </cols>
  <sheetData>
    <row r="1" spans="2:19" x14ac:dyDescent="0.3">
      <c r="J1" t="s">
        <v>13</v>
      </c>
      <c r="K1">
        <v>80051</v>
      </c>
      <c r="L1" t="s">
        <v>18</v>
      </c>
    </row>
    <row r="2" spans="2:19" x14ac:dyDescent="0.3">
      <c r="C2" t="s">
        <v>0</v>
      </c>
      <c r="F2" t="s">
        <v>1</v>
      </c>
      <c r="J2" t="s">
        <v>3</v>
      </c>
      <c r="K2">
        <v>8909</v>
      </c>
      <c r="L2" s="5">
        <f>K2/$K$1</f>
        <v>0.11129155163583215</v>
      </c>
    </row>
    <row r="3" spans="2:19" x14ac:dyDescent="0.3">
      <c r="J3" t="s">
        <v>14</v>
      </c>
      <c r="K3">
        <v>50526</v>
      </c>
      <c r="L3" s="5">
        <f t="shared" ref="L3:L6" si="0">K3/$K$1</f>
        <v>0.63117262745000058</v>
      </c>
    </row>
    <row r="4" spans="2:19" x14ac:dyDescent="0.3">
      <c r="C4" t="s">
        <v>3</v>
      </c>
      <c r="D4" t="s">
        <v>4</v>
      </c>
      <c r="E4" t="s">
        <v>5</v>
      </c>
      <c r="F4" t="s">
        <v>6</v>
      </c>
      <c r="G4" t="s">
        <v>7</v>
      </c>
      <c r="J4" t="s">
        <v>15</v>
      </c>
      <c r="K4">
        <v>7368</v>
      </c>
      <c r="L4" s="5">
        <f t="shared" si="0"/>
        <v>9.2041323656169197E-2</v>
      </c>
      <c r="O4">
        <v>-2.6957159482212298</v>
      </c>
      <c r="P4">
        <v>-5.2373123525041301</v>
      </c>
      <c r="Q4">
        <v>4.4607185415737103</v>
      </c>
      <c r="R4">
        <v>3.2269790312389897</v>
      </c>
      <c r="S4">
        <v>-5.9578540671180201E-2</v>
      </c>
    </row>
    <row r="5" spans="2:19" x14ac:dyDescent="0.3">
      <c r="B5" t="s">
        <v>2</v>
      </c>
      <c r="C5" s="2">
        <v>-2695715948.22123</v>
      </c>
      <c r="D5" s="2">
        <v>-5237312352.5041304</v>
      </c>
      <c r="E5" s="2">
        <v>4460718541.5737104</v>
      </c>
      <c r="F5" s="2">
        <v>3226979031.2389898</v>
      </c>
      <c r="G5" s="2">
        <v>-59578540.671180204</v>
      </c>
      <c r="J5" t="s">
        <v>16</v>
      </c>
      <c r="K5">
        <v>11871</v>
      </c>
      <c r="L5" s="5">
        <f t="shared" si="0"/>
        <v>0.1482929632359371</v>
      </c>
    </row>
    <row r="6" spans="2:19" x14ac:dyDescent="0.3">
      <c r="C6" s="4">
        <f>C5/1000000000</f>
        <v>-2.6957159482212298</v>
      </c>
      <c r="D6" s="4">
        <f t="shared" ref="D6:G6" si="1">D5/1000000000</f>
        <v>-5.2373123525041301</v>
      </c>
      <c r="E6" s="4">
        <f t="shared" si="1"/>
        <v>4.4607185415737103</v>
      </c>
      <c r="F6" s="4">
        <f t="shared" si="1"/>
        <v>3.2269790312389897</v>
      </c>
      <c r="G6" s="4">
        <f t="shared" si="1"/>
        <v>-5.9578540671180201E-2</v>
      </c>
      <c r="J6" t="s">
        <v>17</v>
      </c>
      <c r="K6">
        <v>1766</v>
      </c>
      <c r="L6" s="5">
        <f t="shared" si="0"/>
        <v>2.2060936153202333E-2</v>
      </c>
      <c r="P6" s="6">
        <v>-2.6957159482212298</v>
      </c>
    </row>
    <row r="7" spans="2:19" x14ac:dyDescent="0.3">
      <c r="C7" t="s">
        <v>8</v>
      </c>
      <c r="D7" t="s">
        <v>9</v>
      </c>
      <c r="E7" t="s">
        <v>10</v>
      </c>
      <c r="F7" t="s">
        <v>11</v>
      </c>
      <c r="G7" t="s">
        <v>12</v>
      </c>
      <c r="P7" s="6">
        <v>-5.2373123525041301</v>
      </c>
    </row>
    <row r="8" spans="2:19" x14ac:dyDescent="0.3">
      <c r="B8" s="3">
        <v>45292</v>
      </c>
      <c r="C8" s="1">
        <v>-17316737.988598101</v>
      </c>
      <c r="D8" s="1">
        <v>26703686.4627405</v>
      </c>
      <c r="E8" s="1">
        <v>1886379.9997574301</v>
      </c>
      <c r="F8" s="1">
        <v>-15679662.055156499</v>
      </c>
      <c r="G8" s="1">
        <v>-1661.2954319210501</v>
      </c>
      <c r="P8" s="6">
        <v>4.4607185415737103</v>
      </c>
    </row>
    <row r="9" spans="2:19" x14ac:dyDescent="0.3">
      <c r="B9" s="3">
        <v>45323</v>
      </c>
      <c r="C9" s="1">
        <v>-6136532.4909093902</v>
      </c>
      <c r="D9" s="1">
        <v>15784143.5438812</v>
      </c>
      <c r="E9" s="1">
        <v>-2591465.4332379699</v>
      </c>
      <c r="F9" s="1">
        <v>-7075583.55586496</v>
      </c>
      <c r="G9" s="1">
        <v>-42484.744433943299</v>
      </c>
      <c r="P9" s="6">
        <v>3.2269790312389897</v>
      </c>
    </row>
    <row r="10" spans="2:19" x14ac:dyDescent="0.3">
      <c r="B10" s="3">
        <v>45352</v>
      </c>
      <c r="C10" s="1">
        <v>-4596742.5944873597</v>
      </c>
      <c r="D10" s="1">
        <v>11990490.644278301</v>
      </c>
      <c r="E10" s="1">
        <v>-2126016.7831572802</v>
      </c>
      <c r="F10" s="1">
        <v>-5679669.6644828897</v>
      </c>
      <c r="G10" s="1">
        <v>198802.40834307999</v>
      </c>
      <c r="P10" s="6">
        <v>-5.9578540671180201E-2</v>
      </c>
    </row>
    <row r="11" spans="2:19" x14ac:dyDescent="0.3">
      <c r="B11" s="3">
        <v>45383</v>
      </c>
      <c r="C11" s="1">
        <v>-16564308.429243401</v>
      </c>
      <c r="D11" s="1">
        <v>66888749.324536897</v>
      </c>
      <c r="E11" s="1">
        <v>-16761839.89398</v>
      </c>
      <c r="F11" s="1">
        <v>-36338844.698674299</v>
      </c>
      <c r="G11" s="1">
        <v>944861.01176390401</v>
      </c>
    </row>
    <row r="12" spans="2:19" x14ac:dyDescent="0.3">
      <c r="B12" s="3">
        <v>45413</v>
      </c>
      <c r="C12" s="1">
        <v>-9690206.7072667703</v>
      </c>
      <c r="D12" s="1">
        <v>12008322.334812401</v>
      </c>
      <c r="E12" s="1">
        <v>-1947928.22236074</v>
      </c>
      <c r="F12" s="1">
        <v>-432160.67342270497</v>
      </c>
      <c r="G12" s="1">
        <v>-348759.07821754302</v>
      </c>
    </row>
    <row r="13" spans="2:19" x14ac:dyDescent="0.3">
      <c r="B13" s="3">
        <v>45444</v>
      </c>
      <c r="C13" s="1">
        <v>-67705151.185268298</v>
      </c>
      <c r="D13" s="1">
        <v>17334050.878151</v>
      </c>
      <c r="E13" s="1">
        <v>12786908.189982699</v>
      </c>
      <c r="F13" s="1">
        <v>37947340.533633403</v>
      </c>
      <c r="G13" s="1">
        <v>6187356.62516391</v>
      </c>
    </row>
    <row r="14" spans="2:19" x14ac:dyDescent="0.3">
      <c r="B14" s="3">
        <v>45474</v>
      </c>
      <c r="C14" s="1">
        <v>-139369775.41922501</v>
      </c>
      <c r="D14" s="1">
        <v>-160041502.522302</v>
      </c>
      <c r="E14" s="1">
        <v>119120931.014208</v>
      </c>
      <c r="F14" s="1">
        <v>209758512.96804801</v>
      </c>
      <c r="G14" s="1">
        <v>18674431.414480399</v>
      </c>
    </row>
    <row r="15" spans="2:19" x14ac:dyDescent="0.3">
      <c r="B15" s="3">
        <v>45505</v>
      </c>
      <c r="C15" s="1">
        <v>-166745294.16053501</v>
      </c>
      <c r="D15" s="1">
        <v>-469153694.52015299</v>
      </c>
      <c r="E15" s="1">
        <v>262919051.88622999</v>
      </c>
      <c r="F15" s="1">
        <v>392231659.80601799</v>
      </c>
      <c r="G15" s="1">
        <v>23664843.249270201</v>
      </c>
    </row>
    <row r="16" spans="2:19" x14ac:dyDescent="0.3">
      <c r="B16" s="3">
        <v>45536</v>
      </c>
      <c r="C16" s="1">
        <v>-494294929.61572802</v>
      </c>
      <c r="D16" s="1">
        <v>-2547426757.2820201</v>
      </c>
      <c r="E16" s="1">
        <v>1545887883.6591799</v>
      </c>
      <c r="F16" s="1">
        <v>1363902311.4351499</v>
      </c>
      <c r="G16" s="1">
        <v>46622399.303456903</v>
      </c>
    </row>
    <row r="17" spans="2:7" x14ac:dyDescent="0.3">
      <c r="B17" s="3">
        <v>45566</v>
      </c>
      <c r="C17" s="1">
        <v>-500486431.85636902</v>
      </c>
      <c r="D17" s="1">
        <v>-3699704117.6726799</v>
      </c>
      <c r="E17" s="1">
        <v>2786070174.5026002</v>
      </c>
      <c r="F17" s="1">
        <v>1136166538.50315</v>
      </c>
      <c r="G17" s="1">
        <v>70208139.873891607</v>
      </c>
    </row>
    <row r="18" spans="2:7" x14ac:dyDescent="0.3">
      <c r="B18" s="3">
        <v>45597</v>
      </c>
      <c r="C18" s="1">
        <v>-622057848.22445405</v>
      </c>
      <c r="D18" s="1">
        <v>-167337597.00924501</v>
      </c>
      <c r="E18" s="1">
        <v>472701394.24368298</v>
      </c>
      <c r="F18" s="1">
        <v>393388116.04016697</v>
      </c>
      <c r="G18" s="1">
        <v>-138070591.692229</v>
      </c>
    </row>
    <row r="19" spans="2:7" x14ac:dyDescent="0.3">
      <c r="B19" s="3">
        <v>45627</v>
      </c>
      <c r="C19" s="1">
        <v>-64768378.123563997</v>
      </c>
      <c r="D19" s="1">
        <v>41205428.859939903</v>
      </c>
      <c r="E19" s="1">
        <v>35335122.758860998</v>
      </c>
      <c r="F19" s="1">
        <v>-6683738.2018001396</v>
      </c>
      <c r="G19" s="1">
        <v>-12755765.904308099</v>
      </c>
    </row>
    <row r="20" spans="2:7" x14ac:dyDescent="0.3">
      <c r="B20" s="3">
        <v>45658</v>
      </c>
      <c r="C20" s="1">
        <v>-54829909.707971297</v>
      </c>
      <c r="D20" s="1">
        <v>214541537.64428699</v>
      </c>
      <c r="E20" s="1">
        <v>-57524911.275415398</v>
      </c>
      <c r="F20" s="1">
        <v>-97204461.878493696</v>
      </c>
      <c r="G20" s="1">
        <v>-3213404.87208405</v>
      </c>
    </row>
    <row r="21" spans="2:7" x14ac:dyDescent="0.3">
      <c r="B21" s="3">
        <v>45689</v>
      </c>
      <c r="C21" s="1">
        <v>-51765900.326921597</v>
      </c>
      <c r="D21" s="1">
        <v>283341036.64724702</v>
      </c>
      <c r="E21" s="1">
        <v>-131306128.192518</v>
      </c>
      <c r="F21" s="1">
        <v>-81007040.473445103</v>
      </c>
      <c r="G21" s="1">
        <v>-1818910.1707082801</v>
      </c>
    </row>
    <row r="22" spans="2:7" x14ac:dyDescent="0.3">
      <c r="B22" s="3">
        <v>45717</v>
      </c>
      <c r="C22" s="1">
        <v>-66536745.943183899</v>
      </c>
      <c r="D22" s="1">
        <v>677125080.39753795</v>
      </c>
      <c r="E22" s="1">
        <v>-448046552.50066602</v>
      </c>
      <c r="F22" s="1">
        <v>-180582926.59434399</v>
      </c>
      <c r="G22" s="1">
        <v>2889867.6471678801</v>
      </c>
    </row>
    <row r="23" spans="2:7" x14ac:dyDescent="0.3">
      <c r="B23" s="3">
        <v>45748</v>
      </c>
      <c r="C23" s="1">
        <v>-232792813.96860701</v>
      </c>
      <c r="D23" s="1">
        <v>540191683.22627795</v>
      </c>
      <c r="E23" s="1">
        <v>-131890220.038158</v>
      </c>
      <c r="F23" s="1">
        <v>-153777183.66065699</v>
      </c>
      <c r="G23" s="1">
        <v>-35486235.391808301</v>
      </c>
    </row>
    <row r="24" spans="2:7" x14ac:dyDescent="0.3">
      <c r="B24" s="3">
        <v>45778</v>
      </c>
      <c r="C24" s="1">
        <v>-180058241.478894</v>
      </c>
      <c r="D24" s="1">
        <v>-100762893.46141601</v>
      </c>
      <c r="E24" s="1">
        <v>16205757.658694699</v>
      </c>
      <c r="F24" s="1">
        <v>278045823.409159</v>
      </c>
      <c r="G24" s="1">
        <v>-37231429.055496797</v>
      </c>
    </row>
    <row r="26" spans="2:7" x14ac:dyDescent="0.3">
      <c r="C26" s="1"/>
      <c r="D26" s="1"/>
      <c r="E26" s="1"/>
      <c r="F26" s="1"/>
      <c r="G26" s="1"/>
    </row>
    <row r="27" spans="2:7" x14ac:dyDescent="0.3">
      <c r="C27" s="4"/>
      <c r="D27" s="4"/>
      <c r="E27" s="4"/>
      <c r="F27" s="4"/>
      <c r="G27" s="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Veiga Velasco Costa</dc:creator>
  <cp:lastModifiedBy>Jonathan Veiga Velasco Costa</cp:lastModifiedBy>
  <dcterms:created xsi:type="dcterms:W3CDTF">2025-06-08T22:51:45Z</dcterms:created>
  <dcterms:modified xsi:type="dcterms:W3CDTF">2025-06-09T01:45:38Z</dcterms:modified>
</cp:coreProperties>
</file>